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Бренди" sheetId="1" state="visible" r:id="rId1"/>
    <sheet xmlns:r="http://schemas.openxmlformats.org/officeDocument/2006/relationships" name="2. Формати" sheetId="2" state="visible" r:id="rId2"/>
    <sheet xmlns:r="http://schemas.openxmlformats.org/officeDocument/2006/relationships" name="3. Наша лінійка" sheetId="3" state="visible" r:id="rId3"/>
    <sheet xmlns:r="http://schemas.openxmlformats.org/officeDocument/2006/relationships" name="4. Канали" sheetId="4" state="visible" r:id="rId4"/>
    <sheet xmlns:r="http://schemas.openxmlformats.org/officeDocument/2006/relationships" name="4b. Формат x грамаж" sheetId="5" state="visible" r:id="rId5"/>
    <sheet xmlns:r="http://schemas.openxmlformats.org/officeDocument/2006/relationships" name="5. Калькулятор" sheetId="6" state="visible" r:id="rId6"/>
    <sheet xmlns:r="http://schemas.openxmlformats.org/officeDocument/2006/relationships" name="6. Застереження" sheetId="7" state="visible" r:id="rId7"/>
  </sheets>
  <definedNames>
    <definedName name="_xlnm._FilterDatabase" localSheetId="0" hidden="1">'1. Бренди'!$A$4:$M$27</definedName>
    <definedName name="_xlnm._FilterDatabase" localSheetId="2" hidden="1">'3. Наша лінійка'!$A$4:$O$36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 ##0"/>
    <numFmt numFmtId="165" formatCode="0 %"/>
    <numFmt numFmtId="166" formatCode="0.000"/>
    <numFmt numFmtId="167" formatCode="# ##0.00"/>
    <numFmt numFmtId="168" formatCode="0.0000"/>
    <numFmt numFmtId="169" formatCode="0.0"/>
  </numFmts>
  <fonts count="17">
    <font>
      <name val="Calibri"/>
      <family val="2"/>
      <color theme="1"/>
      <sz val="11"/>
      <scheme val="minor"/>
    </font>
    <font>
      <name val="Segoe UI"/>
      <b val="1"/>
      <color rgb="FF1C2235"/>
      <sz val="14"/>
    </font>
    <font>
      <name val="Segoe UI"/>
      <color rgb="FF717890"/>
      <sz val="9"/>
    </font>
    <font>
      <name val="Segoe UI"/>
      <b val="1"/>
      <color rgb="FFFFFFFF"/>
      <sz val="9"/>
    </font>
    <font>
      <name val="Segoe UI"/>
      <b val="1"/>
      <color rgb="FF303A5D"/>
      <sz val="9"/>
    </font>
    <font>
      <name val="Segoe UI"/>
      <color rgb="FF303A5D"/>
      <sz val="9"/>
    </font>
    <font>
      <name val="Segoe UI"/>
      <b val="1"/>
      <color rgb="FF1C2235"/>
      <sz val="9"/>
    </font>
    <font>
      <name val="Segoe UI"/>
      <b val="1"/>
      <color rgb="FF1C2235"/>
      <sz val="10"/>
    </font>
    <font>
      <name val="Segoe UI"/>
      <b val="1"/>
      <color rgb="FF303A5D"/>
      <sz val="10"/>
    </font>
    <font>
      <name val="Segoe UI"/>
      <b val="1"/>
      <color rgb="FF37A169"/>
      <sz val="9"/>
    </font>
    <font>
      <name val="Segoe UI"/>
      <b val="1"/>
      <color rgb="FFC94F7C"/>
      <sz val="9"/>
    </font>
    <font>
      <name val="Segoe UI"/>
      <color rgb="FF303A5D"/>
      <sz val="10"/>
    </font>
    <font>
      <name val="Segoe UI"/>
      <b val="1"/>
      <color rgb="FF717890"/>
      <sz val="9"/>
    </font>
    <font>
      <name val="Segoe UI"/>
      <b val="1"/>
      <color rgb="FFC4820A"/>
      <sz val="9"/>
    </font>
    <font>
      <name val="Segoe UI"/>
      <i val="1"/>
      <color rgb="FF717890"/>
      <sz val="9"/>
    </font>
    <font>
      <name val="Segoe UI"/>
      <b val="1"/>
      <color rgb="FF1E9EA6"/>
      <sz val="9"/>
    </font>
    <font>
      <name val="Segoe UI"/>
      <b val="1"/>
      <color rgb="FF5D4B96"/>
      <sz val="9"/>
    </font>
  </fonts>
  <fills count="7">
    <fill>
      <patternFill/>
    </fill>
    <fill>
      <patternFill patternType="gray125"/>
    </fill>
    <fill>
      <patternFill patternType="solid">
        <fgColor rgb="FF303A5D"/>
      </patternFill>
    </fill>
    <fill>
      <patternFill patternType="solid">
        <fgColor rgb="FFF1F4FA"/>
      </patternFill>
    </fill>
    <fill>
      <patternFill patternType="solid">
        <fgColor rgb="FFE8B85F"/>
      </patternFill>
    </fill>
    <fill>
      <patternFill patternType="solid">
        <fgColor rgb="FFF6E3BC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thin">
        <color rgb="FFD5DBE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6" fillId="0" borderId="1" pivotButton="0" quotePrefix="0" xfId="0"/>
    <xf numFmtId="165" fontId="5" fillId="0" borderId="1" pivotButton="0" quotePrefix="0" xfId="0"/>
    <xf numFmtId="164" fontId="6" fillId="0" borderId="1" pivotButton="0" quotePrefix="0" xfId="0"/>
    <xf numFmtId="0" fontId="2" fillId="0" borderId="1" pivotButton="0" quotePrefix="0" xfId="0"/>
    <xf numFmtId="0" fontId="7" fillId="0" borderId="0" pivotButton="0" quotePrefix="0" xfId="0"/>
    <xf numFmtId="0" fontId="5" fillId="0" borderId="0" pivotButton="0" quotePrefix="0" xfId="0"/>
    <xf numFmtId="166" fontId="5" fillId="0" borderId="1" pivotButton="0" quotePrefix="0" xfId="0"/>
    <xf numFmtId="167" fontId="5" fillId="0" borderId="1" pivotButton="0" quotePrefix="0" xfId="0"/>
    <xf numFmtId="164" fontId="4" fillId="0" borderId="1" pivotButton="0" quotePrefix="0" xfId="0"/>
    <xf numFmtId="166" fontId="5" fillId="3" borderId="1" pivotButton="0" quotePrefix="0" xfId="0"/>
    <xf numFmtId="167" fontId="5" fillId="3" borderId="1" pivotButton="0" quotePrefix="0" xfId="0"/>
    <xf numFmtId="164" fontId="4" fillId="3" borderId="1" pivotButton="0" quotePrefix="0" xfId="0"/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7" fillId="0" borderId="1" pivotButton="0" quotePrefix="0" xfId="0"/>
    <xf numFmtId="0" fontId="11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1" fillId="0" borderId="0" pivotButton="0" quotePrefix="0" xfId="0"/>
    <xf numFmtId="2" fontId="7" fillId="6" borderId="0" pivotButton="0" quotePrefix="0" xfId="0"/>
    <xf numFmtId="165" fontId="7" fillId="6" borderId="0" pivotButton="0" quotePrefix="0" xfId="0"/>
    <xf numFmtId="165" fontId="7" fillId="0" borderId="0" pivotButton="0" quotePrefix="0" xfId="0"/>
    <xf numFmtId="168" fontId="7" fillId="0" borderId="0" pivotButton="0" quotePrefix="0" xfId="0"/>
    <xf numFmtId="0" fontId="14" fillId="0" borderId="0" pivotButton="0" quotePrefix="0" xfId="0"/>
    <xf numFmtId="2" fontId="7" fillId="0" borderId="0" pivotButton="0" quotePrefix="0" xfId="0"/>
    <xf numFmtId="169" fontId="7" fillId="0" borderId="0" pivotButton="0" quotePrefix="0" xfId="0"/>
    <xf numFmtId="164" fontId="7" fillId="6" borderId="1" pivotButton="0" quotePrefix="0" xfId="0"/>
    <xf numFmtId="167" fontId="11" fillId="0" borderId="1" pivotButton="0" quotePrefix="0" xfId="0"/>
    <xf numFmtId="166" fontId="11" fillId="0" borderId="1" pivotButton="0" quotePrefix="0" xfId="0"/>
    <xf numFmtId="166" fontId="8" fillId="0" borderId="1" pivotButton="0" quotePrefix="0" xfId="0"/>
    <xf numFmtId="164" fontId="7" fillId="3" borderId="1" pivotButton="0" quotePrefix="0" xfId="0"/>
    <xf numFmtId="0" fontId="2" fillId="3" borderId="1" pivotButton="0" quotePrefix="0" xfId="0"/>
    <xf numFmtId="167" fontId="11" fillId="3" borderId="1" pivotButton="0" quotePrefix="0" xfId="0"/>
    <xf numFmtId="166" fontId="11" fillId="3" borderId="1" pivotButton="0" quotePrefix="0" xfId="0"/>
    <xf numFmtId="166" fontId="8" fillId="3" borderId="1" pivotButton="0" quotePrefix="0" xfId="0"/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3" fillId="3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Segoe UI"/>
        <b val="1"/>
        <color rgb="FFC94F7C"/>
        <sz val="9"/>
      </font>
      <fill>
        <patternFill patternType="solid">
          <fgColor rgb="FFFBE4EC"/>
        </patternFill>
      </fill>
    </dxf>
    <dxf>
      <font>
        <name val="Segoe UI"/>
        <b val="1"/>
        <color rgb="FF37A169"/>
        <sz val="9"/>
      </font>
      <fill>
        <patternFill patternType="solid">
          <fgColor rgb="FFE8F6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3" customWidth="1" min="4" max="4"/>
    <col width="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0" customWidth="1" min="13" max="13"/>
  </cols>
  <sheetData>
    <row r="1" ht="20" customHeight="1">
      <c r="A1" s="1" t="inlineStr">
        <is>
          <t>Матриця брендів — ринок готового рису України</t>
        </is>
      </c>
    </row>
    <row r="2">
      <c r="A2" s="2" t="inlineStr">
        <is>
          <t>23 бренди · 84 позиції · зріз 22–23.09.2026. Ціни роздрібні за одну упаковку, без оптових порогів.</t>
        </is>
      </c>
    </row>
    <row r="4" ht="30" customHeight="1">
      <c r="A4" s="3" t="inlineStr">
        <is>
          <t>Бренд</t>
        </is>
      </c>
      <c r="B4" s="3" t="inlineStr">
        <is>
          <t>Країна</t>
        </is>
      </c>
      <c r="C4" s="3" t="inlineStr">
        <is>
          <t>Технологія</t>
        </is>
      </c>
      <c r="D4" s="3" t="inlineStr">
        <is>
          <t>Формат</t>
        </is>
      </c>
      <c r="E4" s="3" t="inlineStr">
        <is>
          <t>SKU</t>
        </is>
      </c>
      <c r="F4" s="3" t="inlineStr">
        <is>
          <t>Ціна min, грн</t>
        </is>
      </c>
      <c r="G4" s="3" t="inlineStr">
        <is>
          <t>Ціна max, грн</t>
        </is>
      </c>
      <c r="H4" s="3" t="inlineStr">
        <is>
          <t>Медіана, грн</t>
        </is>
      </c>
      <c r="I4" s="3" t="inlineStr">
        <is>
          <t>Вага min, г</t>
        </is>
      </c>
      <c r="J4" s="3" t="inlineStr">
        <is>
          <t>Вага max, г</t>
        </is>
      </c>
      <c r="K4" s="3" t="inlineStr">
        <is>
          <t>грн/100 г min</t>
        </is>
      </c>
      <c r="L4" s="3" t="inlineStr">
        <is>
          <t>грн/100 г max</t>
        </is>
      </c>
      <c r="M4" s="3" t="inlineStr">
        <is>
          <t>Канал</t>
        </is>
      </c>
    </row>
    <row r="5">
      <c r="A5" s="4" t="inlineStr">
        <is>
          <t>Ben's Original</t>
        </is>
      </c>
      <c r="B5" s="5" t="inlineStr">
        <is>
          <t>ЄС</t>
        </is>
      </c>
      <c r="C5" s="5" t="inlineStr">
        <is>
          <t>Розігрів</t>
        </is>
      </c>
      <c r="D5" s="5" t="inlineStr">
        <is>
          <t>Пауч</t>
        </is>
      </c>
      <c r="E5" s="5" t="n">
        <v>13</v>
      </c>
      <c r="F5" s="6" t="n">
        <v>45</v>
      </c>
      <c r="G5" s="6" t="n">
        <v>179</v>
      </c>
      <c r="H5" s="6" t="n">
        <v>90</v>
      </c>
      <c r="I5" s="6" t="n">
        <v>220</v>
      </c>
      <c r="J5" s="6" t="n">
        <v>250</v>
      </c>
      <c r="K5" s="6" t="n">
        <v>18</v>
      </c>
      <c r="L5" s="6" t="n">
        <v>81</v>
      </c>
      <c r="M5" s="5" t="inlineStr">
        <is>
          <t>Мережа + маркетплейс</t>
        </is>
      </c>
    </row>
    <row r="6">
      <c r="A6" s="7" t="inlineStr">
        <is>
          <t>Маркел</t>
        </is>
      </c>
      <c r="B6" s="8" t="inlineStr">
        <is>
          <t>Україна</t>
        </is>
      </c>
      <c r="C6" s="8" t="inlineStr">
        <is>
          <t>Розігрів</t>
        </is>
      </c>
      <c r="D6" s="8" t="inlineStr">
        <is>
          <t>Пауч</t>
        </is>
      </c>
      <c r="E6" s="8" t="n">
        <v>1</v>
      </c>
      <c r="F6" s="9" t="n">
        <v>94</v>
      </c>
      <c r="G6" s="9" t="n">
        <v>96</v>
      </c>
      <c r="H6" s="9" t="n">
        <v>95</v>
      </c>
      <c r="I6" s="9" t="n">
        <v>350</v>
      </c>
      <c r="J6" s="9" t="n">
        <v>350</v>
      </c>
      <c r="K6" s="9" t="n">
        <v>27</v>
      </c>
      <c r="L6" s="9" t="n">
        <v>27</v>
      </c>
      <c r="M6" s="8" t="inlineStr">
        <is>
          <t>Військторг</t>
        </is>
      </c>
    </row>
    <row r="7">
      <c r="A7" s="4" t="inlineStr">
        <is>
          <t>Portion</t>
        </is>
      </c>
      <c r="B7" s="5" t="inlineStr">
        <is>
          <t>Україна</t>
        </is>
      </c>
      <c r="C7" s="5" t="inlineStr">
        <is>
          <t>Розігрів</t>
        </is>
      </c>
      <c r="D7" s="5" t="inlineStr">
        <is>
          <t>Пауч</t>
        </is>
      </c>
      <c r="E7" s="5" t="n">
        <v>1</v>
      </c>
      <c r="F7" s="6" t="n">
        <v>109</v>
      </c>
      <c r="G7" s="6" t="n">
        <v>109</v>
      </c>
      <c r="H7" s="6" t="n">
        <v>109</v>
      </c>
      <c r="I7" s="6" t="n">
        <v>350</v>
      </c>
      <c r="J7" s="6" t="n">
        <v>350</v>
      </c>
      <c r="K7" s="6" t="n">
        <v>31</v>
      </c>
      <c r="L7" s="6" t="n">
        <v>31</v>
      </c>
      <c r="M7" s="5" t="inlineStr">
        <is>
          <t>Маркетплейс</t>
        </is>
      </c>
    </row>
    <row r="8">
      <c r="A8" s="7" t="inlineStr">
        <is>
          <t>Харчі</t>
        </is>
      </c>
      <c r="B8" s="8" t="inlineStr">
        <is>
          <t>Україна</t>
        </is>
      </c>
      <c r="C8" s="8" t="inlineStr">
        <is>
          <t>Сублімація</t>
        </is>
      </c>
      <c r="D8" s="8" t="inlineStr">
        <is>
          <t>Дойпак</t>
        </is>
      </c>
      <c r="E8" s="8" t="n">
        <v>4</v>
      </c>
      <c r="F8" s="9" t="n">
        <v>83</v>
      </c>
      <c r="G8" s="9" t="n">
        <v>321</v>
      </c>
      <c r="H8" s="9" t="n">
        <v>120</v>
      </c>
      <c r="I8" s="9" t="n">
        <v>85</v>
      </c>
      <c r="J8" s="9" t="n">
        <v>100</v>
      </c>
      <c r="K8" s="9" t="n">
        <v>98</v>
      </c>
      <c r="L8" s="9" t="n">
        <v>321</v>
      </c>
      <c r="M8" s="8" t="inlineStr">
        <is>
          <t>Туризм</t>
        </is>
      </c>
    </row>
    <row r="9">
      <c r="A9" s="4" t="inlineStr">
        <is>
          <t>James Cook</t>
        </is>
      </c>
      <c r="B9" s="5" t="inlineStr">
        <is>
          <t>Україна</t>
        </is>
      </c>
      <c r="C9" s="5" t="inlineStr">
        <is>
          <t>Сублімація</t>
        </is>
      </c>
      <c r="D9" s="5" t="inlineStr">
        <is>
          <t>Дойпак</t>
        </is>
      </c>
      <c r="E9" s="5" t="n">
        <v>4</v>
      </c>
      <c r="F9" s="6" t="n">
        <v>55</v>
      </c>
      <c r="G9" s="6" t="n">
        <v>156</v>
      </c>
      <c r="H9" s="6" t="n">
        <v>133</v>
      </c>
      <c r="I9" s="6" t="n">
        <v>80</v>
      </c>
      <c r="J9" s="6" t="n">
        <v>90</v>
      </c>
      <c r="K9" s="6" t="n">
        <v>61</v>
      </c>
      <c r="L9" s="6" t="n">
        <v>195</v>
      </c>
      <c r="M9" s="5" t="inlineStr">
        <is>
          <t>Туризм</t>
        </is>
      </c>
    </row>
    <row r="10">
      <c r="A10" s="7" t="inlineStr">
        <is>
          <t>!FEST</t>
        </is>
      </c>
      <c r="B10" s="8" t="inlineStr">
        <is>
          <t>Україна</t>
        </is>
      </c>
      <c r="C10" s="8" t="inlineStr">
        <is>
          <t>Сублімація</t>
        </is>
      </c>
      <c r="D10" s="8" t="inlineStr">
        <is>
          <t>Дойпак</t>
        </is>
      </c>
      <c r="E10" s="8" t="n">
        <v>1</v>
      </c>
      <c r="F10" s="9" t="n">
        <v>133</v>
      </c>
      <c r="G10" s="9" t="n">
        <v>140</v>
      </c>
      <c r="H10" s="9" t="n">
        <v>137</v>
      </c>
      <c r="I10" s="9" t="n">
        <v>100</v>
      </c>
      <c r="J10" s="9" t="n">
        <v>100</v>
      </c>
      <c r="K10" s="9" t="n">
        <v>133</v>
      </c>
      <c r="L10" s="9" t="n">
        <v>140</v>
      </c>
      <c r="M10" s="8" t="inlineStr">
        <is>
          <t>Туризм</t>
        </is>
      </c>
    </row>
    <row r="11">
      <c r="A11" s="4" t="inlineStr">
        <is>
          <t>Їжа в Похід</t>
        </is>
      </c>
      <c r="B11" s="5" t="inlineStr">
        <is>
          <t>Україна</t>
        </is>
      </c>
      <c r="C11" s="5" t="inlineStr">
        <is>
          <t>Сублімація</t>
        </is>
      </c>
      <c r="D11" s="5" t="inlineStr">
        <is>
          <t>Дойпак</t>
        </is>
      </c>
      <c r="E11" s="5" t="n">
        <v>2</v>
      </c>
      <c r="F11" s="6" t="n">
        <v>130</v>
      </c>
      <c r="G11" s="6" t="n">
        <v>145</v>
      </c>
      <c r="H11" s="6" t="n">
        <v>138</v>
      </c>
      <c r="I11" s="6" t="n">
        <v>85</v>
      </c>
      <c r="J11" s="6" t="n">
        <v>85</v>
      </c>
      <c r="K11" s="6" t="n">
        <v>153</v>
      </c>
      <c r="L11" s="6" t="n">
        <v>171</v>
      </c>
      <c r="M11" s="5" t="inlineStr">
        <is>
          <t>Власний магазин</t>
        </is>
      </c>
    </row>
    <row r="12">
      <c r="A12" s="7" t="inlineStr">
        <is>
          <t>Henan</t>
        </is>
      </c>
      <c r="B12" s="8" t="inlineStr">
        <is>
          <t>Китай</t>
        </is>
      </c>
      <c r="C12" s="8" t="inlineStr">
        <is>
          <t>Окріп</t>
        </is>
      </c>
      <c r="D12" s="8" t="inlineStr">
        <is>
          <t>Чаша</t>
        </is>
      </c>
      <c r="E12" s="8" t="n">
        <v>8</v>
      </c>
      <c r="F12" s="9" t="n">
        <v>83</v>
      </c>
      <c r="G12" s="9" t="n">
        <v>156</v>
      </c>
      <c r="H12" s="9" t="n">
        <v>140</v>
      </c>
      <c r="I12" s="9" t="n">
        <v>144</v>
      </c>
      <c r="J12" s="9" t="n">
        <v>174</v>
      </c>
      <c r="K12" s="9" t="n">
        <v>58</v>
      </c>
      <c r="L12" s="9" t="n">
        <v>106</v>
      </c>
      <c r="M12" s="8" t="inlineStr">
        <is>
          <t>Азійські фудшопи + МП</t>
        </is>
      </c>
    </row>
    <row r="13">
      <c r="A13" s="4" t="inlineStr">
        <is>
          <t>Bibigo</t>
        </is>
      </c>
      <c r="B13" s="5" t="inlineStr">
        <is>
          <t>Корея</t>
        </is>
      </c>
      <c r="C13" s="5" t="inlineStr">
        <is>
          <t>Розігрів</t>
        </is>
      </c>
      <c r="D13" s="5" t="inlineStr">
        <is>
          <t>Чаша</t>
        </is>
      </c>
      <c r="E13" s="5" t="n">
        <v>1</v>
      </c>
      <c r="F13" s="6" t="n">
        <v>135</v>
      </c>
      <c r="G13" s="6" t="n">
        <v>189</v>
      </c>
      <c r="H13" s="6" t="n">
        <v>162</v>
      </c>
      <c r="I13" s="6" t="n">
        <v>210</v>
      </c>
      <c r="J13" s="6" t="n">
        <v>210</v>
      </c>
      <c r="K13" s="6" t="n">
        <v>64</v>
      </c>
      <c r="L13" s="6" t="n">
        <v>90</v>
      </c>
      <c r="M13" s="5" t="inlineStr">
        <is>
          <t>Фудшопи + маркетплейс</t>
        </is>
      </c>
    </row>
    <row r="14">
      <c r="A14" s="7" t="inlineStr">
        <is>
          <t>Gallina Blanca</t>
        </is>
      </c>
      <c r="B14" s="8" t="inlineStr">
        <is>
          <t>ЄС</t>
        </is>
      </c>
      <c r="C14" s="8" t="inlineStr">
        <is>
          <t>Окріп</t>
        </is>
      </c>
      <c r="D14" s="8" t="inlineStr">
        <is>
          <t>Чаша</t>
        </is>
      </c>
      <c r="E14" s="8" t="n">
        <v>2</v>
      </c>
      <c r="F14" s="9" t="n">
        <v>229</v>
      </c>
      <c r="G14" s="9" t="n">
        <v>229</v>
      </c>
      <c r="H14" s="9" t="n">
        <v>229</v>
      </c>
      <c r="I14" s="9" t="n">
        <v>84</v>
      </c>
      <c r="J14" s="9" t="n">
        <v>84</v>
      </c>
      <c r="K14" s="9" t="n">
        <v>273</v>
      </c>
      <c r="L14" s="9" t="n">
        <v>273</v>
      </c>
      <c r="M14" s="8" t="inlineStr">
        <is>
          <t>Спец. магазин</t>
        </is>
      </c>
    </row>
    <row r="15">
      <c r="A15" s="4" t="inlineStr">
        <is>
          <t>Ottogi</t>
        </is>
      </c>
      <c r="B15" s="5" t="inlineStr">
        <is>
          <t>Корея</t>
        </is>
      </c>
      <c r="C15" s="5" t="inlineStr">
        <is>
          <t>Розігрів</t>
        </is>
      </c>
      <c r="D15" s="5" t="inlineStr">
        <is>
          <t>Чаша</t>
        </is>
      </c>
      <c r="E15" s="5" t="n">
        <v>10</v>
      </c>
      <c r="F15" s="6" t="n">
        <v>225</v>
      </c>
      <c r="G15" s="6" t="n">
        <v>356</v>
      </c>
      <c r="H15" s="6" t="n">
        <v>255</v>
      </c>
      <c r="I15" s="6" t="n">
        <v>217</v>
      </c>
      <c r="J15" s="6" t="n">
        <v>320</v>
      </c>
      <c r="K15" s="6" t="n">
        <v>79</v>
      </c>
      <c r="L15" s="6" t="n">
        <v>130</v>
      </c>
      <c r="M15" s="5" t="inlineStr">
        <is>
          <t>Азійські фудшопи</t>
        </is>
      </c>
    </row>
    <row r="16">
      <c r="A16" s="7" t="inlineStr">
        <is>
          <t>SubliMate</t>
        </is>
      </c>
      <c r="B16" s="8" t="inlineStr">
        <is>
          <t>Україна</t>
        </is>
      </c>
      <c r="C16" s="8" t="inlineStr">
        <is>
          <t>Сублімація</t>
        </is>
      </c>
      <c r="D16" s="8" t="inlineStr">
        <is>
          <t>Дойпак</t>
        </is>
      </c>
      <c r="E16" s="8" t="n">
        <v>3</v>
      </c>
      <c r="F16" s="9" t="n">
        <v>290</v>
      </c>
      <c r="G16" s="9" t="n">
        <v>370</v>
      </c>
      <c r="H16" s="9" t="n">
        <v>310</v>
      </c>
      <c r="I16" s="9" t="n">
        <v>110</v>
      </c>
      <c r="J16" s="9" t="n">
        <v>140</v>
      </c>
      <c r="K16" s="9" t="n">
        <v>221</v>
      </c>
      <c r="L16" s="9" t="n">
        <v>308</v>
      </c>
      <c r="M16" s="8" t="inlineStr">
        <is>
          <t>Туризм</t>
        </is>
      </c>
    </row>
    <row r="17">
      <c r="A17" s="4" t="inlineStr">
        <is>
          <t>Clearspring</t>
        </is>
      </c>
      <c r="B17" s="5" t="inlineStr">
        <is>
          <t>ЄС</t>
        </is>
      </c>
      <c r="C17" s="5" t="inlineStr">
        <is>
          <t>Розігрів</t>
        </is>
      </c>
      <c r="D17" s="5" t="inlineStr">
        <is>
          <t>Пауч</t>
        </is>
      </c>
      <c r="E17" s="5" t="n">
        <v>1</v>
      </c>
      <c r="F17" s="6" t="n">
        <v>252</v>
      </c>
      <c r="G17" s="6" t="n">
        <v>446</v>
      </c>
      <c r="H17" s="6" t="n">
        <v>349</v>
      </c>
      <c r="I17" s="6" t="n">
        <v>250</v>
      </c>
      <c r="J17" s="6" t="n">
        <v>250</v>
      </c>
      <c r="K17" s="6" t="n">
        <v>101</v>
      </c>
      <c r="L17" s="6" t="n">
        <v>178</v>
      </c>
      <c r="M17" s="5" t="inlineStr">
        <is>
          <t>Маркетплейс + спец.</t>
        </is>
      </c>
    </row>
    <row r="18">
      <c r="A18" s="7" t="inlineStr">
        <is>
          <t>Adventure Menu</t>
        </is>
      </c>
      <c r="B18" s="8" t="inlineStr">
        <is>
          <t>ЄС</t>
        </is>
      </c>
      <c r="C18" s="8" t="inlineStr">
        <is>
          <t>Розігрів+Субл.</t>
        </is>
      </c>
      <c r="D18" s="8" t="inlineStr">
        <is>
          <t>Пауч/Дойпак</t>
        </is>
      </c>
      <c r="E18" s="8" t="n">
        <v>5</v>
      </c>
      <c r="F18" s="9" t="n">
        <v>315</v>
      </c>
      <c r="G18" s="9" t="n">
        <v>483</v>
      </c>
      <c r="H18" s="9" t="n">
        <v>378</v>
      </c>
      <c r="I18" s="9" t="n">
        <v>110</v>
      </c>
      <c r="J18" s="9" t="n">
        <v>400</v>
      </c>
      <c r="K18" s="9" t="n">
        <v>79</v>
      </c>
      <c r="L18" s="9" t="n">
        <v>439</v>
      </c>
      <c r="M18" s="8" t="inlineStr">
        <is>
          <t>Туризм</t>
        </is>
      </c>
    </row>
    <row r="19">
      <c r="A19" s="4" t="inlineStr">
        <is>
          <t>Trek'n Eat</t>
        </is>
      </c>
      <c r="B19" s="5" t="inlineStr">
        <is>
          <t>ЄС</t>
        </is>
      </c>
      <c r="C19" s="5" t="inlineStr">
        <is>
          <t>Сублімація</t>
        </is>
      </c>
      <c r="D19" s="5" t="inlineStr">
        <is>
          <t>Дойпак</t>
        </is>
      </c>
      <c r="E19" s="5" t="n">
        <v>2</v>
      </c>
      <c r="F19" s="6" t="n">
        <v>269</v>
      </c>
      <c r="G19" s="6" t="n">
        <v>715</v>
      </c>
      <c r="H19" s="6" t="n">
        <v>492</v>
      </c>
      <c r="I19" s="6" t="n"/>
      <c r="J19" s="6" t="n"/>
      <c r="K19" s="6" t="n"/>
      <c r="L19" s="6" t="n"/>
      <c r="M19" s="5" t="inlineStr">
        <is>
          <t>Туризм</t>
        </is>
      </c>
    </row>
    <row r="20">
      <c r="A20" s="7" t="inlineStr">
        <is>
          <t>Adventure Food</t>
        </is>
      </c>
      <c r="B20" s="8" t="inlineStr">
        <is>
          <t>ЄС</t>
        </is>
      </c>
      <c r="C20" s="8" t="inlineStr">
        <is>
          <t>Сублімація</t>
        </is>
      </c>
      <c r="D20" s="8" t="inlineStr">
        <is>
          <t>Дойпак</t>
        </is>
      </c>
      <c r="E20" s="8" t="n">
        <v>1</v>
      </c>
      <c r="F20" s="9" t="n">
        <v>492</v>
      </c>
      <c r="G20" s="9" t="n">
        <v>492</v>
      </c>
      <c r="H20" s="9" t="n">
        <v>492</v>
      </c>
      <c r="I20" s="9" t="n">
        <v>146</v>
      </c>
      <c r="J20" s="9" t="n">
        <v>146</v>
      </c>
      <c r="K20" s="9" t="n">
        <v>337</v>
      </c>
      <c r="L20" s="9" t="n">
        <v>337</v>
      </c>
      <c r="M20" s="8" t="inlineStr">
        <is>
          <t>Туризм</t>
        </is>
      </c>
    </row>
    <row r="21">
      <c r="A21" s="4" t="inlineStr">
        <is>
          <t>Qiaoshanmei</t>
        </is>
      </c>
      <c r="B21" s="5" t="inlineStr">
        <is>
          <t>Китай</t>
        </is>
      </c>
      <c r="C21" s="5" t="inlineStr">
        <is>
          <t>Окріп</t>
        </is>
      </c>
      <c r="D21" s="5" t="inlineStr">
        <is>
          <t>Пакет</t>
        </is>
      </c>
      <c r="E21" s="5" t="n">
        <v>2</v>
      </c>
      <c r="F21" s="6" t="n">
        <v>501</v>
      </c>
      <c r="G21" s="6" t="n">
        <v>501</v>
      </c>
      <c r="H21" s="6" t="n">
        <v>501</v>
      </c>
      <c r="I21" s="6" t="n">
        <v>146</v>
      </c>
      <c r="J21" s="6" t="n">
        <v>146</v>
      </c>
      <c r="K21" s="6" t="n">
        <v>343</v>
      </c>
      <c r="L21" s="6" t="n">
        <v>343</v>
      </c>
      <c r="M21" s="5" t="inlineStr">
        <is>
          <t>Азійський фудшоп</t>
        </is>
      </c>
    </row>
    <row r="22">
      <c r="A22" s="7" t="inlineStr">
        <is>
          <t>Travellunch</t>
        </is>
      </c>
      <c r="B22" s="8" t="inlineStr">
        <is>
          <t>ЄС</t>
        </is>
      </c>
      <c r="C22" s="8" t="inlineStr">
        <is>
          <t>Сублімація</t>
        </is>
      </c>
      <c r="D22" s="8" t="inlineStr">
        <is>
          <t>Дойпак</t>
        </is>
      </c>
      <c r="E22" s="8" t="n">
        <v>7</v>
      </c>
      <c r="F22" s="9" t="n">
        <v>275</v>
      </c>
      <c r="G22" s="9" t="n">
        <v>889</v>
      </c>
      <c r="H22" s="9" t="n">
        <v>515</v>
      </c>
      <c r="I22" s="9" t="n">
        <v>125</v>
      </c>
      <c r="J22" s="9" t="n">
        <v>250</v>
      </c>
      <c r="K22" s="9" t="n">
        <v>220</v>
      </c>
      <c r="L22" s="9" t="n">
        <v>454</v>
      </c>
      <c r="M22" s="8" t="inlineStr">
        <is>
          <t>Туризм</t>
        </is>
      </c>
    </row>
    <row r="23">
      <c r="A23" s="4" t="inlineStr">
        <is>
          <t>Haidilao</t>
        </is>
      </c>
      <c r="B23" s="5" t="inlineStr">
        <is>
          <t>Китай</t>
        </is>
      </c>
      <c r="C23" s="5" t="inlineStr">
        <is>
          <t>Саморозігрів</t>
        </is>
      </c>
      <c r="D23" s="5" t="inlineStr">
        <is>
          <t>Коробка</t>
        </is>
      </c>
      <c r="E23" s="5" t="n">
        <v>10</v>
      </c>
      <c r="F23" s="6" t="n">
        <v>380</v>
      </c>
      <c r="G23" s="6" t="n">
        <v>1190</v>
      </c>
      <c r="H23" s="6" t="n">
        <v>680</v>
      </c>
      <c r="I23" s="6" t="n">
        <v>165</v>
      </c>
      <c r="J23" s="6" t="n">
        <v>360</v>
      </c>
      <c r="K23" s="6" t="n">
        <v>230</v>
      </c>
      <c r="L23" s="6" t="n">
        <v>371</v>
      </c>
      <c r="M23" s="5" t="inlineStr">
        <is>
          <t>Туризм + фудшопи</t>
        </is>
      </c>
    </row>
    <row r="24">
      <c r="A24" s="7" t="inlineStr">
        <is>
          <t>Mountain House</t>
        </is>
      </c>
      <c r="B24" s="8" t="inlineStr">
        <is>
          <t>США</t>
        </is>
      </c>
      <c r="C24" s="8" t="inlineStr">
        <is>
          <t>Сублімація</t>
        </is>
      </c>
      <c r="D24" s="8" t="inlineStr">
        <is>
          <t>Дойпак</t>
        </is>
      </c>
      <c r="E24" s="8" t="n">
        <v>2</v>
      </c>
      <c r="F24" s="9" t="n">
        <v>699</v>
      </c>
      <c r="G24" s="9" t="n">
        <v>699</v>
      </c>
      <c r="H24" s="9" t="n">
        <v>699</v>
      </c>
      <c r="I24" s="9" t="n">
        <v>110</v>
      </c>
      <c r="J24" s="9" t="n">
        <v>133</v>
      </c>
      <c r="K24" s="9" t="n">
        <v>526</v>
      </c>
      <c r="L24" s="9" t="n">
        <v>635</v>
      </c>
      <c r="M24" s="8" t="inlineStr">
        <is>
          <t>Туризм</t>
        </is>
      </c>
    </row>
    <row r="25">
      <c r="A25" s="4" t="inlineStr">
        <is>
          <t>Zihaiguo</t>
        </is>
      </c>
      <c r="B25" s="5" t="inlineStr">
        <is>
          <t>Китай</t>
        </is>
      </c>
      <c r="C25" s="5" t="inlineStr">
        <is>
          <t>Саморозігрів</t>
        </is>
      </c>
      <c r="D25" s="5" t="inlineStr">
        <is>
          <t>Коробка</t>
        </is>
      </c>
      <c r="E25" s="5" t="n">
        <v>1</v>
      </c>
      <c r="F25" s="6" t="n">
        <v>735</v>
      </c>
      <c r="G25" s="6" t="n">
        <v>735</v>
      </c>
      <c r="H25" s="6" t="n">
        <v>735</v>
      </c>
      <c r="I25" s="6" t="n">
        <v>440</v>
      </c>
      <c r="J25" s="6" t="n">
        <v>440</v>
      </c>
      <c r="K25" s="6" t="n">
        <v>167</v>
      </c>
      <c r="L25" s="6" t="n">
        <v>167</v>
      </c>
      <c r="M25" s="5" t="inlineStr">
        <is>
          <t>Азійський фудшоп</t>
        </is>
      </c>
    </row>
    <row r="26">
      <c r="A26" s="7" t="inlineStr">
        <is>
          <t>Rongcheng Haoji</t>
        </is>
      </c>
      <c r="B26" s="8" t="inlineStr">
        <is>
          <t>Китай</t>
        </is>
      </c>
      <c r="C26" s="8" t="inlineStr">
        <is>
          <t>Саморозігрів</t>
        </is>
      </c>
      <c r="D26" s="8" t="inlineStr">
        <is>
          <t>Коробка</t>
        </is>
      </c>
      <c r="E26" s="8" t="n">
        <v>1</v>
      </c>
      <c r="F26" s="9" t="n">
        <v>735</v>
      </c>
      <c r="G26" s="9" t="n">
        <v>735</v>
      </c>
      <c r="H26" s="9" t="n">
        <v>735</v>
      </c>
      <c r="I26" s="9" t="n">
        <v>440</v>
      </c>
      <c r="J26" s="9" t="n">
        <v>440</v>
      </c>
      <c r="K26" s="9" t="n">
        <v>167</v>
      </c>
      <c r="L26" s="9" t="n">
        <v>167</v>
      </c>
      <c r="M26" s="8" t="inlineStr">
        <is>
          <t>Азійський фудшоп</t>
        </is>
      </c>
    </row>
    <row r="27">
      <c r="A27" s="4" t="inlineStr">
        <is>
          <t>Mo Xiao Xian</t>
        </is>
      </c>
      <c r="B27" s="5" t="inlineStr">
        <is>
          <t>Китай</t>
        </is>
      </c>
      <c r="C27" s="5" t="inlineStr">
        <is>
          <t>Саморозігрів</t>
        </is>
      </c>
      <c r="D27" s="5" t="inlineStr">
        <is>
          <t>Чаша</t>
        </is>
      </c>
      <c r="E27" s="5" t="n">
        <v>2</v>
      </c>
      <c r="F27" s="6" t="n">
        <v>931</v>
      </c>
      <c r="G27" s="6" t="n">
        <v>931</v>
      </c>
      <c r="H27" s="6" t="n">
        <v>931</v>
      </c>
      <c r="I27" s="6" t="n">
        <v>275</v>
      </c>
      <c r="J27" s="6" t="n">
        <v>275</v>
      </c>
      <c r="K27" s="6" t="n">
        <v>339</v>
      </c>
      <c r="L27" s="6" t="n">
        <v>339</v>
      </c>
      <c r="M27" s="5" t="inlineStr">
        <is>
          <t>Азійський фудшоп</t>
        </is>
      </c>
    </row>
  </sheetData>
  <autoFilter ref="A4:M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17" customWidth="1" min="5" max="5"/>
    <col width="11" customWidth="1" min="6" max="6"/>
    <col width="11" customWidth="1" min="7" max="7"/>
    <col width="16" customWidth="1" min="8" max="8"/>
    <col width="12" customWidth="1" min="9" max="9"/>
    <col width="52" customWidth="1" min="10" max="10"/>
  </cols>
  <sheetData>
    <row r="1" ht="20" customHeight="1">
      <c r="A1" s="1" t="inlineStr">
        <is>
          <t>Аналітика форматів упаковки</t>
        </is>
      </c>
    </row>
    <row r="2">
      <c r="A2" s="2" t="inlineStr">
        <is>
          <t>Розподіл 84 позицій. грн/100 г = медіана ціни формату / медіану ваги формату.</t>
        </is>
      </c>
    </row>
    <row r="4" ht="30" customHeight="1">
      <c r="A4" s="3" t="inlineStr">
        <is>
          <t>Формат</t>
        </is>
      </c>
      <c r="B4" s="3" t="inlineStr">
        <is>
          <t>Позицій</t>
        </is>
      </c>
      <c r="C4" s="3" t="inlineStr">
        <is>
          <t>Частка позицій</t>
        </is>
      </c>
      <c r="D4" s="3" t="inlineStr">
        <is>
          <t>Брендів</t>
        </is>
      </c>
      <c r="E4" s="3" t="inlineStr">
        <is>
          <t>Медіана ціни, грн</t>
        </is>
      </c>
      <c r="F4" s="3" t="inlineStr">
        <is>
          <t>Ціна min</t>
        </is>
      </c>
      <c r="G4" s="3" t="inlineStr">
        <is>
          <t>Ціна max</t>
        </is>
      </c>
      <c r="H4" s="3" t="inlineStr">
        <is>
          <t>Медіана ваги, г</t>
        </is>
      </c>
      <c r="I4" s="3" t="inlineStr">
        <is>
          <t>грн/100 г</t>
        </is>
      </c>
      <c r="J4" s="3" t="inlineStr">
        <is>
          <t>Коментар</t>
        </is>
      </c>
    </row>
    <row r="5">
      <c r="A5" s="10" t="inlineStr">
        <is>
          <t>Пауч · реторт</t>
        </is>
      </c>
      <c r="B5" s="6" t="n">
        <v>19</v>
      </c>
      <c r="C5" s="11" t="n">
        <v>0.23</v>
      </c>
      <c r="D5" s="6" t="n">
        <v>5</v>
      </c>
      <c r="E5" s="6" t="n">
        <v>109</v>
      </c>
      <c r="F5" s="6" t="n">
        <v>45</v>
      </c>
      <c r="G5" s="6" t="n">
        <v>376</v>
      </c>
      <c r="H5" s="6" t="n">
        <v>250</v>
      </c>
      <c r="I5" s="12">
        <f>E5/H5*100</f>
        <v/>
      </c>
      <c r="J5" s="13" t="inlineStr">
        <is>
          <t>Формат мережевої полиці. Найнижча ціна входу в категорію.</t>
        </is>
      </c>
    </row>
    <row r="6">
      <c r="A6" s="10" t="inlineStr">
        <is>
          <t>Чаша · стакан</t>
        </is>
      </c>
      <c r="B6" s="6" t="n">
        <v>23</v>
      </c>
      <c r="C6" s="11" t="n">
        <v>0.27</v>
      </c>
      <c r="D6" s="6" t="n">
        <v>5</v>
      </c>
      <c r="E6" s="6" t="n">
        <v>229</v>
      </c>
      <c r="F6" s="6" t="n">
        <v>83</v>
      </c>
      <c r="G6" s="6" t="n">
        <v>931</v>
      </c>
      <c r="H6" s="6" t="n">
        <v>218</v>
      </c>
      <c r="I6" s="12">
        <f>E6/H6*100</f>
        <v/>
      </c>
      <c r="J6" s="13" t="inlineStr">
        <is>
          <t>Формат азійського каналу. Прямі конкуренти Ottogi і Henan.</t>
        </is>
      </c>
    </row>
    <row r="7">
      <c r="A7" s="10" t="inlineStr">
        <is>
          <t>Дойпак · сублімат</t>
        </is>
      </c>
      <c r="B7" s="6" t="n">
        <v>30</v>
      </c>
      <c r="C7" s="11" t="n">
        <v>0.36</v>
      </c>
      <c r="D7" s="6" t="n">
        <v>11</v>
      </c>
      <c r="E7" s="6" t="n">
        <v>315</v>
      </c>
      <c r="F7" s="6" t="n">
        <v>55</v>
      </c>
      <c r="G7" s="6" t="n">
        <v>889</v>
      </c>
      <c r="H7" s="6" t="n">
        <v>110</v>
      </c>
      <c r="I7" s="12">
        <f>E7/H7*100</f>
        <v/>
      </c>
      <c r="J7" s="13" t="inlineStr">
        <is>
          <t>Формат туристичного каналу. Потребує окропу, не полиця.</t>
        </is>
      </c>
    </row>
    <row r="8">
      <c r="A8" s="10" t="inlineStr">
        <is>
          <t>Коробка з нагрівачем</t>
        </is>
      </c>
      <c r="B8" s="6" t="n">
        <v>12</v>
      </c>
      <c r="C8" s="11" t="n">
        <v>0.14</v>
      </c>
      <c r="D8" s="6" t="n">
        <v>3</v>
      </c>
      <c r="E8" s="6" t="n">
        <v>708</v>
      </c>
      <c r="F8" s="6" t="n">
        <v>380</v>
      </c>
      <c r="G8" s="6" t="n">
        <v>1190</v>
      </c>
      <c r="H8" s="6" t="n">
        <v>230</v>
      </c>
      <c r="I8" s="12">
        <f>E8/H8*100</f>
        <v/>
      </c>
      <c r="J8" s="13" t="inlineStr">
        <is>
          <t>Найдорожчий формат. Купується як подарунок або в дорогу.</t>
        </is>
      </c>
    </row>
    <row r="10">
      <c r="A10" s="14" t="inlineStr">
        <is>
          <t>Висновок</t>
        </is>
      </c>
    </row>
    <row r="11">
      <c r="A11" s="15" t="inlineStr">
        <is>
          <t>Дойпак лідирує за кількістю позицій (36 %), але це артефакт туристичного каналу. За ціною для покупця виграє пауч: 109 грн проти 315 грн.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13" customWidth="1" min="4" max="4"/>
    <col width="10" customWidth="1" min="5" max="5"/>
    <col width="13" customWidth="1" min="6" max="6"/>
    <col width="13" customWidth="1" min="7" max="7"/>
    <col width="12" customWidth="1" min="8" max="8"/>
    <col width="17" customWidth="1" min="9" max="9"/>
    <col width="16" customWidth="1" min="10" max="10"/>
    <col width="14" customWidth="1" min="11" max="11"/>
    <col width="14" customWidth="1" min="12" max="12"/>
    <col width="12" customWidth="1" min="13" max="13"/>
    <col width="26" customWidth="1" min="14" max="14"/>
    <col width="26" customWidth="1" min="15" max="15"/>
  </cols>
  <sheetData>
    <row r="1" ht="20" customHeight="1">
      <c r="A1" s="1" t="inlineStr">
        <is>
          <t>Наша лінійка проти ринку — 32 SKU</t>
        </is>
      </c>
    </row>
    <row r="2">
      <c r="A2" s="2" t="inlineStr">
        <is>
          <t>Полиця розрахована за фінмоделлю. Жовті клітинки на аркуші «5. Калькулятор» керують розрахунком.</t>
        </is>
      </c>
    </row>
    <row r="4" ht="30" customHeight="1">
      <c r="A4" s="3" t="inlineStr">
        <is>
          <t>Група</t>
        </is>
      </c>
      <c r="B4" s="3" t="inlineStr">
        <is>
          <t>SKU</t>
        </is>
      </c>
      <c r="C4" s="3" t="inlineStr">
        <is>
          <t>Вага, г</t>
        </is>
      </c>
      <c r="D4" s="3" t="inlineStr">
        <is>
          <t>Постачальник</t>
        </is>
      </c>
      <c r="E4" s="3" t="inlineStr">
        <is>
          <t>Формат</t>
        </is>
      </c>
      <c r="F4" s="3" t="inlineStr">
        <is>
          <t>СС 20′ FCL, $</t>
        </is>
      </c>
      <c r="G4" s="3" t="inlineStr">
        <is>
          <t>СС 40′ FCL, $</t>
        </is>
      </c>
      <c r="H4" s="3" t="inlineStr">
        <is>
          <t>СС 20′, грн</t>
        </is>
      </c>
      <c r="I4" s="3" t="inlineStr">
        <is>
          <t>Ціна партнеру, грн</t>
        </is>
      </c>
      <c r="J4" s="3" t="inlineStr">
        <is>
          <t>Бонус мережі, грн</t>
        </is>
      </c>
      <c r="K4" s="3" t="inlineStr">
        <is>
          <t>Полиця 20′, грн</t>
        </is>
      </c>
      <c r="L4" s="3" t="inlineStr">
        <is>
          <t>Полиця 40′, грн</t>
        </is>
      </c>
      <c r="M4" s="3" t="inlineStr">
        <is>
          <t>грн/100 г</t>
        </is>
      </c>
      <c r="N4" s="3" t="inlineStr">
        <is>
          <t>Ринковий орієнтир</t>
        </is>
      </c>
      <c r="O4" s="3" t="inlineStr">
        <is>
          <t>Позиція</t>
        </is>
      </c>
    </row>
    <row r="5">
      <c r="A5" s="5" t="inlineStr">
        <is>
          <t>BSCM — пауч 240 г</t>
        </is>
      </c>
      <c r="B5" s="4" t="inlineStr">
        <is>
          <t>Jasmine Rice</t>
        </is>
      </c>
      <c r="C5" s="6" t="n">
        <v>240</v>
      </c>
      <c r="D5" s="5" t="inlineStr">
        <is>
          <t>BSCM</t>
        </is>
      </c>
      <c r="E5" s="5" t="inlineStr">
        <is>
          <t>Пауч</t>
        </is>
      </c>
      <c r="F5" s="16" t="n">
        <v>0.995418606770833</v>
      </c>
      <c r="G5" s="16" t="n">
        <v>0.892315648148148</v>
      </c>
      <c r="H5" s="17">
        <f>F5*'5. Калькулятор'!$B$4</f>
        <v/>
      </c>
      <c r="I5" s="17">
        <f>H5/'5. Калькулятор'!$B$8</f>
        <v/>
      </c>
      <c r="J5" s="17">
        <f>I5*'5. Калькулятор'!$B$5</f>
        <v/>
      </c>
      <c r="K5" s="18">
        <f>I5*'5. Калькулятор'!$B$7</f>
        <v/>
      </c>
      <c r="L5" s="6">
        <f>G5*'5. Калькулятор'!$B$4/'5. Калькулятор'!$B$8*'5. Калькулятор'!$B$7</f>
        <v/>
      </c>
      <c r="M5" s="18">
        <f>K5/C5*100</f>
        <v/>
      </c>
      <c r="N5" s="5" t="inlineStr">
        <is>
          <t>Ben's 45–179 · медіана 90</t>
        </is>
      </c>
      <c r="O5" s="5">
        <f>IF(K5&lt;=180,IF(K5&lt;=109,"у низу вікна полиці","у вікні полиці 45–180"),"вище вікна полиці")</f>
        <v/>
      </c>
    </row>
    <row r="6">
      <c r="A6" s="8" t="inlineStr">
        <is>
          <t>BSCM — пауч 240 г</t>
        </is>
      </c>
      <c r="B6" s="7" t="inlineStr">
        <is>
          <t>Mexican Rice</t>
        </is>
      </c>
      <c r="C6" s="9" t="n">
        <v>240</v>
      </c>
      <c r="D6" s="8" t="inlineStr">
        <is>
          <t>BSCM</t>
        </is>
      </c>
      <c r="E6" s="8" t="inlineStr">
        <is>
          <t>Пауч</t>
        </is>
      </c>
      <c r="F6" s="19" t="n">
        <v>1.13762102083333</v>
      </c>
      <c r="G6" s="19" t="n">
        <v>1.0197892037037</v>
      </c>
      <c r="H6" s="20">
        <f>F6*'5. Калькулятор'!$B$4</f>
        <v/>
      </c>
      <c r="I6" s="20">
        <f>H6/'5. Калькулятор'!$B$8</f>
        <v/>
      </c>
      <c r="J6" s="20">
        <f>I6*'5. Калькулятор'!$B$5</f>
        <v/>
      </c>
      <c r="K6" s="21">
        <f>I6*'5. Калькулятор'!$B$7</f>
        <v/>
      </c>
      <c r="L6" s="9">
        <f>G6*'5. Калькулятор'!$B$4/'5. Калькулятор'!$B$8*'5. Калькулятор'!$B$7</f>
        <v/>
      </c>
      <c r="M6" s="21">
        <f>K6/C6*100</f>
        <v/>
      </c>
      <c r="N6" s="8" t="inlineStr">
        <is>
          <t>Ben's 45–179 · медіана 90</t>
        </is>
      </c>
      <c r="O6" s="8">
        <f>IF(K6&lt;=180,IF(K6&lt;=109,"у низу вікна полиці","у вікні полиці 45–180"),"вище вікна полиці")</f>
        <v/>
      </c>
    </row>
    <row r="7">
      <c r="A7" s="5" t="inlineStr">
        <is>
          <t>BSCM — пауч 240 г</t>
        </is>
      </c>
      <c r="B7" s="4" t="inlineStr">
        <is>
          <t>Japanese Style Rice</t>
        </is>
      </c>
      <c r="C7" s="6" t="n">
        <v>240</v>
      </c>
      <c r="D7" s="5" t="inlineStr">
        <is>
          <t>BSCM</t>
        </is>
      </c>
      <c r="E7" s="5" t="inlineStr">
        <is>
          <t>Пауч</t>
        </is>
      </c>
      <c r="F7" s="16" t="n">
        <v>1.13762102083333</v>
      </c>
      <c r="G7" s="16" t="n">
        <v>1.0197892037037</v>
      </c>
      <c r="H7" s="17">
        <f>F7*'5. Калькулятор'!$B$4</f>
        <v/>
      </c>
      <c r="I7" s="17">
        <f>H7/'5. Калькулятор'!$B$8</f>
        <v/>
      </c>
      <c r="J7" s="17">
        <f>I7*'5. Калькулятор'!$B$5</f>
        <v/>
      </c>
      <c r="K7" s="18">
        <f>I7*'5. Калькулятор'!$B$7</f>
        <v/>
      </c>
      <c r="L7" s="6">
        <f>G7*'5. Калькулятор'!$B$4/'5. Калькулятор'!$B$8*'5. Калькулятор'!$B$7</f>
        <v/>
      </c>
      <c r="M7" s="18">
        <f>K7/C7*100</f>
        <v/>
      </c>
      <c r="N7" s="5" t="inlineStr">
        <is>
          <t>Ben's 45–179 · медіана 90</t>
        </is>
      </c>
      <c r="O7" s="5">
        <f>IF(K7&lt;=180,IF(K7&lt;=109,"у низу вікна полиці","у вікні полиці 45–180"),"вище вікна полиці")</f>
        <v/>
      </c>
    </row>
    <row r="8">
      <c r="A8" s="8" t="inlineStr">
        <is>
          <t>BSCM — пауч 240 г</t>
        </is>
      </c>
      <c r="B8" s="7" t="inlineStr">
        <is>
          <t>Hot and Spicy Rice</t>
        </is>
      </c>
      <c r="C8" s="9" t="n">
        <v>240</v>
      </c>
      <c r="D8" s="8" t="inlineStr">
        <is>
          <t>BSCM</t>
        </is>
      </c>
      <c r="E8" s="8" t="inlineStr">
        <is>
          <t>Пауч</t>
        </is>
      </c>
      <c r="F8" s="19" t="n">
        <v>1.27982343489583</v>
      </c>
      <c r="G8" s="19" t="n">
        <v>1.14726275925926</v>
      </c>
      <c r="H8" s="20">
        <f>F8*'5. Калькулятор'!$B$4</f>
        <v/>
      </c>
      <c r="I8" s="20">
        <f>H8/'5. Калькулятор'!$B$8</f>
        <v/>
      </c>
      <c r="J8" s="20">
        <f>I8*'5. Калькулятор'!$B$5</f>
        <v/>
      </c>
      <c r="K8" s="21">
        <f>I8*'5. Калькулятор'!$B$7</f>
        <v/>
      </c>
      <c r="L8" s="9">
        <f>G8*'5. Калькулятор'!$B$4/'5. Калькулятор'!$B$8*'5. Калькулятор'!$B$7</f>
        <v/>
      </c>
      <c r="M8" s="21">
        <f>K8/C8*100</f>
        <v/>
      </c>
      <c r="N8" s="8" t="inlineStr">
        <is>
          <t>Ben's 45–179 · медіана 90</t>
        </is>
      </c>
      <c r="O8" s="8">
        <f>IF(K8&lt;=180,IF(K8&lt;=109,"у низу вікна полиці","у вікні полиці 45–180"),"вище вікна полиці")</f>
        <v/>
      </c>
    </row>
    <row r="9">
      <c r="A9" s="5" t="inlineStr">
        <is>
          <t>BSCM — пауч 200 г</t>
        </is>
      </c>
      <c r="B9" s="4" t="inlineStr">
        <is>
          <t>Jasmine Rice (Pathum)</t>
        </is>
      </c>
      <c r="C9" s="6" t="n">
        <v>200</v>
      </c>
      <c r="D9" s="5" t="inlineStr">
        <is>
          <t>BSCM</t>
        </is>
      </c>
      <c r="E9" s="5" t="inlineStr">
        <is>
          <t>Пауч</t>
        </is>
      </c>
      <c r="F9" s="16" t="n">
        <v>0.952556220056099</v>
      </c>
      <c r="G9" s="16" t="n">
        <v>0.846095788605277</v>
      </c>
      <c r="H9" s="17">
        <f>F9*'5. Калькулятор'!$B$4</f>
        <v/>
      </c>
      <c r="I9" s="17">
        <f>H9/'5. Калькулятор'!$B$8</f>
        <v/>
      </c>
      <c r="J9" s="17">
        <f>I9*'5. Калькулятор'!$B$5</f>
        <v/>
      </c>
      <c r="K9" s="18">
        <f>I9*'5. Калькулятор'!$B$7</f>
        <v/>
      </c>
      <c r="L9" s="6">
        <f>G9*'5. Калькулятор'!$B$4/'5. Калькулятор'!$B$8*'5. Калькулятор'!$B$7</f>
        <v/>
      </c>
      <c r="M9" s="18">
        <f>K9/C9*100</f>
        <v/>
      </c>
      <c r="N9" s="5" t="inlineStr">
        <is>
          <t>Ben's 45–179 · медіана 90</t>
        </is>
      </c>
      <c r="O9" s="5">
        <f>IF(K9&lt;=180,IF(K9&lt;=109,"у низу вікна полиці","у вікні полиці 45–180"),"вище вікна полиці")</f>
        <v/>
      </c>
    </row>
    <row r="10">
      <c r="A10" s="8" t="inlineStr">
        <is>
          <t>BSCM — пауч 200 г</t>
        </is>
      </c>
      <c r="B10" s="7" t="inlineStr">
        <is>
          <t>Mexican Rice</t>
        </is>
      </c>
      <c r="C10" s="9" t="n">
        <v>200</v>
      </c>
      <c r="D10" s="8" t="inlineStr">
        <is>
          <t>BSCM</t>
        </is>
      </c>
      <c r="E10" s="8" t="inlineStr">
        <is>
          <t>Пауч</t>
        </is>
      </c>
      <c r="F10" s="19" t="n">
        <v>1.07379043215039</v>
      </c>
      <c r="G10" s="19" t="n">
        <v>0.953780613255561</v>
      </c>
      <c r="H10" s="20">
        <f>F10*'5. Калькулятор'!$B$4</f>
        <v/>
      </c>
      <c r="I10" s="20">
        <f>H10/'5. Калькулятор'!$B$8</f>
        <v/>
      </c>
      <c r="J10" s="20">
        <f>I10*'5. Калькулятор'!$B$5</f>
        <v/>
      </c>
      <c r="K10" s="21">
        <f>I10*'5. Калькулятор'!$B$7</f>
        <v/>
      </c>
      <c r="L10" s="9">
        <f>G10*'5. Калькулятор'!$B$4/'5. Калькулятор'!$B$8*'5. Калькулятор'!$B$7</f>
        <v/>
      </c>
      <c r="M10" s="21">
        <f>K10/C10*100</f>
        <v/>
      </c>
      <c r="N10" s="8" t="inlineStr">
        <is>
          <t>Ben's 45–179 · медіана 90</t>
        </is>
      </c>
      <c r="O10" s="8">
        <f>IF(K10&lt;=180,IF(K10&lt;=109,"у низу вікна полиці","у вікні полиці 45–180"),"вище вікна полиці")</f>
        <v/>
      </c>
    </row>
    <row r="11">
      <c r="A11" s="5" t="inlineStr">
        <is>
          <t>BSCM — пауч 200 г</t>
        </is>
      </c>
      <c r="B11" s="4" t="inlineStr">
        <is>
          <t>Japanese Style Rice</t>
        </is>
      </c>
      <c r="C11" s="6" t="n">
        <v>200</v>
      </c>
      <c r="D11" s="5" t="inlineStr">
        <is>
          <t>BSCM</t>
        </is>
      </c>
      <c r="E11" s="5" t="inlineStr">
        <is>
          <t>Пауч</t>
        </is>
      </c>
      <c r="F11" s="16" t="n">
        <v>1.07379043215039</v>
      </c>
      <c r="G11" s="16" t="n">
        <v>0.953780613255561</v>
      </c>
      <c r="H11" s="17">
        <f>F11*'5. Калькулятор'!$B$4</f>
        <v/>
      </c>
      <c r="I11" s="17">
        <f>H11/'5. Калькулятор'!$B$8</f>
        <v/>
      </c>
      <c r="J11" s="17">
        <f>I11*'5. Калькулятор'!$B$5</f>
        <v/>
      </c>
      <c r="K11" s="18">
        <f>I11*'5. Калькулятор'!$B$7</f>
        <v/>
      </c>
      <c r="L11" s="6">
        <f>G11*'5. Калькулятор'!$B$4/'5. Калькулятор'!$B$8*'5. Калькулятор'!$B$7</f>
        <v/>
      </c>
      <c r="M11" s="18">
        <f>K11/C11*100</f>
        <v/>
      </c>
      <c r="N11" s="5" t="inlineStr">
        <is>
          <t>Ben's 45–179 · медіана 90</t>
        </is>
      </c>
      <c r="O11" s="5">
        <f>IF(K11&lt;=180,IF(K11&lt;=109,"у низу вікна полиці","у вікні полиці 45–180"),"вище вікна полиці")</f>
        <v/>
      </c>
    </row>
    <row r="12">
      <c r="A12" s="8" t="inlineStr">
        <is>
          <t>BSCM — пауч 200 г</t>
        </is>
      </c>
      <c r="B12" s="7" t="inlineStr">
        <is>
          <t>Hot and Spicy Rice</t>
        </is>
      </c>
      <c r="C12" s="9" t="n">
        <v>200</v>
      </c>
      <c r="D12" s="8" t="inlineStr">
        <is>
          <t>BSCM</t>
        </is>
      </c>
      <c r="E12" s="8" t="inlineStr">
        <is>
          <t>Пауч</t>
        </is>
      </c>
      <c r="F12" s="19" t="n">
        <v>1.17770547108835</v>
      </c>
      <c r="G12" s="19" t="n">
        <v>1.04608189152723</v>
      </c>
      <c r="H12" s="20">
        <f>F12*'5. Калькулятор'!$B$4</f>
        <v/>
      </c>
      <c r="I12" s="20">
        <f>H12/'5. Калькулятор'!$B$8</f>
        <v/>
      </c>
      <c r="J12" s="20">
        <f>I12*'5. Калькулятор'!$B$5</f>
        <v/>
      </c>
      <c r="K12" s="21">
        <f>I12*'5. Калькулятор'!$B$7</f>
        <v/>
      </c>
      <c r="L12" s="9">
        <f>G12*'5. Калькулятор'!$B$4/'5. Калькулятор'!$B$8*'5. Калькулятор'!$B$7</f>
        <v/>
      </c>
      <c r="M12" s="21">
        <f>K12/C12*100</f>
        <v/>
      </c>
      <c r="N12" s="8" t="inlineStr">
        <is>
          <t>Ben's 45–179 · медіана 90</t>
        </is>
      </c>
      <c r="O12" s="8">
        <f>IF(K12&lt;=180,IF(K12&lt;=109,"у низу вікна полиці","у вікні полиці 45–180"),"вище вікна полиці")</f>
        <v/>
      </c>
    </row>
    <row r="13">
      <c r="A13" s="5" t="inlineStr">
        <is>
          <t>BSCM — пауч 150 г</t>
        </is>
      </c>
      <c r="B13" s="4" t="inlineStr">
        <is>
          <t>Jasmine Rice (Pathum)</t>
        </is>
      </c>
      <c r="C13" s="6" t="n">
        <v>150</v>
      </c>
      <c r="D13" s="5" t="inlineStr">
        <is>
          <t>BSCM</t>
        </is>
      </c>
      <c r="E13" s="5" t="inlineStr">
        <is>
          <t>Пауч</t>
        </is>
      </c>
      <c r="F13" s="16" t="n">
        <v>0.842849973738682</v>
      </c>
      <c r="G13" s="16" t="n">
        <v>0.7388664317893781</v>
      </c>
      <c r="H13" s="17">
        <f>F13*'5. Калькулятор'!$B$4</f>
        <v/>
      </c>
      <c r="I13" s="17">
        <f>H13/'5. Калькулятор'!$B$8</f>
        <v/>
      </c>
      <c r="J13" s="17">
        <f>I13*'5. Калькулятор'!$B$5</f>
        <v/>
      </c>
      <c r="K13" s="18">
        <f>I13*'5. Калькулятор'!$B$7</f>
        <v/>
      </c>
      <c r="L13" s="6">
        <f>G13*'5. Калькулятор'!$B$4/'5. Калькулятор'!$B$8*'5. Калькулятор'!$B$7</f>
        <v/>
      </c>
      <c r="M13" s="18">
        <f>K13/C13*100</f>
        <v/>
      </c>
      <c r="N13" s="5" t="inlineStr">
        <is>
          <t>Ben's 45–179 · медіана 90</t>
        </is>
      </c>
      <c r="O13" s="5">
        <f>IF(K13&lt;=180,IF(K13&lt;=109,"у низу вікна полиці","у вікні полиці 45–180"),"вище вікна полиці")</f>
        <v/>
      </c>
    </row>
    <row r="14">
      <c r="A14" s="8" t="inlineStr">
        <is>
          <t>BSCM — пауч 150 г</t>
        </is>
      </c>
      <c r="B14" s="7" t="inlineStr">
        <is>
          <t>Mexican Rice</t>
        </is>
      </c>
      <c r="C14" s="9" t="n">
        <v>150</v>
      </c>
      <c r="D14" s="8" t="inlineStr">
        <is>
          <t>BSCM</t>
        </is>
      </c>
      <c r="E14" s="8" t="inlineStr">
        <is>
          <t>Пауч</t>
        </is>
      </c>
      <c r="F14" s="19" t="n">
        <v>0.981094929271472</v>
      </c>
      <c r="G14" s="19" t="n">
        <v>0.860056042975836</v>
      </c>
      <c r="H14" s="20">
        <f>F14*'5. Калькулятор'!$B$4</f>
        <v/>
      </c>
      <c r="I14" s="20">
        <f>H14/'5. Калькулятор'!$B$8</f>
        <v/>
      </c>
      <c r="J14" s="20">
        <f>I14*'5. Калькулятор'!$B$5</f>
        <v/>
      </c>
      <c r="K14" s="21">
        <f>I14*'5. Калькулятор'!$B$7</f>
        <v/>
      </c>
      <c r="L14" s="9">
        <f>G14*'5. Калькулятор'!$B$4/'5. Калькулятор'!$B$8*'5. Калькулятор'!$B$7</f>
        <v/>
      </c>
      <c r="M14" s="21">
        <f>K14/C14*100</f>
        <v/>
      </c>
      <c r="N14" s="8" t="inlineStr">
        <is>
          <t>Ben's 45–179 · медіана 90</t>
        </is>
      </c>
      <c r="O14" s="8">
        <f>IF(K14&lt;=180,IF(K14&lt;=109,"у низу вікна полиці","у вікні полиці 45–180"),"вище вікна полиці")</f>
        <v/>
      </c>
    </row>
    <row r="15">
      <c r="A15" s="5" t="inlineStr">
        <is>
          <t>BSCM — пауч 150 г</t>
        </is>
      </c>
      <c r="B15" s="4" t="inlineStr">
        <is>
          <t>Japanese Style Rice</t>
        </is>
      </c>
      <c r="C15" s="6" t="n">
        <v>150</v>
      </c>
      <c r="D15" s="5" t="inlineStr">
        <is>
          <t>BSCM</t>
        </is>
      </c>
      <c r="E15" s="5" t="inlineStr">
        <is>
          <t>Пауч</t>
        </is>
      </c>
      <c r="F15" s="16" t="n">
        <v>0.981094929271472</v>
      </c>
      <c r="G15" s="16" t="n">
        <v>0.860056042975836</v>
      </c>
      <c r="H15" s="17">
        <f>F15*'5. Калькулятор'!$B$4</f>
        <v/>
      </c>
      <c r="I15" s="17">
        <f>H15/'5. Калькулятор'!$B$8</f>
        <v/>
      </c>
      <c r="J15" s="17">
        <f>I15*'5. Калькулятор'!$B$5</f>
        <v/>
      </c>
      <c r="K15" s="18">
        <f>I15*'5. Калькулятор'!$B$7</f>
        <v/>
      </c>
      <c r="L15" s="6">
        <f>G15*'5. Калькулятор'!$B$4/'5. Калькулятор'!$B$8*'5. Калькулятор'!$B$7</f>
        <v/>
      </c>
      <c r="M15" s="18">
        <f>K15/C15*100</f>
        <v/>
      </c>
      <c r="N15" s="5" t="inlineStr">
        <is>
          <t>Ben's 45–179 · медіана 90</t>
        </is>
      </c>
      <c r="O15" s="5">
        <f>IF(K15&lt;=180,IF(K15&lt;=109,"у низу вікна полиці","у вікні полиці 45–180"),"вище вікна полиці")</f>
        <v/>
      </c>
    </row>
    <row r="16">
      <c r="A16" s="8" t="inlineStr">
        <is>
          <t>BSCM — пауч 150 г</t>
        </is>
      </c>
      <c r="B16" s="7" t="inlineStr">
        <is>
          <t>Hot and Spicy Rice</t>
        </is>
      </c>
      <c r="C16" s="9" t="n">
        <v>150</v>
      </c>
      <c r="D16" s="8" t="inlineStr">
        <is>
          <t>BSCM</t>
        </is>
      </c>
      <c r="E16" s="8" t="inlineStr">
        <is>
          <t>Пауч</t>
        </is>
      </c>
      <c r="F16" s="19" t="n">
        <v>1.07028522316359</v>
      </c>
      <c r="G16" s="19" t="n">
        <v>0.938242888902583</v>
      </c>
      <c r="H16" s="20">
        <f>F16*'5. Калькулятор'!$B$4</f>
        <v/>
      </c>
      <c r="I16" s="20">
        <f>H16/'5. Калькулятор'!$B$8</f>
        <v/>
      </c>
      <c r="J16" s="20">
        <f>I16*'5. Калькулятор'!$B$5</f>
        <v/>
      </c>
      <c r="K16" s="21">
        <f>I16*'5. Калькулятор'!$B$7</f>
        <v/>
      </c>
      <c r="L16" s="9">
        <f>G16*'5. Калькулятор'!$B$4/'5. Калькулятор'!$B$8*'5. Калькулятор'!$B$7</f>
        <v/>
      </c>
      <c r="M16" s="21">
        <f>K16/C16*100</f>
        <v/>
      </c>
      <c r="N16" s="8" t="inlineStr">
        <is>
          <t>Ben's 45–179 · медіана 90</t>
        </is>
      </c>
      <c r="O16" s="8">
        <f>IF(K16&lt;=180,IF(K16&lt;=109,"у низу вікна полиці","у вікні полиці 45–180"),"вище вікна полиці")</f>
        <v/>
      </c>
    </row>
    <row r="17">
      <c r="A17" s="5" t="inlineStr">
        <is>
          <t>BSCM — стакан 150 г</t>
        </is>
      </c>
      <c r="B17" s="4" t="inlineStr">
        <is>
          <t>Thai Jasmine Rice</t>
        </is>
      </c>
      <c r="C17" s="6" t="n">
        <v>150</v>
      </c>
      <c r="D17" s="5" t="inlineStr">
        <is>
          <t>BSCM</t>
        </is>
      </c>
      <c r="E17" s="5" t="inlineStr">
        <is>
          <t>Чаша</t>
        </is>
      </c>
      <c r="F17" s="16" t="n">
        <v>0.881437262584171</v>
      </c>
      <c r="G17" s="16" t="n">
        <v>0.776655999619468</v>
      </c>
      <c r="H17" s="17">
        <f>F17*'5. Калькулятор'!$B$4</f>
        <v/>
      </c>
      <c r="I17" s="17">
        <f>H17/'5. Калькулятор'!$B$8</f>
        <v/>
      </c>
      <c r="J17" s="17">
        <f>I17*'5. Калькулятор'!$B$5</f>
        <v/>
      </c>
      <c r="K17" s="18">
        <f>I17*'5. Калькулятор'!$B$7</f>
        <v/>
      </c>
      <c r="L17" s="6">
        <f>G17*'5. Калькулятор'!$B$4/'5. Калькулятор'!$B$8*'5. Калькулятор'!$B$7</f>
        <v/>
      </c>
      <c r="M17" s="18">
        <f>K17/C17*100</f>
        <v/>
      </c>
      <c r="N17" s="5" t="inlineStr">
        <is>
          <t>Ottogi 225–356 · Henan 83–156</t>
        </is>
      </c>
      <c r="O17" s="5">
        <f>IF(K17&lt;=180,IF(K17&lt;=109,"у низу вікна полиці","у вікні полиці 45–180"),"вище вікна полиці")</f>
        <v/>
      </c>
    </row>
    <row r="18">
      <c r="A18" s="8" t="inlineStr">
        <is>
          <t>BSCM — стакан 150 г</t>
        </is>
      </c>
      <c r="B18" s="7" t="inlineStr">
        <is>
          <t>Thai Brown Jasmine Rice</t>
        </is>
      </c>
      <c r="C18" s="9" t="n">
        <v>150</v>
      </c>
      <c r="D18" s="8" t="inlineStr">
        <is>
          <t>BSCM</t>
        </is>
      </c>
      <c r="E18" s="8" t="inlineStr">
        <is>
          <t>Чаша</t>
        </is>
      </c>
      <c r="F18" s="19" t="n">
        <v>0.8814078592565751</v>
      </c>
      <c r="G18" s="19" t="n">
        <v>0.776655999619468</v>
      </c>
      <c r="H18" s="20">
        <f>F18*'5. Калькулятор'!$B$4</f>
        <v/>
      </c>
      <c r="I18" s="20">
        <f>H18/'5. Калькулятор'!$B$8</f>
        <v/>
      </c>
      <c r="J18" s="20">
        <f>I18*'5. Калькулятор'!$B$5</f>
        <v/>
      </c>
      <c r="K18" s="21">
        <f>I18*'5. Калькулятор'!$B$7</f>
        <v/>
      </c>
      <c r="L18" s="9">
        <f>G18*'5. Калькулятор'!$B$4/'5. Калькулятор'!$B$8*'5. Калькулятор'!$B$7</f>
        <v/>
      </c>
      <c r="M18" s="21">
        <f>K18/C18*100</f>
        <v/>
      </c>
      <c r="N18" s="8" t="inlineStr">
        <is>
          <t>Ottogi 225–356 · Henan 83–156</t>
        </is>
      </c>
      <c r="O18" s="8">
        <f>IF(K18&lt;=180,IF(K18&lt;=109,"у низу вікна полиці","у вікні полиці 45–180"),"вище вікна полиці")</f>
        <v/>
      </c>
    </row>
    <row r="19">
      <c r="A19" s="5" t="inlineStr">
        <is>
          <t>BSCM — стакан 150 г</t>
        </is>
      </c>
      <c r="B19" s="4" t="inlineStr">
        <is>
          <t>Thai Red Jasmine Rice</t>
        </is>
      </c>
      <c r="C19" s="6" t="n">
        <v>150</v>
      </c>
      <c r="D19" s="5" t="inlineStr">
        <is>
          <t>BSCM</t>
        </is>
      </c>
      <c r="E19" s="5" t="inlineStr">
        <is>
          <t>Чаша</t>
        </is>
      </c>
      <c r="F19" s="16" t="n">
        <v>0.954858269166893</v>
      </c>
      <c r="G19" s="16" t="n">
        <v>0.841377226443071</v>
      </c>
      <c r="H19" s="17">
        <f>F19*'5. Калькулятор'!$B$4</f>
        <v/>
      </c>
      <c r="I19" s="17">
        <f>H19/'5. Калькулятор'!$B$8</f>
        <v/>
      </c>
      <c r="J19" s="17">
        <f>I19*'5. Калькулятор'!$B$5</f>
        <v/>
      </c>
      <c r="K19" s="18">
        <f>I19*'5. Калькулятор'!$B$7</f>
        <v/>
      </c>
      <c r="L19" s="6">
        <f>G19*'5. Калькулятор'!$B$4/'5. Калькулятор'!$B$8*'5. Калькулятор'!$B$7</f>
        <v/>
      </c>
      <c r="M19" s="18">
        <f>K19/C19*100</f>
        <v/>
      </c>
      <c r="N19" s="5" t="inlineStr">
        <is>
          <t>Ottogi 225–356 · Henan 83–156</t>
        </is>
      </c>
      <c r="O19" s="5">
        <f>IF(K19&lt;=180,IF(K19&lt;=109,"у низу вікна полиці","у вікні полиці 45–180"),"вище вікна полиці")</f>
        <v/>
      </c>
    </row>
    <row r="20">
      <c r="A20" s="8" t="inlineStr">
        <is>
          <t>BSCM — стакан 150 г</t>
        </is>
      </c>
      <c r="B20" s="7" t="inlineStr">
        <is>
          <t>Rice Berry</t>
        </is>
      </c>
      <c r="C20" s="9" t="n">
        <v>150</v>
      </c>
      <c r="D20" s="8" t="inlineStr">
        <is>
          <t>BSCM</t>
        </is>
      </c>
      <c r="E20" s="8" t="inlineStr">
        <is>
          <t>Чаша</t>
        </is>
      </c>
      <c r="F20" s="19" t="n">
        <v>0.954858269166893</v>
      </c>
      <c r="G20" s="19" t="n">
        <v>0.841377226443071</v>
      </c>
      <c r="H20" s="20">
        <f>F20*'5. Калькулятор'!$B$4</f>
        <v/>
      </c>
      <c r="I20" s="20">
        <f>H20/'5. Калькулятор'!$B$8</f>
        <v/>
      </c>
      <c r="J20" s="20">
        <f>I20*'5. Калькулятор'!$B$5</f>
        <v/>
      </c>
      <c r="K20" s="21">
        <f>I20*'5. Калькулятор'!$B$7</f>
        <v/>
      </c>
      <c r="L20" s="9">
        <f>G20*'5. Калькулятор'!$B$4/'5. Калькулятор'!$B$8*'5. Калькулятор'!$B$7</f>
        <v/>
      </c>
      <c r="M20" s="21">
        <f>K20/C20*100</f>
        <v/>
      </c>
      <c r="N20" s="8" t="inlineStr">
        <is>
          <t>Ottogi 225–356 · Henan 83–156</t>
        </is>
      </c>
      <c r="O20" s="8">
        <f>IF(K20&lt;=180,IF(K20&lt;=109,"у низу вікна полиці","у вікні полиці 45–180"),"вище вікна полиці")</f>
        <v/>
      </c>
    </row>
    <row r="21">
      <c r="A21" s="5" t="inlineStr">
        <is>
          <t>BSCM — стакан 150 г</t>
        </is>
      </c>
      <c r="B21" s="4" t="inlineStr">
        <is>
          <t>Brown Jasmine + Red Quinoa</t>
        </is>
      </c>
      <c r="C21" s="6" t="n">
        <v>150</v>
      </c>
      <c r="D21" s="5" t="inlineStr">
        <is>
          <t>BSCM</t>
        </is>
      </c>
      <c r="E21" s="5" t="inlineStr">
        <is>
          <t>Чаша</t>
        </is>
      </c>
      <c r="F21" s="16" t="n">
        <v>0.954858269166893</v>
      </c>
      <c r="G21" s="16" t="n">
        <v>0.841377226443071</v>
      </c>
      <c r="H21" s="17">
        <f>F21*'5. Калькулятор'!$B$4</f>
        <v/>
      </c>
      <c r="I21" s="17">
        <f>H21/'5. Калькулятор'!$B$8</f>
        <v/>
      </c>
      <c r="J21" s="17">
        <f>I21*'5. Калькулятор'!$B$5</f>
        <v/>
      </c>
      <c r="K21" s="18">
        <f>I21*'5. Калькулятор'!$B$7</f>
        <v/>
      </c>
      <c r="L21" s="6">
        <f>G21*'5. Калькулятор'!$B$4/'5. Калькулятор'!$B$8*'5. Калькулятор'!$B$7</f>
        <v/>
      </c>
      <c r="M21" s="18">
        <f>K21/C21*100</f>
        <v/>
      </c>
      <c r="N21" s="5" t="inlineStr">
        <is>
          <t>Ottogi 225–356 · Henan 83–156</t>
        </is>
      </c>
      <c r="O21" s="5">
        <f>IF(K21&lt;=180,IF(K21&lt;=109,"у низу вікна полиці","у вікні полиці 45–180"),"вище вікна полиці")</f>
        <v/>
      </c>
    </row>
    <row r="22">
      <c r="A22" s="8" t="inlineStr">
        <is>
          <t>BSCM — подвійний стакан 2×125 г</t>
        </is>
      </c>
      <c r="B22" s="7" t="inlineStr">
        <is>
          <t>Jasmine Rice без олії</t>
        </is>
      </c>
      <c r="C22" s="9" t="n">
        <v>250</v>
      </c>
      <c r="D22" s="8" t="inlineStr">
        <is>
          <t>BSCM</t>
        </is>
      </c>
      <c r="E22" s="8" t="inlineStr">
        <is>
          <t>Чаша</t>
        </is>
      </c>
      <c r="F22" s="19" t="n">
        <v>1.6275694066699</v>
      </c>
      <c r="G22" s="19" t="n">
        <v>1.43357202931587</v>
      </c>
      <c r="H22" s="20">
        <f>F22*'5. Калькулятор'!$B$4</f>
        <v/>
      </c>
      <c r="I22" s="20">
        <f>H22/'5. Калькулятор'!$B$8</f>
        <v/>
      </c>
      <c r="J22" s="20">
        <f>I22*'5. Калькулятор'!$B$5</f>
        <v/>
      </c>
      <c r="K22" s="21">
        <f>I22*'5. Калькулятор'!$B$7</f>
        <v/>
      </c>
      <c r="L22" s="9">
        <f>G22*'5. Калькулятор'!$B$4/'5. Калькулятор'!$B$8*'5. Калькулятор'!$B$7</f>
        <v/>
      </c>
      <c r="M22" s="21">
        <f>K22/C22*100</f>
        <v/>
      </c>
      <c r="N22" s="8" t="inlineStr">
        <is>
          <t>Ottogi 225–356 · Henan 83–156</t>
        </is>
      </c>
      <c r="O22" s="8">
        <f>IF(K22&lt;=180,IF(K22&lt;=109,"у низу вікна полиці","у вікні полиці 45–180"),"вище вікна полиці")</f>
        <v/>
      </c>
    </row>
    <row r="23">
      <c r="A23" s="5" t="inlineStr">
        <is>
          <t>BSCM — подвійний стакан 2×125 г</t>
        </is>
      </c>
      <c r="B23" s="4" t="inlineStr">
        <is>
          <t>Jasmine Rice з олією</t>
        </is>
      </c>
      <c r="C23" s="6" t="n">
        <v>250</v>
      </c>
      <c r="D23" s="5" t="inlineStr">
        <is>
          <t>BSCM</t>
        </is>
      </c>
      <c r="E23" s="5" t="inlineStr">
        <is>
          <t>Чаша</t>
        </is>
      </c>
      <c r="F23" s="16" t="n">
        <v>1.6275694066699</v>
      </c>
      <c r="G23" s="16" t="n">
        <v>1.43357202931587</v>
      </c>
      <c r="H23" s="17">
        <f>F23*'5. Калькулятор'!$B$4</f>
        <v/>
      </c>
      <c r="I23" s="17">
        <f>H23/'5. Калькулятор'!$B$8</f>
        <v/>
      </c>
      <c r="J23" s="17">
        <f>I23*'5. Калькулятор'!$B$5</f>
        <v/>
      </c>
      <c r="K23" s="18">
        <f>I23*'5. Калькулятор'!$B$7</f>
        <v/>
      </c>
      <c r="L23" s="6">
        <f>G23*'5. Калькулятор'!$B$4/'5. Калькулятор'!$B$8*'5. Калькулятор'!$B$7</f>
        <v/>
      </c>
      <c r="M23" s="18">
        <f>K23/C23*100</f>
        <v/>
      </c>
      <c r="N23" s="5" t="inlineStr">
        <is>
          <t>Ottogi 225–356 · Henan 83–156</t>
        </is>
      </c>
      <c r="O23" s="5">
        <f>IF(K23&lt;=180,IF(K23&lt;=109,"у низу вікна полиці","у вікні полиці 45–180"),"вище вікна полиці")</f>
        <v/>
      </c>
    </row>
    <row r="24">
      <c r="A24" s="8" t="inlineStr">
        <is>
          <t>BSCM — подвійний стакан 2×125 г</t>
        </is>
      </c>
      <c r="B24" s="7" t="inlineStr">
        <is>
          <t>Jasmine (Pathum) з олією</t>
        </is>
      </c>
      <c r="C24" s="9" t="n">
        <v>250</v>
      </c>
      <c r="D24" s="8" t="inlineStr">
        <is>
          <t>BSCM</t>
        </is>
      </c>
      <c r="E24" s="8" t="inlineStr">
        <is>
          <t>Чаша</t>
        </is>
      </c>
      <c r="F24" s="19" t="n">
        <v>1.47960898899142</v>
      </c>
      <c r="G24" s="19" t="n">
        <v>1.30324749350685</v>
      </c>
      <c r="H24" s="20">
        <f>F24*'5. Калькулятор'!$B$4</f>
        <v/>
      </c>
      <c r="I24" s="20">
        <f>H24/'5. Калькулятор'!$B$8</f>
        <v/>
      </c>
      <c r="J24" s="20">
        <f>I24*'5. Калькулятор'!$B$5</f>
        <v/>
      </c>
      <c r="K24" s="21">
        <f>I24*'5. Калькулятор'!$B$7</f>
        <v/>
      </c>
      <c r="L24" s="9">
        <f>G24*'5. Калькулятор'!$B$4/'5. Калькулятор'!$B$8*'5. Калькулятор'!$B$7</f>
        <v/>
      </c>
      <c r="M24" s="21">
        <f>K24/C24*100</f>
        <v/>
      </c>
      <c r="N24" s="8" t="inlineStr">
        <is>
          <t>Ottogi 225–356 · Henan 83–156</t>
        </is>
      </c>
      <c r="O24" s="8">
        <f>IF(K24&lt;=180,IF(K24&lt;=109,"у низу вікна полиці","у вікні полиці 45–180"),"вище вікна полиці")</f>
        <v/>
      </c>
    </row>
    <row r="25">
      <c r="A25" s="5" t="inlineStr">
        <is>
          <t>BSCM — подвійний стакан 2×125 г</t>
        </is>
      </c>
      <c r="B25" s="4" t="inlineStr">
        <is>
          <t>Brown Jasmine з олією</t>
        </is>
      </c>
      <c r="C25" s="6" t="n">
        <v>250</v>
      </c>
      <c r="D25" s="5" t="inlineStr">
        <is>
          <t>BSCM</t>
        </is>
      </c>
      <c r="E25" s="5" t="inlineStr">
        <is>
          <t>Чаша</t>
        </is>
      </c>
      <c r="F25" s="16" t="n">
        <v>1.6275694066699</v>
      </c>
      <c r="G25" s="16" t="n">
        <v>1.43357202931587</v>
      </c>
      <c r="H25" s="17">
        <f>F25*'5. Калькулятор'!$B$4</f>
        <v/>
      </c>
      <c r="I25" s="17">
        <f>H25/'5. Калькулятор'!$B$8</f>
        <v/>
      </c>
      <c r="J25" s="17">
        <f>I25*'5. Калькулятор'!$B$5</f>
        <v/>
      </c>
      <c r="K25" s="18">
        <f>I25*'5. Калькулятор'!$B$7</f>
        <v/>
      </c>
      <c r="L25" s="6">
        <f>G25*'5. Калькулятор'!$B$4/'5. Калькулятор'!$B$8*'5. Калькулятор'!$B$7</f>
        <v/>
      </c>
      <c r="M25" s="18">
        <f>K25/C25*100</f>
        <v/>
      </c>
      <c r="N25" s="5" t="inlineStr">
        <is>
          <t>Ottogi 225–356 · Henan 83–156</t>
        </is>
      </c>
      <c r="O25" s="5">
        <f>IF(K25&lt;=180,IF(K25&lt;=109,"у низу вікна полиці","у вікні полиці 45–180"),"вище вікна полиці")</f>
        <v/>
      </c>
    </row>
    <row r="26">
      <c r="A26" s="8" t="inlineStr">
        <is>
          <t>BSCM — подвійний стакан 2×125 г</t>
        </is>
      </c>
      <c r="B26" s="7" t="inlineStr">
        <is>
          <t>Brown Rice з олією</t>
        </is>
      </c>
      <c r="C26" s="9" t="n">
        <v>250</v>
      </c>
      <c r="D26" s="8" t="inlineStr">
        <is>
          <t>BSCM</t>
        </is>
      </c>
      <c r="E26" s="8" t="inlineStr">
        <is>
          <t>Чаша</t>
        </is>
      </c>
      <c r="F26" s="19" t="n">
        <v>1.62761752873563</v>
      </c>
      <c r="G26" s="19" t="n">
        <v>1.43357202931587</v>
      </c>
      <c r="H26" s="20">
        <f>F26*'5. Калькулятор'!$B$4</f>
        <v/>
      </c>
      <c r="I26" s="20">
        <f>H26/'5. Калькулятор'!$B$8</f>
        <v/>
      </c>
      <c r="J26" s="20">
        <f>I26*'5. Калькулятор'!$B$5</f>
        <v/>
      </c>
      <c r="K26" s="21">
        <f>I26*'5. Калькулятор'!$B$7</f>
        <v/>
      </c>
      <c r="L26" s="9">
        <f>G26*'5. Калькулятор'!$B$4/'5. Калькулятор'!$B$8*'5. Калькулятор'!$B$7</f>
        <v/>
      </c>
      <c r="M26" s="21">
        <f>K26/C26*100</f>
        <v/>
      </c>
      <c r="N26" s="8" t="inlineStr">
        <is>
          <t>Ottogi 225–356 · Henan 83–156</t>
        </is>
      </c>
      <c r="O26" s="8">
        <f>IF(K26&lt;=180,IF(K26&lt;=109,"у низу вікна полиці","у вікні полиці 45–180"),"вище вікна полиці")</f>
        <v/>
      </c>
    </row>
    <row r="27">
      <c r="A27" s="5" t="inlineStr">
        <is>
          <t>BSCM — подвійний стакан 2×125 г</t>
        </is>
      </c>
      <c r="B27" s="4" t="inlineStr">
        <is>
          <t>Basmati Rice з олією</t>
        </is>
      </c>
      <c r="C27" s="6" t="n">
        <v>250</v>
      </c>
      <c r="D27" s="5" t="inlineStr">
        <is>
          <t>BSCM</t>
        </is>
      </c>
      <c r="E27" s="5" t="inlineStr">
        <is>
          <t>Чаша</t>
        </is>
      </c>
      <c r="F27" s="16" t="n">
        <v>1.77552982434839</v>
      </c>
      <c r="G27" s="16" t="n">
        <v>1.56389656512489</v>
      </c>
      <c r="H27" s="17">
        <f>F27*'5. Калькулятор'!$B$4</f>
        <v/>
      </c>
      <c r="I27" s="17">
        <f>H27/'5. Калькулятор'!$B$8</f>
        <v/>
      </c>
      <c r="J27" s="17">
        <f>I27*'5. Калькулятор'!$B$5</f>
        <v/>
      </c>
      <c r="K27" s="18">
        <f>I27*'5. Калькулятор'!$B$7</f>
        <v/>
      </c>
      <c r="L27" s="6">
        <f>G27*'5. Калькулятор'!$B$4/'5. Калькулятор'!$B$8*'5. Калькулятор'!$B$7</f>
        <v/>
      </c>
      <c r="M27" s="18">
        <f>K27/C27*100</f>
        <v/>
      </c>
      <c r="N27" s="5" t="inlineStr">
        <is>
          <t>Ottogi 225–356 · Henan 83–156</t>
        </is>
      </c>
      <c r="O27" s="5">
        <f>IF(K27&lt;=180,IF(K27&lt;=109,"у низу вікна полиці","у вікні полиці 45–180"),"вище вікна полиці")</f>
        <v/>
      </c>
    </row>
    <row r="28">
      <c r="A28" s="8" t="inlineStr">
        <is>
          <t>BSCM — подвійний стакан 2×125 г</t>
        </is>
      </c>
      <c r="B28" s="7" t="inlineStr">
        <is>
          <t>Long Grain Rice з олією</t>
        </is>
      </c>
      <c r="C28" s="9" t="n">
        <v>250</v>
      </c>
      <c r="D28" s="8" t="inlineStr">
        <is>
          <t>BSCM</t>
        </is>
      </c>
      <c r="E28" s="8" t="inlineStr">
        <is>
          <t>Чаша</t>
        </is>
      </c>
      <c r="F28" s="19" t="n">
        <v>1.39083273838433</v>
      </c>
      <c r="G28" s="19" t="n">
        <v>1.22505277202144</v>
      </c>
      <c r="H28" s="20">
        <f>F28*'5. Калькулятор'!$B$4</f>
        <v/>
      </c>
      <c r="I28" s="20">
        <f>H28/'5. Калькулятор'!$B$8</f>
        <v/>
      </c>
      <c r="J28" s="20">
        <f>I28*'5. Калькулятор'!$B$5</f>
        <v/>
      </c>
      <c r="K28" s="21">
        <f>I28*'5. Калькулятор'!$B$7</f>
        <v/>
      </c>
      <c r="L28" s="9">
        <f>G28*'5. Калькулятор'!$B$4/'5. Калькулятор'!$B$8*'5. Калькулятор'!$B$7</f>
        <v/>
      </c>
      <c r="M28" s="21">
        <f>K28/C28*100</f>
        <v/>
      </c>
      <c r="N28" s="8" t="inlineStr">
        <is>
          <t>Ottogi 225–356 · Henan 83–156</t>
        </is>
      </c>
      <c r="O28" s="8">
        <f>IF(K28&lt;=180,IF(K28&lt;=109,"у низу вікна полиці","у вікні полиці 45–180"),"вище вікна полиці")</f>
        <v/>
      </c>
    </row>
    <row r="29">
      <c r="A29" s="5" t="inlineStr">
        <is>
          <t>CM Premium — пауч 250 г органік</t>
        </is>
      </c>
      <c r="B29" s="4" t="inlineStr">
        <is>
          <t>Organic Garlic Fried Rice</t>
        </is>
      </c>
      <c r="C29" s="6" t="n">
        <v>250</v>
      </c>
      <c r="D29" s="5" t="inlineStr">
        <is>
          <t>CM Premium</t>
        </is>
      </c>
      <c r="E29" s="5" t="inlineStr">
        <is>
          <t>Пауч</t>
        </is>
      </c>
      <c r="F29" s="16" t="n">
        <v>1.13300100081699</v>
      </c>
      <c r="G29" s="16" t="n">
        <v>1.01722856884058</v>
      </c>
      <c r="H29" s="17">
        <f>F29*'5. Калькулятор'!$B$4</f>
        <v/>
      </c>
      <c r="I29" s="17">
        <f>H29/'5. Калькулятор'!$B$8</f>
        <v/>
      </c>
      <c r="J29" s="17">
        <f>I29*'5. Калькулятор'!$B$5</f>
        <v/>
      </c>
      <c r="K29" s="18">
        <f>I29*'5. Калькулятор'!$B$7</f>
        <v/>
      </c>
      <c r="L29" s="6">
        <f>G29*'5. Калькулятор'!$B$4/'5. Калькулятор'!$B$8*'5. Калькулятор'!$B$7</f>
        <v/>
      </c>
      <c r="M29" s="18">
        <f>K29/C29*100</f>
        <v/>
      </c>
      <c r="N29" s="5" t="inlineStr">
        <is>
          <t>Ben's 45–179 · медіана 90</t>
        </is>
      </c>
      <c r="O29" s="5">
        <f>IF(K29&lt;=180,IF(K29&lt;=109,"у низу вікна полиці","у вікні полиці 45–180"),"вище вікна полиці")</f>
        <v/>
      </c>
    </row>
    <row r="30">
      <c r="A30" s="8" t="inlineStr">
        <is>
          <t>CM Premium — пауч 250 г органік</t>
        </is>
      </c>
      <c r="B30" s="7" t="inlineStr">
        <is>
          <t>Organic Cilantro Lime Rice</t>
        </is>
      </c>
      <c r="C30" s="9" t="n">
        <v>250</v>
      </c>
      <c r="D30" s="8" t="inlineStr">
        <is>
          <t>CM Premium</t>
        </is>
      </c>
      <c r="E30" s="8" t="inlineStr">
        <is>
          <t>Пауч</t>
        </is>
      </c>
      <c r="F30" s="19" t="n">
        <v>1.13300100081699</v>
      </c>
      <c r="G30" s="19" t="n">
        <v>1.01722856884058</v>
      </c>
      <c r="H30" s="20">
        <f>F30*'5. Калькулятор'!$B$4</f>
        <v/>
      </c>
      <c r="I30" s="20">
        <f>H30/'5. Калькулятор'!$B$8</f>
        <v/>
      </c>
      <c r="J30" s="20">
        <f>I30*'5. Калькулятор'!$B$5</f>
        <v/>
      </c>
      <c r="K30" s="21">
        <f>I30*'5. Калькулятор'!$B$7</f>
        <v/>
      </c>
      <c r="L30" s="9">
        <f>G30*'5. Калькулятор'!$B$4/'5. Калькулятор'!$B$8*'5. Калькулятор'!$B$7</f>
        <v/>
      </c>
      <c r="M30" s="21">
        <f>K30/C30*100</f>
        <v/>
      </c>
      <c r="N30" s="8" t="inlineStr">
        <is>
          <t>Ben's 45–179 · медіана 90</t>
        </is>
      </c>
      <c r="O30" s="8">
        <f>IF(K30&lt;=180,IF(K30&lt;=109,"у низу вікна полиці","у вікні полиці 45–180"),"вище вікна полиці")</f>
        <v/>
      </c>
    </row>
    <row r="31">
      <c r="A31" s="5" t="inlineStr">
        <is>
          <t>CM Premium — пауч 250 г органік</t>
        </is>
      </c>
      <c r="B31" s="4" t="inlineStr">
        <is>
          <t>Organic Turmeric Basmati</t>
        </is>
      </c>
      <c r="C31" s="6" t="n">
        <v>250</v>
      </c>
      <c r="D31" s="5" t="inlineStr">
        <is>
          <t>CM Premium</t>
        </is>
      </c>
      <c r="E31" s="5" t="inlineStr">
        <is>
          <t>Пауч</t>
        </is>
      </c>
      <c r="F31" s="16" t="n">
        <v>1.13300100081699</v>
      </c>
      <c r="G31" s="16" t="n">
        <v>1.01722856884058</v>
      </c>
      <c r="H31" s="17">
        <f>F31*'5. Калькулятор'!$B$4</f>
        <v/>
      </c>
      <c r="I31" s="17">
        <f>H31/'5. Калькулятор'!$B$8</f>
        <v/>
      </c>
      <c r="J31" s="17">
        <f>I31*'5. Калькулятор'!$B$5</f>
        <v/>
      </c>
      <c r="K31" s="18">
        <f>I31*'5. Калькулятор'!$B$7</f>
        <v/>
      </c>
      <c r="L31" s="6">
        <f>G31*'5. Калькулятор'!$B$4/'5. Калькулятор'!$B$8*'5. Калькулятор'!$B$7</f>
        <v/>
      </c>
      <c r="M31" s="18">
        <f>K31/C31*100</f>
        <v/>
      </c>
      <c r="N31" s="5" t="inlineStr">
        <is>
          <t>Ben's 45–179 · медіана 90</t>
        </is>
      </c>
      <c r="O31" s="5">
        <f>IF(K31&lt;=180,IF(K31&lt;=109,"у низу вікна полиці","у вікні полиці 45–180"),"вище вікна полиці")</f>
        <v/>
      </c>
    </row>
    <row r="32">
      <c r="A32" s="8" t="inlineStr">
        <is>
          <t>CM Premium — пауч 250 г органік</t>
        </is>
      </c>
      <c r="B32" s="7" t="inlineStr">
        <is>
          <t>Organic Jasmine Rice</t>
        </is>
      </c>
      <c r="C32" s="9" t="n">
        <v>250</v>
      </c>
      <c r="D32" s="8" t="inlineStr">
        <is>
          <t>CM Premium</t>
        </is>
      </c>
      <c r="E32" s="8" t="inlineStr">
        <is>
          <t>Пауч</t>
        </is>
      </c>
      <c r="F32" s="19" t="n">
        <v>1.13300100081699</v>
      </c>
      <c r="G32" s="19" t="n">
        <v>1.01722856884058</v>
      </c>
      <c r="H32" s="20">
        <f>F32*'5. Калькулятор'!$B$4</f>
        <v/>
      </c>
      <c r="I32" s="20">
        <f>H32/'5. Калькулятор'!$B$8</f>
        <v/>
      </c>
      <c r="J32" s="20">
        <f>I32*'5. Калькулятор'!$B$5</f>
        <v/>
      </c>
      <c r="K32" s="21">
        <f>I32*'5. Калькулятор'!$B$7</f>
        <v/>
      </c>
      <c r="L32" s="9">
        <f>G32*'5. Калькулятор'!$B$4/'5. Калькулятор'!$B$8*'5. Калькулятор'!$B$7</f>
        <v/>
      </c>
      <c r="M32" s="21">
        <f>K32/C32*100</f>
        <v/>
      </c>
      <c r="N32" s="8" t="inlineStr">
        <is>
          <t>Ben's 45–179 · медіана 90</t>
        </is>
      </c>
      <c r="O32" s="8">
        <f>IF(K32&lt;=180,IF(K32&lt;=109,"у низу вікна полиці","у вікні полиці 45–180"),"вище вікна полиці")</f>
        <v/>
      </c>
    </row>
    <row r="33">
      <c r="A33" s="5" t="inlineStr">
        <is>
          <t>ONE'S / KBROS — лоток</t>
        </is>
      </c>
      <c r="B33" s="4" t="inlineStr">
        <is>
          <t>Kimchi Fried Rice</t>
        </is>
      </c>
      <c r="C33" s="6" t="n">
        <v>200</v>
      </c>
      <c r="D33" s="5" t="inlineStr">
        <is>
          <t>ONE'S</t>
        </is>
      </c>
      <c r="E33" s="5" t="inlineStr">
        <is>
          <t>Лоток</t>
        </is>
      </c>
      <c r="F33" s="16" t="n">
        <v>2.1048630417902</v>
      </c>
      <c r="G33" s="16" t="n">
        <v>1.93915406938722</v>
      </c>
      <c r="H33" s="17">
        <f>F33*'5. Калькулятор'!$B$4</f>
        <v/>
      </c>
      <c r="I33" s="17">
        <f>H33/'5. Калькулятор'!$B$8</f>
        <v/>
      </c>
      <c r="J33" s="17">
        <f>I33*'5. Калькулятор'!$B$5</f>
        <v/>
      </c>
      <c r="K33" s="18">
        <f>I33*'5. Калькулятор'!$B$7</f>
        <v/>
      </c>
      <c r="L33" s="6">
        <f>G33*'5. Калькулятор'!$B$4/'5. Калькулятор'!$B$8*'5. Калькулятор'!$B$7</f>
        <v/>
      </c>
      <c r="M33" s="18">
        <f>K33/C33*100</f>
        <v/>
      </c>
      <c r="N33" s="5" t="inlineStr">
        <is>
          <t>Bibigo 135–189</t>
        </is>
      </c>
      <c r="O33" s="5">
        <f>IF(K33&lt;=180,IF(K33&lt;=109,"у низу вікна полиці","у вікні полиці 45–180"),"вище вікна полиці")</f>
        <v/>
      </c>
    </row>
    <row r="34">
      <c r="A34" s="8" t="inlineStr">
        <is>
          <t>ONE'S / KBROS — лоток</t>
        </is>
      </c>
      <c r="B34" s="7" t="inlineStr">
        <is>
          <t>Vegetable Fried Rice</t>
        </is>
      </c>
      <c r="C34" s="9" t="n">
        <v>200</v>
      </c>
      <c r="D34" s="8" t="inlineStr">
        <is>
          <t>ONE'S</t>
        </is>
      </c>
      <c r="E34" s="8" t="inlineStr">
        <is>
          <t>Лоток</t>
        </is>
      </c>
      <c r="F34" s="19" t="n">
        <v>2.1048630417902</v>
      </c>
      <c r="G34" s="19" t="n">
        <v>1.93915406938722</v>
      </c>
      <c r="H34" s="20">
        <f>F34*'5. Калькулятор'!$B$4</f>
        <v/>
      </c>
      <c r="I34" s="20">
        <f>H34/'5. Калькулятор'!$B$8</f>
        <v/>
      </c>
      <c r="J34" s="20">
        <f>I34*'5. Калькулятор'!$B$5</f>
        <v/>
      </c>
      <c r="K34" s="21">
        <f>I34*'5. Калькулятор'!$B$7</f>
        <v/>
      </c>
      <c r="L34" s="9">
        <f>G34*'5. Калькулятор'!$B$4/'5. Калькулятор'!$B$8*'5. Калькулятор'!$B$7</f>
        <v/>
      </c>
      <c r="M34" s="21">
        <f>K34/C34*100</f>
        <v/>
      </c>
      <c r="N34" s="8" t="inlineStr">
        <is>
          <t>Bibigo 135–189</t>
        </is>
      </c>
      <c r="O34" s="8">
        <f>IF(K34&lt;=180,IF(K34&lt;=109,"у низу вікна полиці","у вікні полиці 45–180"),"вище вікна полиці")</f>
        <v/>
      </c>
    </row>
    <row r="35">
      <c r="A35" s="5" t="inlineStr">
        <is>
          <t>ONE'S / KBROS — лоток</t>
        </is>
      </c>
      <c r="B35" s="4" t="inlineStr">
        <is>
          <t>Japchae Fried Rice</t>
        </is>
      </c>
      <c r="C35" s="6" t="n">
        <v>200</v>
      </c>
      <c r="D35" s="5" t="inlineStr">
        <is>
          <t>ONE'S</t>
        </is>
      </c>
      <c r="E35" s="5" t="inlineStr">
        <is>
          <t>Лоток</t>
        </is>
      </c>
      <c r="F35" s="16" t="n">
        <v>2.1048630417902</v>
      </c>
      <c r="G35" s="16" t="n">
        <v>1.93915406938722</v>
      </c>
      <c r="H35" s="17">
        <f>F35*'5. Калькулятор'!$B$4</f>
        <v/>
      </c>
      <c r="I35" s="17">
        <f>H35/'5. Калькулятор'!$B$8</f>
        <v/>
      </c>
      <c r="J35" s="17">
        <f>I35*'5. Калькулятор'!$B$5</f>
        <v/>
      </c>
      <c r="K35" s="18">
        <f>I35*'5. Калькулятор'!$B$7</f>
        <v/>
      </c>
      <c r="L35" s="6">
        <f>G35*'5. Калькулятор'!$B$4/'5. Калькулятор'!$B$8*'5. Калькулятор'!$B$7</f>
        <v/>
      </c>
      <c r="M35" s="18">
        <f>K35/C35*100</f>
        <v/>
      </c>
      <c r="N35" s="5" t="inlineStr">
        <is>
          <t>Bibigo 135–189</t>
        </is>
      </c>
      <c r="O35" s="5">
        <f>IF(K35&lt;=180,IF(K35&lt;=109,"у низу вікна полиці","у вікні полиці 45–180"),"вище вікна полиці")</f>
        <v/>
      </c>
    </row>
    <row r="36">
      <c r="A36" s="8" t="inlineStr">
        <is>
          <t>ONE'S / KBROS — лоток</t>
        </is>
      </c>
      <c r="B36" s="7" t="inlineStr">
        <is>
          <t>Cooked White Rice</t>
        </is>
      </c>
      <c r="C36" s="9" t="n">
        <v>210</v>
      </c>
      <c r="D36" s="8" t="inlineStr">
        <is>
          <t>ONE'S</t>
        </is>
      </c>
      <c r="E36" s="8" t="inlineStr">
        <is>
          <t>Лоток</t>
        </is>
      </c>
      <c r="F36" s="19" t="n">
        <v>0.971476418890301</v>
      </c>
      <c r="G36" s="19" t="n">
        <v>0.894994727290563</v>
      </c>
      <c r="H36" s="20">
        <f>F36*'5. Калькулятор'!$B$4</f>
        <v/>
      </c>
      <c r="I36" s="20">
        <f>H36/'5. Калькулятор'!$B$8</f>
        <v/>
      </c>
      <c r="J36" s="20">
        <f>I36*'5. Калькулятор'!$B$5</f>
        <v/>
      </c>
      <c r="K36" s="21">
        <f>I36*'5. Калькулятор'!$B$7</f>
        <v/>
      </c>
      <c r="L36" s="9">
        <f>G36*'5. Калькулятор'!$B$4/'5. Калькулятор'!$B$8*'5. Калькулятор'!$B$7</f>
        <v/>
      </c>
      <c r="M36" s="21">
        <f>K36/C36*100</f>
        <v/>
      </c>
      <c r="N36" s="8" t="inlineStr">
        <is>
          <t>Bibigo 135–189</t>
        </is>
      </c>
      <c r="O36" s="8">
        <f>IF(K36&lt;=180,IF(K36&lt;=109,"у низу вікна полиці","у вікні полиці 45–180"),"вище вікна полиці")</f>
        <v/>
      </c>
    </row>
  </sheetData>
  <autoFilter ref="A4:O36"/>
  <conditionalFormatting sqref="K5:K36">
    <cfRule type="cellIs" priority="1" operator="greaterThan" dxfId="0">
      <formula>180</formula>
    </cfRule>
    <cfRule type="cellIs" priority="2" operator="lessThanOrEqual" dxfId="1">
      <formula>140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" customWidth="1" min="3" max="3"/>
    <col width="40" customWidth="1" min="4" max="4"/>
    <col width="22" customWidth="1" min="5" max="5"/>
    <col width="60" customWidth="1" min="6" max="6"/>
  </cols>
  <sheetData>
    <row r="1" ht="20" customHeight="1">
      <c r="A1" s="1" t="inlineStr">
        <is>
          <t>Канали продажу: точка продажу × покупець</t>
        </is>
      </c>
    </row>
    <row r="2">
      <c r="A2" s="2" t="inlineStr">
        <is>
          <t>Дві різні осі. Кількість точок продажу не дорівнює релевантності каналу для нас.</t>
        </is>
      </c>
    </row>
    <row r="4" ht="30" customHeight="1">
      <c r="A4" s="3" t="inlineStr">
        <is>
          <t>Канал</t>
        </is>
      </c>
      <c r="B4" s="3" t="inlineStr">
        <is>
          <t>Тип точки продажу</t>
        </is>
      </c>
      <c r="C4" s="3" t="inlineStr">
        <is>
          <t>Точок</t>
        </is>
      </c>
      <c r="D4" s="3" t="inlineStr">
        <is>
          <t>Покупець і привід споживання</t>
        </is>
      </c>
      <c r="E4" s="3" t="inlineStr">
        <is>
          <t>Статус для нас</t>
        </is>
      </c>
      <c r="F4" s="3" t="inlineStr">
        <is>
          <t>Продавці</t>
        </is>
      </c>
    </row>
    <row r="5" ht="58" customHeight="1">
      <c r="A5" s="22" t="inlineStr">
        <is>
          <t>Продуктовий роздріб</t>
        </is>
      </c>
      <c r="B5" s="23" t="inlineStr">
        <is>
          <t>Мережі національного покриття</t>
        </is>
      </c>
      <c r="C5" s="24" t="n">
        <v>1</v>
      </c>
      <c r="D5" s="23" t="inlineStr">
        <is>
          <t>Масовий покупець · щоденне харчування</t>
        </is>
      </c>
      <c r="E5" s="25" t="inlineStr">
        <is>
          <t>ЦІЛЬОВИЙ КАНАЛ</t>
        </is>
      </c>
      <c r="F5" s="26" t="inlineStr">
        <is>
          <t>Сільпо</t>
        </is>
      </c>
    </row>
    <row r="6" ht="58" customHeight="1">
      <c r="A6" s="22" t="inlineStr">
        <is>
          <t>Онлайн-маркетплейси</t>
        </is>
      </c>
      <c r="B6" s="23" t="inlineStr">
        <is>
          <t>Універсальні майданчики</t>
        </is>
      </c>
      <c r="C6" s="24" t="n">
        <v>3</v>
      </c>
      <c r="D6" s="23" t="inlineStr">
        <is>
          <t>Масовий покупець · плановане замовлення</t>
        </is>
      </c>
      <c r="E6" s="25" t="inlineStr">
        <is>
          <t>ЦІЛЬОВИЙ КАНАЛ</t>
        </is>
      </c>
      <c r="F6" s="26" t="inlineStr">
        <is>
          <t>MAUDAU · Rozetka · Prom</t>
        </is>
      </c>
    </row>
    <row r="7" ht="58" customHeight="1">
      <c r="A7" s="22" t="inlineStr">
        <is>
          <t>Спеціалізований фудрітейл</t>
        </is>
      </c>
      <c r="B7" s="23" t="inlineStr">
        <is>
          <t>Азійські та етнічні магазини</t>
        </is>
      </c>
      <c r="C7" s="24" t="n">
        <v>20</v>
      </c>
      <c r="D7" s="23" t="inlineStr">
        <is>
          <t>Покупець азійської кухні · знає категорію</t>
        </is>
      </c>
      <c r="E7" s="25" t="inlineStr">
        <is>
          <t>ЦІЛЬОВИЙ КАНАЛ · ВХІД</t>
        </is>
      </c>
      <c r="F7" s="26" t="inlineStr">
        <is>
          <t>Смак Кореї · Тайякі Март · Pulsar · Апетітаріум · Gurmissimo · Edison Lee · OMG! Asia · СНЕКІС · DCM · Скарби Азії · AsiaStyle · ASIA FOODS · Wèi Māo · AsianFoods · Asia Goods Store · SushiPovar · KladezGroup · Sweet Svitt · Товари з Іспанії · Asia Foods Trade</t>
        </is>
      </c>
    </row>
    <row r="8" ht="58" customHeight="1">
      <c r="A8" s="22" t="inlineStr">
        <is>
          <t>Outdoor- і мілітарі-рітейл</t>
        </is>
      </c>
      <c r="B8" s="23" t="inlineStr">
        <is>
          <t>Туристичні та військові магазини</t>
        </is>
      </c>
      <c r="C8" s="24" t="n">
        <v>40</v>
      </c>
      <c r="D8" s="23" t="inlineStr">
        <is>
          <t>Турист і військовий · автономне харчування</t>
        </is>
      </c>
      <c r="E8" s="27" t="inlineStr">
        <is>
          <t>НЕ НАШ ПОКУПЕЦЬ</t>
        </is>
      </c>
      <c r="F8" s="26" t="inlineStr">
        <is>
          <t>ALANTUR · Highlander · ForCamp · Гайдамака · Freeride · MK-Sport · Daruy · Tactico · Лєєр · Activity та ще ~30</t>
        </is>
      </c>
    </row>
    <row r="10">
      <c r="A10" s="14" t="inlineStr">
        <is>
          <t>Мережі без жодної позиції категорії</t>
        </is>
      </c>
    </row>
    <row r="11">
      <c r="A11" s="2" t="inlineStr">
        <is>
          <t>АТБ, Novus, METRO, Varus, Ашан, Fora, «Таврія В», МегаМаркет, ЕКО маркет, Ultramarket, Восторг, Космос, WineTime, Фуршет, Близенько, Точка, Рукавичка</t>
        </is>
      </c>
    </row>
    <row r="13">
      <c r="A13" s="14" t="inlineStr">
        <is>
          <t>Агрегатори (у підрахунок точок продажу не входять)</t>
        </is>
      </c>
    </row>
    <row r="14">
      <c r="A14" s="2" t="inlineStr">
        <is>
          <t>zakaz.ua — 17 мереж · GoToShop — 8 мереж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</cols>
  <sheetData>
    <row r="1" ht="20" customHeight="1">
      <c r="A1" s="1" t="inlineStr">
        <is>
          <t>Модель формату і ваги — крос-таб 84 позицій</t>
        </is>
      </c>
    </row>
    <row r="2">
      <c r="A2" s="2" t="inlineStr">
        <is>
          <t>Скільки позицій категорії має цей формат у цій ваговій смузі. 2 позиції без маси виключено.</t>
        </is>
      </c>
    </row>
    <row r="4" ht="30" customHeight="1">
      <c r="A4" s="3" t="inlineStr">
        <is>
          <t>Формат</t>
        </is>
      </c>
      <c r="B4" s="3" t="inlineStr">
        <is>
          <t>80–99 г</t>
        </is>
      </c>
      <c r="C4" s="3" t="inlineStr">
        <is>
          <t>100–149 г</t>
        </is>
      </c>
      <c r="D4" s="3" t="inlineStr">
        <is>
          <t>150–199 г</t>
        </is>
      </c>
      <c r="E4" s="3" t="inlineStr">
        <is>
          <t>200–249 г</t>
        </is>
      </c>
      <c r="F4" s="3" t="inlineStr">
        <is>
          <t>250–299 г</t>
        </is>
      </c>
      <c r="G4" s="3" t="inlineStr">
        <is>
          <t>300–349 г</t>
        </is>
      </c>
      <c r="H4" s="3" t="inlineStr">
        <is>
          <t>350+ г</t>
        </is>
      </c>
      <c r="I4" s="3" t="inlineStr">
        <is>
          <t>Разом</t>
        </is>
      </c>
    </row>
    <row r="5">
      <c r="A5" s="28" t="inlineStr">
        <is>
          <t>Пауч · реторт</t>
        </is>
      </c>
      <c r="B5" s="29" t="n"/>
      <c r="C5" s="29" t="n"/>
      <c r="D5" s="29" t="n"/>
      <c r="E5" s="30" t="n">
        <v>8</v>
      </c>
      <c r="F5" s="30" t="n">
        <v>6</v>
      </c>
      <c r="G5" s="29" t="n"/>
      <c r="H5" s="31" t="n">
        <v>5</v>
      </c>
      <c r="I5" s="32">
        <f>SUM(B5:H5)</f>
        <v/>
      </c>
    </row>
    <row r="6">
      <c r="A6" s="28" t="inlineStr">
        <is>
          <t>Чаша · стакан</t>
        </is>
      </c>
      <c r="B6" s="31" t="n">
        <v>2</v>
      </c>
      <c r="C6" s="31" t="n">
        <v>3</v>
      </c>
      <c r="D6" s="31" t="n">
        <v>5</v>
      </c>
      <c r="E6" s="31" t="n">
        <v>3</v>
      </c>
      <c r="F6" s="31" t="n">
        <v>5</v>
      </c>
      <c r="G6" s="31" t="n">
        <v>5</v>
      </c>
      <c r="H6" s="29" t="n"/>
      <c r="I6" s="32">
        <f>SUM(B6:H6)</f>
        <v/>
      </c>
    </row>
    <row r="7">
      <c r="A7" s="28" t="inlineStr">
        <is>
          <t>Дойпак · сублімат</t>
        </is>
      </c>
      <c r="B7" s="30" t="n">
        <v>9</v>
      </c>
      <c r="C7" s="30" t="n">
        <v>16</v>
      </c>
      <c r="D7" s="29" t="n"/>
      <c r="E7" s="29" t="n"/>
      <c r="F7" s="31" t="n">
        <v>3</v>
      </c>
      <c r="G7" s="29" t="n"/>
      <c r="H7" s="29" t="n"/>
      <c r="I7" s="32">
        <f>SUM(B7:H7)</f>
        <v/>
      </c>
    </row>
    <row r="8">
      <c r="A8" s="28" t="inlineStr">
        <is>
          <t>Коробка з нагрівачем</t>
        </is>
      </c>
      <c r="B8" s="29" t="n"/>
      <c r="C8" s="29" t="n"/>
      <c r="D8" s="30" t="n">
        <v>6</v>
      </c>
      <c r="E8" s="29" t="n"/>
      <c r="F8" s="31" t="n">
        <v>3</v>
      </c>
      <c r="G8" s="29" t="n"/>
      <c r="H8" s="31" t="n">
        <v>3</v>
      </c>
      <c r="I8" s="32">
        <f>SUM(B8:H8)</f>
        <v/>
      </c>
    </row>
    <row r="9">
      <c r="A9" s="14" t="inlineStr">
        <is>
          <t>Разом</t>
        </is>
      </c>
      <c r="B9" s="33">
        <f>SUM(B5:B8)</f>
        <v/>
      </c>
      <c r="C9" s="33">
        <f>SUM(C5:C8)</f>
        <v/>
      </c>
      <c r="D9" s="33">
        <f>SUM(D5:D8)</f>
        <v/>
      </c>
      <c r="E9" s="33">
        <f>SUM(E5:E8)</f>
        <v/>
      </c>
      <c r="F9" s="33">
        <f>SUM(F5:F8)</f>
        <v/>
      </c>
      <c r="G9" s="33">
        <f>SUM(G5:G8)</f>
        <v/>
      </c>
      <c r="H9" s="33">
        <f>SUM(H5:H8)</f>
        <v/>
      </c>
    </row>
    <row r="11">
      <c r="A11" s="34" t="inlineStr">
        <is>
          <t>Медіана грн/100 г у смузі</t>
        </is>
      </c>
      <c r="B11" s="35" t="n">
        <v>171</v>
      </c>
      <c r="C11" s="35" t="n">
        <v>264</v>
      </c>
      <c r="D11" s="35" t="n">
        <v>348</v>
      </c>
      <c r="E11" s="36" t="n">
        <v>50</v>
      </c>
      <c r="F11" s="37" t="n">
        <v>94</v>
      </c>
      <c r="G11" s="37" t="n">
        <v>104</v>
      </c>
      <c r="H11" s="36" t="n">
        <v>30</v>
      </c>
    </row>
    <row r="13">
      <c r="A13" s="14" t="inlineStr">
        <is>
          <t>Що показує крос-таб</t>
        </is>
      </c>
    </row>
    <row r="14">
      <c r="A14" s="15" t="inlineStr">
        <is>
          <t>1. Порційне вікно 200–299 г — 22 позиції (пауч 14, чаша 8). Це полиця «обід на одну людину».</t>
        </is>
      </c>
    </row>
    <row r="15">
      <c r="A15" s="15" t="inlineStr">
        <is>
          <t>2. Пауч живе тільки в 220–250 г: 14 із 19 позицій. Поза вікном — лише український реторт 350 г.</t>
        </is>
      </c>
    </row>
    <row r="16">
      <c r="A16" s="15" t="inlineStr">
        <is>
          <t>3. Найщільніша клітинка — дойпак 100–149 г (16 позицій), але це сухий сублімат: інший привід.</t>
        </is>
      </c>
    </row>
    <row r="17">
      <c r="A17" s="15" t="inlineStr">
        <is>
          <t>4. Найдешевший грам — смуга 200–249 г: 50 грн за 100 г, мінімум по всіх вагах.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16" customWidth="1" min="4" max="4"/>
    <col width="20" customWidth="1" min="5" max="5"/>
    <col width="20" customWidth="1" min="6" max="6"/>
  </cols>
  <sheetData>
    <row r="1" ht="20" customHeight="1">
      <c r="A1" s="1" t="inlineStr">
        <is>
          <t>Калькулятор цілі: яка ціна потрібна від постачальника</t>
        </is>
      </c>
    </row>
    <row r="2">
      <c r="A2" s="2" t="inlineStr">
        <is>
          <t>Змінюйте жовті клітинки. Усі інші аркуші перераховуються автоматично.</t>
        </is>
      </c>
    </row>
    <row r="4">
      <c r="A4" s="38" t="inlineStr">
        <is>
          <t>Курс, грн/$</t>
        </is>
      </c>
      <c r="B4" s="39" t="n">
        <v>45</v>
      </c>
    </row>
    <row r="5">
      <c r="A5" s="38" t="inlineStr">
        <is>
          <t>Бонус мережі, %</t>
        </is>
      </c>
      <c r="B5" s="40" t="n">
        <v>0.25</v>
      </c>
    </row>
    <row r="6">
      <c r="A6" s="38" t="inlineStr">
        <is>
          <t>Цільова маржа, %</t>
        </is>
      </c>
      <c r="B6" s="40" t="n">
        <v>0.35</v>
      </c>
    </row>
    <row r="7">
      <c r="A7" s="38" t="inlineStr">
        <is>
          <t>Націнка мережі (x)</t>
        </is>
      </c>
      <c r="B7" s="39" t="n">
        <v>1.4</v>
      </c>
    </row>
    <row r="8">
      <c r="A8" s="38" t="inlineStr">
        <is>
          <t>Частка ціни для собівартості</t>
        </is>
      </c>
      <c r="B8" s="41">
        <f>1-B5-B6</f>
        <v/>
      </c>
    </row>
    <row r="9">
      <c r="A9" s="38" t="inlineStr">
        <is>
          <t>Коеф. FOB → СС, 20′ FCL</t>
        </is>
      </c>
      <c r="B9" s="42" t="n">
        <v>1.70740755878359</v>
      </c>
    </row>
    <row r="10">
      <c r="A10" s="38" t="inlineStr">
        <is>
          <t>Коеф. FOB → СС, 40′ FCL</t>
        </is>
      </c>
      <c r="B10" s="42" t="n">
        <v>1.530558573152913</v>
      </c>
    </row>
    <row r="11">
      <c r="A11" s="43" t="inlineStr">
        <is>
          <t>Полиця = СС_грн × націнка / частка_СС</t>
        </is>
      </c>
    </row>
    <row r="12">
      <c r="A12" s="38" t="inlineStr">
        <is>
          <t>Множник СС → полиця</t>
        </is>
      </c>
      <c r="B12" s="44">
        <f>B7/B8</f>
        <v/>
      </c>
    </row>
    <row r="13">
      <c r="A13" s="38" t="inlineStr">
        <is>
          <t>Множник FOB → полиця, 20′ FCL</t>
        </is>
      </c>
      <c r="B13" s="45">
        <f>B9*B4*B12</f>
        <v/>
      </c>
    </row>
    <row r="14">
      <c r="A14" s="38" t="inlineStr">
        <is>
          <t>Множник FOB → полиця, 40′ FCL</t>
        </is>
      </c>
      <c r="B14" s="45">
        <f>B10*B4*B12</f>
        <v/>
      </c>
    </row>
    <row r="17" ht="30" customHeight="1">
      <c r="A17" s="3" t="inlineStr">
        <is>
          <t>Цільова полиця, грн</t>
        </is>
      </c>
      <c r="B17" s="3" t="inlineStr">
        <is>
          <t>Що це на ринку</t>
        </is>
      </c>
      <c r="C17" s="3" t="inlineStr">
        <is>
          <t>Потрібна СС, грн</t>
        </is>
      </c>
      <c r="D17" s="3" t="inlineStr">
        <is>
          <t>Потрібна СС, $</t>
        </is>
      </c>
      <c r="E17" s="3" t="inlineStr">
        <is>
          <t>Потрібен FOB 20′, $</t>
        </is>
      </c>
      <c r="F17" s="3" t="inlineStr">
        <is>
          <t>Потрібен FOB 40′, $</t>
        </is>
      </c>
    </row>
    <row r="18">
      <c r="A18" s="46" t="n">
        <v>98.40000000000001</v>
      </c>
      <c r="B18" s="13" t="inlineStr">
        <is>
          <t>Ben's Original медіана 41 грн/100 г при 240 г</t>
        </is>
      </c>
      <c r="C18" s="47">
        <f>A18/$B$12</f>
        <v/>
      </c>
      <c r="D18" s="48">
        <f>C18/$B$4</f>
        <v/>
      </c>
      <c r="E18" s="49">
        <f>A18/$B$13</f>
        <v/>
      </c>
      <c r="F18" s="49">
        <f>A18/$B$14</f>
        <v/>
      </c>
    </row>
    <row r="19">
      <c r="A19" s="50" t="n">
        <v>109</v>
      </c>
      <c r="B19" s="51" t="inlineStr">
        <is>
          <t>Медіана формату «пауч» — найдешевший вхід у мережу</t>
        </is>
      </c>
      <c r="C19" s="52">
        <f>A19/$B$12</f>
        <v/>
      </c>
      <c r="D19" s="53">
        <f>C19/$B$4</f>
        <v/>
      </c>
      <c r="E19" s="54">
        <f>A19/$B$13</f>
        <v/>
      </c>
      <c r="F19" s="54">
        <f>A19/$B$14</f>
        <v/>
      </c>
    </row>
    <row r="20">
      <c r="A20" s="46" t="n">
        <v>119</v>
      </c>
      <c r="B20" s="13" t="inlineStr">
        <is>
          <t>Агресивний сценарій для стакана 150 г</t>
        </is>
      </c>
      <c r="C20" s="47">
        <f>A20/$B$12</f>
        <v/>
      </c>
      <c r="D20" s="48">
        <f>C20/$B$4</f>
        <v/>
      </c>
      <c r="E20" s="49">
        <f>A20/$B$13</f>
        <v/>
      </c>
      <c r="F20" s="49">
        <f>A20/$B$14</f>
        <v/>
      </c>
    </row>
    <row r="21">
      <c r="A21" s="50" t="n">
        <v>129</v>
      </c>
      <c r="B21" s="51" t="inlineStr">
        <is>
          <t>РЕКОМЕНДОВАНО для стакана 150 г — нижче Henan-медіани</t>
        </is>
      </c>
      <c r="C21" s="52">
        <f>A21/$B$12</f>
        <v/>
      </c>
      <c r="D21" s="53">
        <f>C21/$B$4</f>
        <v/>
      </c>
      <c r="E21" s="54">
        <f>A21/$B$13</f>
        <v/>
      </c>
      <c r="F21" s="54">
        <f>A21/$B$14</f>
        <v/>
      </c>
    </row>
    <row r="22">
      <c r="A22" s="46" t="n">
        <v>139</v>
      </c>
      <c r="B22" s="13" t="inlineStr">
        <is>
          <t>Поточна полиця стакана 150 г без переговорів</t>
        </is>
      </c>
      <c r="C22" s="47">
        <f>A22/$B$12</f>
        <v/>
      </c>
      <c r="D22" s="48">
        <f>C22/$B$4</f>
        <v/>
      </c>
      <c r="E22" s="49">
        <f>A22/$B$13</f>
        <v/>
      </c>
      <c r="F22" s="49">
        <f>A22/$B$14</f>
        <v/>
      </c>
    </row>
    <row r="23">
      <c r="A23" s="50" t="n">
        <v>155</v>
      </c>
      <c r="B23" s="51" t="inlineStr">
        <is>
          <t>Паритет із Bibigo 210 г (135–189 грн)</t>
        </is>
      </c>
      <c r="C23" s="52">
        <f>A23/$B$12</f>
        <v/>
      </c>
      <c r="D23" s="53">
        <f>C23/$B$4</f>
        <v/>
      </c>
      <c r="E23" s="54">
        <f>A23/$B$13</f>
        <v/>
      </c>
      <c r="F23" s="54">
        <f>A23/$B$14</f>
        <v/>
      </c>
    </row>
    <row r="24">
      <c r="A24" s="46" t="n">
        <v>179</v>
      </c>
      <c r="B24" s="13" t="inlineStr">
        <is>
          <t>Верх вікна мережевої полиці</t>
        </is>
      </c>
      <c r="C24" s="47">
        <f>A24/$B$12</f>
        <v/>
      </c>
      <c r="D24" s="48">
        <f>C24/$B$4</f>
        <v/>
      </c>
      <c r="E24" s="49">
        <f>A24/$B$13</f>
        <v/>
      </c>
      <c r="F24" s="49">
        <f>A24/$B$14</f>
        <v/>
      </c>
    </row>
    <row r="25">
      <c r="A25" s="50" t="n">
        <v>199</v>
      </c>
      <c r="B25" s="51" t="inlineStr">
        <is>
          <t>Ottogi −22 % — стеля для лотка ONE'S 200 г</t>
        </is>
      </c>
      <c r="C25" s="52">
        <f>A25/$B$12</f>
        <v/>
      </c>
      <c r="D25" s="53">
        <f>C25/$B$4</f>
        <v/>
      </c>
      <c r="E25" s="54">
        <f>A25/$B$13</f>
        <v/>
      </c>
      <c r="F25" s="54">
        <f>A25/$B$14</f>
        <v/>
      </c>
    </row>
    <row r="27">
      <c r="A27" s="14" t="inlineStr">
        <is>
          <t>Правило для переговорів</t>
        </is>
      </c>
    </row>
    <row r="28">
      <c r="A28" s="15" t="inlineStr">
        <is>
          <t>Кожні $0,10 зниження FOB знімають ~27 грн з полиці (20′ FCL). Перехід із 20′ на 40′ FCL дає ~−11 % собівартості без переговорів із постачальником.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  <col width="52" customWidth="1" min="4" max="4"/>
  </cols>
  <sheetData>
    <row r="1" ht="20" customHeight="1">
      <c r="A1" s="1" t="inlineStr">
        <is>
          <t>Що тут факт, що припущення, а що оцінка</t>
        </is>
      </c>
    </row>
    <row r="2">
      <c r="A2" s="2" t="inlineStr">
        <is>
          <t>Читати до використання цифр у переговорах.</t>
        </is>
      </c>
    </row>
    <row r="4" ht="30" customHeight="1">
      <c r="A4" s="3" t="inlineStr">
        <is>
          <t>Показник</t>
        </is>
      </c>
      <c r="B4" s="3" t="inlineStr">
        <is>
          <t>Статус</t>
        </is>
      </c>
      <c r="C4" s="3" t="inlineStr">
        <is>
          <t>Джерело / метод</t>
        </is>
      </c>
      <c r="D4" s="3" t="inlineStr">
        <is>
          <t>Вплив, якщо хибне</t>
        </is>
      </c>
    </row>
    <row r="5" ht="28" customHeight="1">
      <c r="A5" s="55" t="inlineStr">
        <is>
          <t>Ціни конкурентів на полиці</t>
        </is>
      </c>
      <c r="B5" s="25" t="inlineStr">
        <is>
          <t>ФАКТ</t>
        </is>
      </c>
      <c r="C5" s="23" t="inlineStr">
        <is>
          <t>Картки продавців, 17 мереж zakaz.ua, «Сільпо», Prom, Rozetka, MAUDAU, 22–23.09.2026</t>
        </is>
      </c>
      <c r="D5" s="26" t="inlineStr">
        <is>
          <t>—</t>
        </is>
      </c>
    </row>
    <row r="6" ht="28" customHeight="1">
      <c r="A6" s="56" t="inlineStr">
        <is>
          <t>Формати, ваги, кількість SKU</t>
        </is>
      </c>
      <c r="B6" s="57" t="inlineStr">
        <is>
          <t>ФАКТ</t>
        </is>
      </c>
      <c r="C6" s="58" t="inlineStr">
        <is>
          <t>Картки продавців. 2 позиції без маси виключено з грн/100 г</t>
        </is>
      </c>
      <c r="D6" s="59" t="inlineStr">
        <is>
          <t>Незначний</t>
        </is>
      </c>
    </row>
    <row r="7" ht="28" customHeight="1">
      <c r="A7" s="55" t="inlineStr">
        <is>
          <t>Обсяг імпорту 182 т</t>
        </is>
      </c>
      <c r="B7" s="25" t="inlineStr">
        <is>
          <t>ФАКТ</t>
        </is>
      </c>
      <c r="C7" s="23" t="inlineStr">
        <is>
          <t>Eurostat Comext CN 1904 90 10 + UN Comtrade</t>
        </is>
      </c>
      <c r="D7" s="26" t="inlineStr">
        <is>
          <t>—</t>
        </is>
      </c>
    </row>
    <row r="8" ht="28" customHeight="1">
      <c r="A8" s="56" t="inlineStr">
        <is>
          <t>Ємність роздрібу 87–110 млн грн</t>
        </is>
      </c>
      <c r="B8" s="60" t="inlineStr">
        <is>
          <t>ОЦІНКА</t>
        </is>
      </c>
      <c r="C8" s="58" t="inlineStr">
        <is>
          <t>Імпорт × 2,2–2,8. Заміряних продажів немає</t>
        </is>
      </c>
      <c r="D8" s="59" t="inlineStr">
        <is>
          <t>Похибка ±30 % у бізнес-кейсі</t>
        </is>
      </c>
    </row>
    <row r="9" ht="28" customHeight="1">
      <c r="A9" s="55" t="inlineStr">
        <is>
          <t>Собівартість BSCM і CM Premium</t>
        </is>
      </c>
      <c r="B9" s="25" t="inlineStr">
        <is>
          <t>ФАКТ</t>
        </is>
      </c>
      <c r="C9" s="23" t="inlineStr">
        <is>
          <t>Комерційні пропозиції, RTE_Rice_Suppliers.pptx</t>
        </is>
      </c>
      <c r="D9" s="26" t="inlineStr">
        <is>
          <t>—</t>
        </is>
      </c>
    </row>
    <row r="10" ht="28" customHeight="1">
      <c r="A10" s="56" t="inlineStr">
        <is>
          <t>FOB ONE'S International</t>
        </is>
      </c>
      <c r="B10" s="60" t="inlineStr">
        <is>
          <t>ОЦІНКА</t>
        </is>
      </c>
      <c r="C10" s="58" t="inlineStr">
        <is>
          <t>Виведено з СС за коефіцієнтом 1,7074. Постачальник FOB не розкрив</t>
        </is>
      </c>
      <c r="D10" s="59" t="inlineStr">
        <is>
          <t>Рекомендація по Fried Rice 200 г може бути хибною</t>
        </is>
      </c>
    </row>
    <row r="11" ht="28" customHeight="1">
      <c r="A11" s="55" t="inlineStr">
        <is>
          <t>Коеф. FOB → СС = 1,7074</t>
        </is>
      </c>
      <c r="B11" s="61" t="inlineStr">
        <is>
          <t>РОЗРАХУНОК</t>
        </is>
      </c>
      <c r="C11" s="23" t="inlineStr">
        <is>
          <t>СС / FOB для BSCM Jasmine 240 г, перевірено на 15 SKU</t>
        </is>
      </c>
      <c r="D11" s="26" t="inlineStr">
        <is>
          <t>Зсув усіх цільових FOB</t>
        </is>
      </c>
    </row>
    <row r="12" ht="28" customHeight="1">
      <c r="A12" s="56" t="inlineStr">
        <is>
          <t>Мито 10 % у собівартості</t>
        </is>
      </c>
      <c r="B12" s="62" t="inlineStr">
        <is>
          <t>ПРИПУЩЕННЯ</t>
        </is>
      </c>
      <c r="C12" s="58" t="inlineStr">
        <is>
          <t>Зазначено в RTE_Rice_Suppliers. Первинне джерело не наведено</t>
        </is>
      </c>
      <c r="D12" s="59" t="inlineStr">
        <is>
          <t>±27 грн на полиці</t>
        </is>
      </c>
    </row>
    <row r="13" ht="28" customHeight="1">
      <c r="A13" s="55" t="inlineStr">
        <is>
          <t>Імпортний ПДВ 20 % у СС</t>
        </is>
      </c>
      <c r="B13" s="27" t="inlineStr">
        <is>
          <t>РИЗИК</t>
        </is>
      </c>
      <c r="C13" s="23" t="inlineStr">
        <is>
          <t>Ймовірне задвоєння: ПДВ і у витратах, і в ціні «вже з ПДВ»</t>
        </is>
      </c>
      <c r="D13" s="26" t="inlineStr">
        <is>
          <t>СС −16,7 %, полиця пауча 157 → 131 грн</t>
        </is>
      </c>
    </row>
    <row r="14" ht="28" customHeight="1">
      <c r="A14" s="56" t="inlineStr">
        <is>
          <t>Бонус мережі 25 %</t>
        </is>
      </c>
      <c r="B14" s="62" t="inlineStr">
        <is>
          <t>ПРИПУЩЕННЯ</t>
        </is>
      </c>
      <c r="C14" s="58" t="inlineStr">
        <is>
          <t>Взято з прикладу по локшині. Умови «Сільпо» не запитані</t>
        </is>
      </c>
      <c r="D14" s="59" t="inlineStr">
        <is>
          <t>За 30 % полиця +17 %</t>
        </is>
      </c>
    </row>
    <row r="15" ht="28" customHeight="1">
      <c r="A15" s="55" t="inlineStr">
        <is>
          <t>«Маржа 35 %»</t>
        </is>
      </c>
      <c r="B15" s="63" t="inlineStr">
        <is>
          <t>ВИЗНАЧЕННЯ</t>
        </is>
      </c>
      <c r="C15" s="23" t="inlineStr">
        <is>
          <t>Валова націнка. Не містить ФОП, маркетингу, лістингу, списань</t>
        </is>
      </c>
      <c r="D15" s="26" t="inlineStr">
        <is>
          <t>Не є чистою рентабельністю</t>
        </is>
      </c>
    </row>
    <row r="16" ht="28" customHeight="1">
      <c r="A16" s="56" t="inlineStr">
        <is>
          <t>Оборотність Ben's у «Сільпо»</t>
        </is>
      </c>
      <c r="B16" s="64" t="inlineStr">
        <is>
          <t>НЕМАЄ ДАНИХ</t>
        </is>
      </c>
      <c r="C16" s="58" t="inlineStr">
        <is>
          <t>Мережа обсягів не віддає</t>
        </is>
      </c>
      <c r="D16" s="59" t="inlineStr">
        <is>
          <t>Неможливо порахувати план продажів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2026-09-28T10:59:16Z</dcterms:created>
  <dcterms:modified xmlns:dcterms="http://purl.org/dc/terms/" xmlns:xsi="http://www.w3.org/2001/XMLSchema-instance" xsi:type="dcterms:W3CDTF">2026-09-28T10:59:16Z</dcterms:modified>
</cp:coreProperties>
</file>