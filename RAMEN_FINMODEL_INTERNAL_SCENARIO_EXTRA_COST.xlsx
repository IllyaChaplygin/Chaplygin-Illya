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Финмодель 6 паллет" sheetId="1" state="visible" r:id="rId1"/>
    <sheet xmlns:r="http://schemas.openxmlformats.org/officeDocument/2006/relationships" name="Финмодель 33 паллет" sheetId="2" state="visible" r:id="rId2"/>
    <sheet xmlns:r="http://schemas.openxmlformats.org/officeDocument/2006/relationships" name="Цена 120 грн — 6 паллет" sheetId="3" state="visible" r:id="rId3"/>
    <sheet xmlns:r="http://schemas.openxmlformats.org/officeDocument/2006/relationships" name="Цена 120 грн — 33 паллет" sheetId="4" state="visible" r:id="rId4"/>
    <sheet xmlns:r="http://schemas.openxmlformats.org/officeDocument/2006/relationships" name="Сценар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0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+0%;-0%;0%"/>
    <numFmt numFmtId="180" formatCode="_(* #,##0.00_);_(* \(#,##0.00\);_(* \-??_);_(@_)"/>
    <numFmt numFmtId="181" formatCode="_(* #,##0_);_(* \(#,##0\);_(* \-_);_(@_)"/>
    <numFmt numFmtId="182" formatCode="_(\$* #,##0.00_);_(\$* \(#,##0.00\);_(\$* \-??_);_(@_)"/>
    <numFmt numFmtId="183" formatCode="_(\$* #,##0_);_(\$* \(#,##0\);_(\$* \-_);_(@_)"/>
  </numFmts>
  <fonts count="40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80" fontId="1" fillId="19" borderId="10"/>
    <xf numFmtId="181" fontId="1" fillId="19" borderId="10"/>
    <xf numFmtId="182" fontId="1" fillId="19" borderId="10"/>
    <xf numFmtId="183" fontId="1" fillId="19" borderId="10"/>
    <xf numFmtId="0" fontId="11" fillId="19" borderId="10"/>
    <xf numFmtId="9" fontId="1" fillId="19" borderId="10"/>
  </cellStyleXfs>
  <cellXfs count="173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  <xf numFmtId="179" fontId="38" fillId="25" borderId="30" applyAlignment="1" pivotButton="0" quotePrefix="0" xfId="0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6 палет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6 палет</t>
        </is>
      </c>
      <c r="E2" s="86" t="inlineStr">
        <is>
          <t>Готова СС із Self-Cost_Sias: AJ6:AJ11.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0.25</v>
      </c>
      <c r="E4" s="68" t="str">
        <f>"Бонус мережі "&amp;ROUND(D4*100,0)&amp;"%; полиця = ціна партнера × "&amp;D6&amp;"."</f>
        <v>Бонус мережі 25%;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 t="n">
        <v>0.2</v>
      </c>
      <c r="E5" s="68" t="str">
        <f>ROUND(D5*100,0)&amp;"% = (ціна партнеру − собівартість − бонус) / повна ціна партнеру."</f>
        <v>20% = (ціна партнеру − собівартість − бонус) / повна ціна партнеру.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0.55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− 25% − 20% = 55%.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121.81090909090909</v>
      </c>
      <c r="H11" s="10">
        <f>G11*$D$4</f>
        <v>30.452727272727273</v>
      </c>
      <c r="I11" s="11">
        <f>G11-F11-H11</f>
        <v>24.36218181818181</v>
      </c>
      <c r="J11" s="12">
        <f>I11/G11</f>
        <v>0.19999999999999993</v>
      </c>
      <c r="K11" s="13">
        <f>G11*$D$6</f>
        <v>170.5352727272727</v>
      </c>
      <c r="L11" s="14">
        <f>F11/(1-$D$4)</f>
        <v>89.32800000000002</v>
      </c>
      <c r="M11" s="14">
        <f>L11*$D$6</f>
        <v>125.05920000000002</v>
      </c>
      <c r="N11" s="15">
        <f>G11-F11</f>
        <v>54.81490909090908</v>
      </c>
      <c r="O11" s="16">
        <f>N11-H11</f>
        <v>24.36218181818181</v>
      </c>
      <c r="P11" s="40">
        <f>$F11/(1-$D$4-$P$9)</f>
        <v>148.88000000000002</v>
      </c>
      <c r="Q11" s="41">
        <f>P11*$D$4</f>
        <v>37.220000000000006</v>
      </c>
      <c r="R11" s="42">
        <f>P11-$F11-Q11</f>
        <v>44.66400000000001</v>
      </c>
      <c r="S11" s="43">
        <f>R11/P11</f>
        <v>0.3</v>
      </c>
      <c r="T11" s="40">
        <f>P11*$D$6</f>
        <v>208.43200000000002</v>
      </c>
      <c r="U11" s="40">
        <f>$F11/(1-$D$4-$U$9)</f>
        <v>133.99200000000002</v>
      </c>
      <c r="V11" s="41">
        <f>U11*$D$4</f>
        <v>33.498000000000005</v>
      </c>
      <c r="W11" s="42">
        <f>U11-$F11-V11</f>
        <v>33.498000000000005</v>
      </c>
      <c r="X11" s="43">
        <f>W11/U11</f>
        <v>0.25</v>
      </c>
      <c r="Y11" s="40">
        <f>U11*$D$6</f>
        <v>187.58880000000002</v>
      </c>
      <c r="Z11" s="40">
        <f>$F11/(1-$D$4-$Z$9)</f>
        <v>121.81090909090909</v>
      </c>
      <c r="AA11" s="41">
        <f>Z11*$D$4</f>
        <v>30.452727272727273</v>
      </c>
      <c r="AB11" s="42">
        <f>Z11-$F11-AA11</f>
        <v>24.36218181818181</v>
      </c>
      <c r="AC11" s="43">
        <f>AB11/Z11</f>
        <v>0.19999999999999993</v>
      </c>
      <c r="AD11" s="40">
        <f>Z11*$D$6</f>
        <v>170.5352727272727</v>
      </c>
      <c r="AE11" s="40">
        <f>$F11/(1-$D$4-$AE$9)</f>
        <v>111.66000000000003</v>
      </c>
      <c r="AF11" s="41">
        <f>AE11*$D$4</f>
        <v>27.915000000000006</v>
      </c>
      <c r="AG11" s="42">
        <f>AE11-$F11-AF11</f>
        <v>16.74900000000001</v>
      </c>
      <c r="AH11" s="43">
        <f>AG11/AE11</f>
        <v>0.15000000000000005</v>
      </c>
      <c r="AI11" s="40">
        <f>AE11*$D$6</f>
        <v>156.324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121.81090909090909</v>
      </c>
      <c r="H12" s="10">
        <f>G12*$D$4</f>
        <v>30.452727272727273</v>
      </c>
      <c r="I12" s="11">
        <f>G12-F12-H12</f>
        <v>24.36218181818181</v>
      </c>
      <c r="J12" s="12">
        <f>I12/G12</f>
        <v>0.19999999999999993</v>
      </c>
      <c r="K12" s="13">
        <f>G12*$D$6</f>
        <v>170.5352727272727</v>
      </c>
      <c r="L12" s="14">
        <f>F12/(1-$D$4)</f>
        <v>89.32800000000002</v>
      </c>
      <c r="M12" s="14">
        <f>L12*$D$6</f>
        <v>125.05920000000002</v>
      </c>
      <c r="N12" s="15">
        <f>G12-F12</f>
        <v>54.81490909090908</v>
      </c>
      <c r="O12" s="16">
        <f>N12-H12</f>
        <v>24.36218181818181</v>
      </c>
      <c r="P12" s="40">
        <f>$F12/(1-$D$4-$P$9)</f>
        <v>148.88000000000002</v>
      </c>
      <c r="Q12" s="41">
        <f>P12*$D$4</f>
        <v>37.220000000000006</v>
      </c>
      <c r="R12" s="42">
        <f>P12-$F12-Q12</f>
        <v>44.66400000000001</v>
      </c>
      <c r="S12" s="43">
        <f>R12/P12</f>
        <v>0.3</v>
      </c>
      <c r="T12" s="40">
        <f>P12*$D$6</f>
        <v>208.43200000000002</v>
      </c>
      <c r="U12" s="40">
        <f>$F12/(1-$D$4-$U$9)</f>
        <v>133.99200000000002</v>
      </c>
      <c r="V12" s="41">
        <f>U12*$D$4</f>
        <v>33.498000000000005</v>
      </c>
      <c r="W12" s="42">
        <f>U12-$F12-V12</f>
        <v>33.498000000000005</v>
      </c>
      <c r="X12" s="43">
        <f>W12/U12</f>
        <v>0.25</v>
      </c>
      <c r="Y12" s="40">
        <f>U12*$D$6</f>
        <v>187.58880000000002</v>
      </c>
      <c r="Z12" s="40">
        <f>$F12/(1-$D$4-$Z$9)</f>
        <v>121.81090909090909</v>
      </c>
      <c r="AA12" s="41">
        <f>Z12*$D$4</f>
        <v>30.452727272727273</v>
      </c>
      <c r="AB12" s="42">
        <f>Z12-$F12-AA12</f>
        <v>24.36218181818181</v>
      </c>
      <c r="AC12" s="43">
        <f>AB12/Z12</f>
        <v>0.19999999999999993</v>
      </c>
      <c r="AD12" s="40">
        <f>Z12*$D$6</f>
        <v>170.5352727272727</v>
      </c>
      <c r="AE12" s="40">
        <f>$F12/(1-$D$4-$AE$9)</f>
        <v>111.66000000000003</v>
      </c>
      <c r="AF12" s="41">
        <f>AE12*$D$4</f>
        <v>27.915000000000006</v>
      </c>
      <c r="AG12" s="42">
        <f>AE12-$F12-AF12</f>
        <v>16.74900000000001</v>
      </c>
      <c r="AH12" s="43">
        <f>AG12/AE12</f>
        <v>0.15000000000000005</v>
      </c>
      <c r="AI12" s="40">
        <f>AE12*$D$6</f>
        <v>156.324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105.56945454545453</v>
      </c>
      <c r="H13" s="10">
        <f>G13*$D$4</f>
        <v>26.392363636363633</v>
      </c>
      <c r="I13" s="11">
        <f>G13-F13-H13</f>
        <v>21.113890909090905</v>
      </c>
      <c r="J13" s="12">
        <f>I13/G13</f>
        <v>0.19999999999999998</v>
      </c>
      <c r="K13" s="13">
        <f>G13*$D$6</f>
        <v>147.79723636363633</v>
      </c>
      <c r="L13" s="14">
        <f>F13/(1-$D$4)</f>
        <v>77.4176</v>
      </c>
      <c r="M13" s="14">
        <f>L13*$D$6</f>
        <v>108.38463999999999</v>
      </c>
      <c r="N13" s="15">
        <f>G13-F13</f>
        <v>47.50625454545454</v>
      </c>
      <c r="O13" s="16">
        <f>N13-H13</f>
        <v>21.113890909090905</v>
      </c>
      <c r="P13" s="40">
        <f>$F13/(1-$D$4-$P$9)</f>
        <v>129.0293333333333</v>
      </c>
      <c r="Q13" s="41">
        <f>P13*$D$4</f>
        <v>32.25733333333333</v>
      </c>
      <c r="R13" s="42">
        <f>P13-$F13-Q13</f>
        <v>38.70879999999999</v>
      </c>
      <c r="S13" s="43">
        <f>R13/P13</f>
        <v>0.3</v>
      </c>
      <c r="T13" s="40">
        <f>P13*$D$6</f>
        <v>180.64106666666663</v>
      </c>
      <c r="U13" s="40">
        <f>$F13/(1-$D$4-$U$9)</f>
        <v>116.12639999999999</v>
      </c>
      <c r="V13" s="41">
        <f>U13*$D$4</f>
        <v>29.031599999999997</v>
      </c>
      <c r="W13" s="42">
        <f>U13-$F13-V13</f>
        <v>29.031599999999997</v>
      </c>
      <c r="X13" s="43">
        <f>W13/U13</f>
        <v>0.25</v>
      </c>
      <c r="Y13" s="40">
        <f>U13*$D$6</f>
        <v>162.57695999999999</v>
      </c>
      <c r="Z13" s="40">
        <f>$F13/(1-$D$4-$Z$9)</f>
        <v>105.56945454545453</v>
      </c>
      <c r="AA13" s="41">
        <f>Z13*$D$4</f>
        <v>26.392363636363633</v>
      </c>
      <c r="AB13" s="42">
        <f>Z13-$F13-AA13</f>
        <v>21.113890909090905</v>
      </c>
      <c r="AC13" s="43">
        <f>AB13/Z13</f>
        <v>0.19999999999999998</v>
      </c>
      <c r="AD13" s="40">
        <f>Z13*$D$6</f>
        <v>147.79723636363633</v>
      </c>
      <c r="AE13" s="40">
        <f>$F13/(1-$D$4-$AE$9)</f>
        <v>96.77199999999999</v>
      </c>
      <c r="AF13" s="41">
        <f>AE13*$D$4</f>
        <v>24.192999999999998</v>
      </c>
      <c r="AG13" s="42">
        <f>AE13-$F13-AF13</f>
        <v>14.515799999999999</v>
      </c>
      <c r="AH13" s="43">
        <f>AG13/AE13</f>
        <v>0.15</v>
      </c>
      <c r="AI13" s="40">
        <f>AE13*$D$6</f>
        <v>135.4808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105.56945454545453</v>
      </c>
      <c r="H14" s="10">
        <f>G14*$D$4</f>
        <v>26.392363636363633</v>
      </c>
      <c r="I14" s="11">
        <f>G14-F14-H14</f>
        <v>21.113890909090905</v>
      </c>
      <c r="J14" s="12">
        <f>I14/G14</f>
        <v>0.19999999999999998</v>
      </c>
      <c r="K14" s="13">
        <f>G14*$D$6</f>
        <v>147.79723636363633</v>
      </c>
      <c r="L14" s="14">
        <f>F14/(1-$D$4)</f>
        <v>77.4176</v>
      </c>
      <c r="M14" s="14">
        <f>L14*$D$6</f>
        <v>108.38463999999999</v>
      </c>
      <c r="N14" s="15">
        <f>G14-F14</f>
        <v>47.50625454545454</v>
      </c>
      <c r="O14" s="16">
        <f>N14-H14</f>
        <v>21.113890909090905</v>
      </c>
      <c r="P14" s="40">
        <f>$F14/(1-$D$4-$P$9)</f>
        <v>129.0293333333333</v>
      </c>
      <c r="Q14" s="41">
        <f>P14*$D$4</f>
        <v>32.25733333333333</v>
      </c>
      <c r="R14" s="42">
        <f>P14-$F14-Q14</f>
        <v>38.70879999999999</v>
      </c>
      <c r="S14" s="43">
        <f>R14/P14</f>
        <v>0.3</v>
      </c>
      <c r="T14" s="40">
        <f>P14*$D$6</f>
        <v>180.64106666666663</v>
      </c>
      <c r="U14" s="40">
        <f>$F14/(1-$D$4-$U$9)</f>
        <v>116.12639999999999</v>
      </c>
      <c r="V14" s="41">
        <f>U14*$D$4</f>
        <v>29.031599999999997</v>
      </c>
      <c r="W14" s="42">
        <f>U14-$F14-V14</f>
        <v>29.031599999999997</v>
      </c>
      <c r="X14" s="43">
        <f>W14/U14</f>
        <v>0.25</v>
      </c>
      <c r="Y14" s="40">
        <f>U14*$D$6</f>
        <v>162.57695999999999</v>
      </c>
      <c r="Z14" s="40">
        <f>$F14/(1-$D$4-$Z$9)</f>
        <v>105.56945454545453</v>
      </c>
      <c r="AA14" s="41">
        <f>Z14*$D$4</f>
        <v>26.392363636363633</v>
      </c>
      <c r="AB14" s="42">
        <f>Z14-$F14-AA14</f>
        <v>21.113890909090905</v>
      </c>
      <c r="AC14" s="43">
        <f>AB14/Z14</f>
        <v>0.19999999999999998</v>
      </c>
      <c r="AD14" s="40">
        <f>Z14*$D$6</f>
        <v>147.79723636363633</v>
      </c>
      <c r="AE14" s="40">
        <f>$F14/(1-$D$4-$AE$9)</f>
        <v>96.77199999999999</v>
      </c>
      <c r="AF14" s="41">
        <f>AE14*$D$4</f>
        <v>24.192999999999998</v>
      </c>
      <c r="AG14" s="42">
        <f>AE14-$F14-AF14</f>
        <v>14.515799999999999</v>
      </c>
      <c r="AH14" s="43">
        <f>AG14/AE14</f>
        <v>0.15</v>
      </c>
      <c r="AI14" s="40">
        <f>AE14*$D$6</f>
        <v>135.4808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105.56945454545453</v>
      </c>
      <c r="H15" s="10">
        <f>G15*$D$4</f>
        <v>26.392363636363633</v>
      </c>
      <c r="I15" s="11">
        <f>G15-F15-H15</f>
        <v>21.113890909090905</v>
      </c>
      <c r="J15" s="12">
        <f>I15/G15</f>
        <v>0.19999999999999998</v>
      </c>
      <c r="K15" s="13">
        <f>G15*$D$6</f>
        <v>147.79723636363633</v>
      </c>
      <c r="L15" s="14">
        <f>F15/(1-$D$4)</f>
        <v>77.4176</v>
      </c>
      <c r="M15" s="14">
        <f>L15*$D$6</f>
        <v>108.38463999999999</v>
      </c>
      <c r="N15" s="15">
        <f>G15-F15</f>
        <v>47.50625454545454</v>
      </c>
      <c r="O15" s="16">
        <f>N15-H15</f>
        <v>21.113890909090905</v>
      </c>
      <c r="P15" s="40">
        <f>$F15/(1-$D$4-$P$9)</f>
        <v>129.0293333333333</v>
      </c>
      <c r="Q15" s="41">
        <f>P15*$D$4</f>
        <v>32.25733333333333</v>
      </c>
      <c r="R15" s="42">
        <f>P15-$F15-Q15</f>
        <v>38.70879999999999</v>
      </c>
      <c r="S15" s="43">
        <f>R15/P15</f>
        <v>0.3</v>
      </c>
      <c r="T15" s="40">
        <f>P15*$D$6</f>
        <v>180.64106666666663</v>
      </c>
      <c r="U15" s="40">
        <f>$F15/(1-$D$4-$U$9)</f>
        <v>116.12639999999999</v>
      </c>
      <c r="V15" s="41">
        <f>U15*$D$4</f>
        <v>29.031599999999997</v>
      </c>
      <c r="W15" s="42">
        <f>U15-$F15-V15</f>
        <v>29.031599999999997</v>
      </c>
      <c r="X15" s="43">
        <f>W15/U15</f>
        <v>0.25</v>
      </c>
      <c r="Y15" s="40">
        <f>U15*$D$6</f>
        <v>162.57695999999999</v>
      </c>
      <c r="Z15" s="40">
        <f>$F15/(1-$D$4-$Z$9)</f>
        <v>105.56945454545453</v>
      </c>
      <c r="AA15" s="41">
        <f>Z15*$D$4</f>
        <v>26.392363636363633</v>
      </c>
      <c r="AB15" s="42">
        <f>Z15-$F15-AA15</f>
        <v>21.113890909090905</v>
      </c>
      <c r="AC15" s="43">
        <f>AB15/Z15</f>
        <v>0.19999999999999998</v>
      </c>
      <c r="AD15" s="40">
        <f>Z15*$D$6</f>
        <v>147.79723636363633</v>
      </c>
      <c r="AE15" s="40">
        <f>$F15/(1-$D$4-$AE$9)</f>
        <v>96.77199999999999</v>
      </c>
      <c r="AF15" s="41">
        <f>AE15*$D$4</f>
        <v>24.192999999999998</v>
      </c>
      <c r="AG15" s="42">
        <f>AE15-$F15-AF15</f>
        <v>14.515799999999999</v>
      </c>
      <c r="AH15" s="43">
        <f>AG15/AE15</f>
        <v>0.15</v>
      </c>
      <c r="AI15" s="40">
        <f>AE15*$D$6</f>
        <v>135.4808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105.56945454545453</v>
      </c>
      <c r="H16" s="10">
        <f>G16*$D$4</f>
        <v>26.392363636363633</v>
      </c>
      <c r="I16" s="11">
        <f>G16-F16-H16</f>
        <v>21.113890909090905</v>
      </c>
      <c r="J16" s="12">
        <f>I16/G16</f>
        <v>0.19999999999999998</v>
      </c>
      <c r="K16" s="13">
        <f>G16*$D$6</f>
        <v>147.79723636363633</v>
      </c>
      <c r="L16" s="14">
        <f>F16/(1-$D$4)</f>
        <v>77.4176</v>
      </c>
      <c r="M16" s="14">
        <f>L16*$D$6</f>
        <v>108.38463999999999</v>
      </c>
      <c r="N16" s="15">
        <f>G16-F16</f>
        <v>47.50625454545454</v>
      </c>
      <c r="O16" s="16">
        <f>N16-H16</f>
        <v>21.113890909090905</v>
      </c>
      <c r="P16" s="40">
        <f>$F16/(1-$D$4-$P$9)</f>
        <v>129.0293333333333</v>
      </c>
      <c r="Q16" s="41">
        <f>P16*$D$4</f>
        <v>32.25733333333333</v>
      </c>
      <c r="R16" s="42">
        <f>P16-$F16-Q16</f>
        <v>38.70879999999999</v>
      </c>
      <c r="S16" s="43">
        <f>R16/P16</f>
        <v>0.3</v>
      </c>
      <c r="T16" s="40">
        <f>P16*$D$6</f>
        <v>180.64106666666663</v>
      </c>
      <c r="U16" s="40">
        <f>$F16/(1-$D$4-$U$9)</f>
        <v>116.12639999999999</v>
      </c>
      <c r="V16" s="41">
        <f>U16*$D$4</f>
        <v>29.031599999999997</v>
      </c>
      <c r="W16" s="42">
        <f>U16-$F16-V16</f>
        <v>29.031599999999997</v>
      </c>
      <c r="X16" s="43">
        <f>W16/U16</f>
        <v>0.25</v>
      </c>
      <c r="Y16" s="40">
        <f>U16*$D$6</f>
        <v>162.57695999999999</v>
      </c>
      <c r="Z16" s="40">
        <f>$F16/(1-$D$4-$Z$9)</f>
        <v>105.56945454545453</v>
      </c>
      <c r="AA16" s="41">
        <f>Z16*$D$4</f>
        <v>26.392363636363633</v>
      </c>
      <c r="AB16" s="42">
        <f>Z16-$F16-AA16</f>
        <v>21.113890909090905</v>
      </c>
      <c r="AC16" s="43">
        <f>AB16/Z16</f>
        <v>0.19999999999999998</v>
      </c>
      <c r="AD16" s="40">
        <f>Z16*$D$6</f>
        <v>147.79723636363633</v>
      </c>
      <c r="AE16" s="40">
        <f>$F16/(1-$D$4-$AE$9)</f>
        <v>96.77199999999999</v>
      </c>
      <c r="AF16" s="41">
        <f>AE16*$D$4</f>
        <v>24.192999999999998</v>
      </c>
      <c r="AG16" s="42">
        <f>AE16-$F16-AF16</f>
        <v>14.515799999999999</v>
      </c>
      <c r="AH16" s="43">
        <f>AG16/AE16</f>
        <v>0.15</v>
      </c>
      <c r="AI16" s="40">
        <f>AE16*$D$6</f>
        <v>135.4808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0.25</v>
      </c>
      <c r="G26" s="32">
        <f>$D$4</f>
        <v>0.25</v>
      </c>
      <c r="H26" s="32">
        <f>$D$4</f>
        <v>0.25</v>
      </c>
      <c r="I26" s="32">
        <f>$D$4</f>
        <v>0.25</v>
      </c>
      <c r="J26" s="32">
        <f>$D$4</f>
        <v>0.25</v>
      </c>
      <c r="K26" s="32">
        <f>$D$4</f>
        <v>0.25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0.75</v>
      </c>
      <c r="G27" s="32">
        <f>1-$D$4</f>
        <v>0.75</v>
      </c>
      <c r="H27" s="32">
        <f>1-$D$4</f>
        <v>0.75</v>
      </c>
      <c r="I27" s="32">
        <f>1-$D$4</f>
        <v>0.75</v>
      </c>
      <c r="J27" s="32">
        <f>1-$D$4</f>
        <v>0.75</v>
      </c>
      <c r="K27" s="32">
        <f>1-$D$4</f>
        <v>0.75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0.55</v>
      </c>
      <c r="G29" s="32">
        <f>$D$8</f>
        <v>0.55</v>
      </c>
      <c r="H29" s="32">
        <f>$D$8</f>
        <v>0.55</v>
      </c>
      <c r="I29" s="32">
        <f>$D$8</f>
        <v>0.55</v>
      </c>
      <c r="J29" s="32">
        <f>$D$8</f>
        <v>0.55</v>
      </c>
      <c r="K29" s="32">
        <f>$D$8</f>
        <v>0.55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121.81090909090909</v>
      </c>
      <c r="G30" s="34">
        <f>G12</f>
        <v>121.81090909090909</v>
      </c>
      <c r="H30" s="34">
        <f>G13</f>
        <v>105.56945454545453</v>
      </c>
      <c r="I30" s="34">
        <f>G14</f>
        <v>105.56945454545453</v>
      </c>
      <c r="J30" s="34">
        <f>G15</f>
        <v>105.56945454545453</v>
      </c>
      <c r="K30" s="34">
        <f>G16</f>
        <v>105.56945454545453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54.81490909090908</v>
      </c>
      <c r="G31" s="31">
        <f>N12</f>
        <v>54.81490909090908</v>
      </c>
      <c r="H31" s="31">
        <f>N13</f>
        <v>47.50625454545454</v>
      </c>
      <c r="I31" s="31">
        <f>N14</f>
        <v>47.50625454545454</v>
      </c>
      <c r="J31" s="31">
        <f>N15</f>
        <v>47.50625454545454</v>
      </c>
      <c r="K31" s="31">
        <f>N16</f>
        <v>47.50625454545454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30.452727272727273</v>
      </c>
      <c r="G32" s="31">
        <f>H12</f>
        <v>30.452727272727273</v>
      </c>
      <c r="H32" s="31">
        <f>H13</f>
        <v>26.392363636363633</v>
      </c>
      <c r="I32" s="31">
        <f>H14</f>
        <v>26.392363636363633</v>
      </c>
      <c r="J32" s="31">
        <f>H15</f>
        <v>26.392363636363633</v>
      </c>
      <c r="K32" s="31">
        <f>H16</f>
        <v>26.392363636363633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24.36218181818181</v>
      </c>
      <c r="G33" s="36">
        <f>I12</f>
        <v>24.36218181818181</v>
      </c>
      <c r="H33" s="36">
        <f>I13</f>
        <v>21.113890909090905</v>
      </c>
      <c r="I33" s="36">
        <f>I14</f>
        <v>21.113890909090905</v>
      </c>
      <c r="J33" s="36">
        <f>I15</f>
        <v>21.113890909090905</v>
      </c>
      <c r="K33" s="36">
        <f>I16</f>
        <v>21.113890909090905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0.19999999999999993</v>
      </c>
      <c r="G34" s="37">
        <f>J12</f>
        <v>0.19999999999999993</v>
      </c>
      <c r="H34" s="37">
        <f>J13</f>
        <v>0.19999999999999998</v>
      </c>
      <c r="I34" s="37">
        <f>J14</f>
        <v>0.19999999999999998</v>
      </c>
      <c r="J34" s="37">
        <f>J15</f>
        <v>0.19999999999999998</v>
      </c>
      <c r="K34" s="37">
        <f>J16</f>
        <v>0.19999999999999998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170.5352727272727</v>
      </c>
      <c r="G37" s="34">
        <f>K12</f>
        <v>170.5352727272727</v>
      </c>
      <c r="H37" s="34">
        <f>K13</f>
        <v>147.79723636363633</v>
      </c>
      <c r="I37" s="34">
        <f>K14</f>
        <v>147.79723636363633</v>
      </c>
      <c r="J37" s="34">
        <f>K15</f>
        <v>147.79723636363633</v>
      </c>
      <c r="K37" s="34">
        <f>K16</f>
        <v>147.79723636363633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89.32800000000002</v>
      </c>
      <c r="G38" s="31">
        <f>L12</f>
        <v>89.32800000000002</v>
      </c>
      <c r="H38" s="31">
        <f>L13</f>
        <v>77.4176</v>
      </c>
      <c r="I38" s="31">
        <f>L14</f>
        <v>77.4176</v>
      </c>
      <c r="J38" s="31">
        <f>L15</f>
        <v>77.4176</v>
      </c>
      <c r="K38" s="31">
        <f>L16</f>
        <v>77.4176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125.05920000000002</v>
      </c>
      <c r="G39" s="31">
        <f>M12</f>
        <v>125.05920000000002</v>
      </c>
      <c r="H39" s="31">
        <f>M13</f>
        <v>108.38463999999999</v>
      </c>
      <c r="I39" s="31">
        <f>M14</f>
        <v>108.38463999999999</v>
      </c>
      <c r="J39" s="31">
        <f>M15</f>
        <v>108.38463999999999</v>
      </c>
      <c r="K39" s="31">
        <f>M16</f>
        <v>108.38463999999999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33 палет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33 палети</t>
        </is>
      </c>
      <c r="E2" s="86" t="inlineStr">
        <is>
          <t>Готова СС із Self-Cost_Sias: AJ30:AJ35.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0.25</v>
      </c>
      <c r="E4" s="68" t="str">
        <f>"Бонус мережі "&amp;ROUND(D4*100,0)&amp;"%; полиця = ціна партнера × "&amp;D6&amp;"."</f>
        <v>Бонус мережі 25%;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 t="n">
        <v>0.2</v>
      </c>
      <c r="E5" s="68" t="str">
        <f>ROUND(D5*100,0)&amp;"% = (ціна партнеру − собівартість − бонус) / повна ціна партнеру."</f>
        <v>20% = (ціна партнеру − собівартість − бонус) / повна ціна партнеру.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0.55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− 25% − 20% = 55%.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94.77875472448771</v>
      </c>
      <c r="H11" s="10">
        <f>G11*$D$4</f>
        <v>23.694688681121928</v>
      </c>
      <c r="I11" s="11">
        <f>G11-F11-H11</f>
        <v>18.955750944897535</v>
      </c>
      <c r="J11" s="12">
        <f>I11/G11</f>
        <v>0.19999999999999993</v>
      </c>
      <c r="K11" s="13">
        <f>G11*$D$6</f>
        <v>132.6902566142828</v>
      </c>
      <c r="L11" s="14">
        <f>F11/(1-$D$4)</f>
        <v>69.504420131291</v>
      </c>
      <c r="M11" s="14">
        <f>L11*$D$6</f>
        <v>97.3061881838074</v>
      </c>
      <c r="N11" s="15">
        <f>G11-F11</f>
        <v>42.65043962601946</v>
      </c>
      <c r="O11" s="16">
        <f>N11-H11</f>
        <v>18.955750944897535</v>
      </c>
      <c r="P11" s="40">
        <f>$F11/(1-$D$4-$P$9)</f>
        <v>115.84070021881833</v>
      </c>
      <c r="Q11" s="41">
        <f>P11*$D$4</f>
        <v>28.96017505470458</v>
      </c>
      <c r="R11" s="42">
        <f>P11-$F11-Q11</f>
        <v>34.7522100656455</v>
      </c>
      <c r="S11" s="43">
        <f>R11/P11</f>
        <v>0.3</v>
      </c>
      <c r="T11" s="40">
        <f>P11*$D$6</f>
        <v>162.17698030634565</v>
      </c>
      <c r="U11" s="40">
        <f>$F11/(1-$D$4-$U$9)</f>
        <v>104.2566301969365</v>
      </c>
      <c r="V11" s="41">
        <f>U11*$D$4</f>
        <v>26.064157549234125</v>
      </c>
      <c r="W11" s="42">
        <f>U11-$F11-V11</f>
        <v>26.064157549234125</v>
      </c>
      <c r="X11" s="43">
        <f>W11/U11</f>
        <v>0.25</v>
      </c>
      <c r="Y11" s="40">
        <f>U11*$D$6</f>
        <v>145.95928227571108</v>
      </c>
      <c r="Z11" s="40">
        <f>$F11/(1-$D$4-$Z$9)</f>
        <v>94.77875472448771</v>
      </c>
      <c r="AA11" s="41">
        <f>Z11*$D$4</f>
        <v>23.694688681121928</v>
      </c>
      <c r="AB11" s="42">
        <f>Z11-$F11-AA11</f>
        <v>18.955750944897535</v>
      </c>
      <c r="AC11" s="43">
        <f>AB11/Z11</f>
        <v>0.19999999999999993</v>
      </c>
      <c r="AD11" s="40">
        <f>Z11*$D$6</f>
        <v>132.6902566142828</v>
      </c>
      <c r="AE11" s="40">
        <f>$F11/(1-$D$4-$AE$9)</f>
        <v>86.88052516411375</v>
      </c>
      <c r="AF11" s="41">
        <f>AE11*$D$4</f>
        <v>21.720131291028437</v>
      </c>
      <c r="AG11" s="42">
        <f>AE11-$F11-AF11</f>
        <v>13.032078774617062</v>
      </c>
      <c r="AH11" s="43">
        <f>AG11/AE11</f>
        <v>0.15</v>
      </c>
      <c r="AI11" s="40">
        <f>AE11*$D$6</f>
        <v>121.63273522975923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94.77875472448771</v>
      </c>
      <c r="H12" s="10">
        <f>G12*$D$4</f>
        <v>23.694688681121928</v>
      </c>
      <c r="I12" s="11">
        <f>G12-F12-H12</f>
        <v>18.955750944897535</v>
      </c>
      <c r="J12" s="12">
        <f>I12/G12</f>
        <v>0.19999999999999993</v>
      </c>
      <c r="K12" s="13">
        <f>G12*$D$6</f>
        <v>132.6902566142828</v>
      </c>
      <c r="L12" s="14">
        <f>F12/(1-$D$4)</f>
        <v>69.504420131291</v>
      </c>
      <c r="M12" s="14">
        <f>L12*$D$6</f>
        <v>97.3061881838074</v>
      </c>
      <c r="N12" s="15">
        <f>G12-F12</f>
        <v>42.65043962601946</v>
      </c>
      <c r="O12" s="16">
        <f>N12-H12</f>
        <v>18.955750944897535</v>
      </c>
      <c r="P12" s="40">
        <f>$F12/(1-$D$4-$P$9)</f>
        <v>115.84070021881833</v>
      </c>
      <c r="Q12" s="41">
        <f>P12*$D$4</f>
        <v>28.96017505470458</v>
      </c>
      <c r="R12" s="42">
        <f>P12-$F12-Q12</f>
        <v>34.7522100656455</v>
      </c>
      <c r="S12" s="43">
        <f>R12/P12</f>
        <v>0.3</v>
      </c>
      <c r="T12" s="40">
        <f>P12*$D$6</f>
        <v>162.17698030634565</v>
      </c>
      <c r="U12" s="40">
        <f>$F12/(1-$D$4-$U$9)</f>
        <v>104.2566301969365</v>
      </c>
      <c r="V12" s="41">
        <f>U12*$D$4</f>
        <v>26.064157549234125</v>
      </c>
      <c r="W12" s="42">
        <f>U12-$F12-V12</f>
        <v>26.064157549234125</v>
      </c>
      <c r="X12" s="43">
        <f>W12/U12</f>
        <v>0.25</v>
      </c>
      <c r="Y12" s="40">
        <f>U12*$D$6</f>
        <v>145.95928227571108</v>
      </c>
      <c r="Z12" s="40">
        <f>$F12/(1-$D$4-$Z$9)</f>
        <v>94.77875472448771</v>
      </c>
      <c r="AA12" s="41">
        <f>Z12*$D$4</f>
        <v>23.694688681121928</v>
      </c>
      <c r="AB12" s="42">
        <f>Z12-$F12-AA12</f>
        <v>18.955750944897535</v>
      </c>
      <c r="AC12" s="43">
        <f>AB12/Z12</f>
        <v>0.19999999999999993</v>
      </c>
      <c r="AD12" s="40">
        <f>Z12*$D$6</f>
        <v>132.6902566142828</v>
      </c>
      <c r="AE12" s="40">
        <f>$F12/(1-$D$4-$AE$9)</f>
        <v>86.88052516411375</v>
      </c>
      <c r="AF12" s="41">
        <f>AE12*$D$4</f>
        <v>21.720131291028437</v>
      </c>
      <c r="AG12" s="42">
        <f>AE12-$F12-AF12</f>
        <v>13.032078774617062</v>
      </c>
      <c r="AH12" s="43">
        <f>AG12/AE12</f>
        <v>0.15</v>
      </c>
      <c r="AI12" s="40">
        <f>AE12*$D$6</f>
        <v>121.63273522975923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82.14158742788943</v>
      </c>
      <c r="H13" s="10">
        <f>G13*$D$4</f>
        <v>20.53539685697236</v>
      </c>
      <c r="I13" s="11">
        <f>G13-F13-H13</f>
        <v>16.42831748557788</v>
      </c>
      <c r="J13" s="12">
        <f>I13/G13</f>
        <v>0.19999999999999993</v>
      </c>
      <c r="K13" s="13">
        <f>G13*$D$6</f>
        <v>114.9982223990452</v>
      </c>
      <c r="L13" s="14">
        <f>F13/(1-$D$4)</f>
        <v>60.23716411378559</v>
      </c>
      <c r="M13" s="14">
        <f>L13*$D$6</f>
        <v>84.33202975929981</v>
      </c>
      <c r="N13" s="15">
        <f>G13-F13</f>
        <v>36.96371434255024</v>
      </c>
      <c r="O13" s="16">
        <f>N13-H13</f>
        <v>16.42831748557788</v>
      </c>
      <c r="P13" s="40">
        <f>$F13/(1-$D$4-$P$9)</f>
        <v>100.39527352297598</v>
      </c>
      <c r="Q13" s="41">
        <f>P13*$D$4</f>
        <v>25.098818380743996</v>
      </c>
      <c r="R13" s="42">
        <f>P13-$F13-Q13</f>
        <v>30.118582056892794</v>
      </c>
      <c r="S13" s="43">
        <f>R13/P13</f>
        <v>0.3</v>
      </c>
      <c r="T13" s="40">
        <f>P13*$D$6</f>
        <v>140.55338293216636</v>
      </c>
      <c r="U13" s="40">
        <f>$F13/(1-$D$4-$U$9)</f>
        <v>90.35574617067839</v>
      </c>
      <c r="V13" s="41">
        <f>U13*$D$4</f>
        <v>22.588936542669597</v>
      </c>
      <c r="W13" s="42">
        <f>U13-$F13-V13</f>
        <v>22.588936542669597</v>
      </c>
      <c r="X13" s="43">
        <f>W13/U13</f>
        <v>0.25</v>
      </c>
      <c r="Y13" s="40">
        <f>U13*$D$6</f>
        <v>126.49804463894974</v>
      </c>
      <c r="Z13" s="40">
        <f>$F13/(1-$D$4-$Z$9)</f>
        <v>82.14158742788943</v>
      </c>
      <c r="AA13" s="41">
        <f>Z13*$D$4</f>
        <v>20.53539685697236</v>
      </c>
      <c r="AB13" s="42">
        <f>Z13-$F13-AA13</f>
        <v>16.42831748557788</v>
      </c>
      <c r="AC13" s="43">
        <f>AB13/Z13</f>
        <v>0.19999999999999993</v>
      </c>
      <c r="AD13" s="40">
        <f>Z13*$D$6</f>
        <v>114.9982223990452</v>
      </c>
      <c r="AE13" s="40">
        <f>$F13/(1-$D$4-$AE$9)</f>
        <v>75.29645514223199</v>
      </c>
      <c r="AF13" s="41">
        <f>AE13*$D$4</f>
        <v>18.824113785557998</v>
      </c>
      <c r="AG13" s="42">
        <f>AE13-$F13-AF13</f>
        <v>11.2944682713348</v>
      </c>
      <c r="AH13" s="43">
        <f>AG13/AE13</f>
        <v>0.15000000000000002</v>
      </c>
      <c r="AI13" s="40">
        <f>AE13*$D$6</f>
        <v>105.41503719912478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82.14158742788943</v>
      </c>
      <c r="H14" s="10">
        <f>G14*$D$4</f>
        <v>20.53539685697236</v>
      </c>
      <c r="I14" s="11">
        <f>G14-F14-H14</f>
        <v>16.42831748557788</v>
      </c>
      <c r="J14" s="12">
        <f>I14/G14</f>
        <v>0.19999999999999993</v>
      </c>
      <c r="K14" s="13">
        <f>G14*$D$6</f>
        <v>114.9982223990452</v>
      </c>
      <c r="L14" s="14">
        <f>F14/(1-$D$4)</f>
        <v>60.23716411378559</v>
      </c>
      <c r="M14" s="14">
        <f>L14*$D$6</f>
        <v>84.33202975929981</v>
      </c>
      <c r="N14" s="15">
        <f>G14-F14</f>
        <v>36.96371434255024</v>
      </c>
      <c r="O14" s="16">
        <f>N14-H14</f>
        <v>16.42831748557788</v>
      </c>
      <c r="P14" s="40">
        <f>$F14/(1-$D$4-$P$9)</f>
        <v>100.39527352297598</v>
      </c>
      <c r="Q14" s="41">
        <f>P14*$D$4</f>
        <v>25.098818380743996</v>
      </c>
      <c r="R14" s="42">
        <f>P14-$F14-Q14</f>
        <v>30.118582056892794</v>
      </c>
      <c r="S14" s="43">
        <f>R14/P14</f>
        <v>0.3</v>
      </c>
      <c r="T14" s="40">
        <f>P14*$D$6</f>
        <v>140.55338293216636</v>
      </c>
      <c r="U14" s="40">
        <f>$F14/(1-$D$4-$U$9)</f>
        <v>90.35574617067839</v>
      </c>
      <c r="V14" s="41">
        <f>U14*$D$4</f>
        <v>22.588936542669597</v>
      </c>
      <c r="W14" s="42">
        <f>U14-$F14-V14</f>
        <v>22.588936542669597</v>
      </c>
      <c r="X14" s="43">
        <f>W14/U14</f>
        <v>0.25</v>
      </c>
      <c r="Y14" s="40">
        <f>U14*$D$6</f>
        <v>126.49804463894974</v>
      </c>
      <c r="Z14" s="40">
        <f>$F14/(1-$D$4-$Z$9)</f>
        <v>82.14158742788943</v>
      </c>
      <c r="AA14" s="41">
        <f>Z14*$D$4</f>
        <v>20.53539685697236</v>
      </c>
      <c r="AB14" s="42">
        <f>Z14-$F14-AA14</f>
        <v>16.42831748557788</v>
      </c>
      <c r="AC14" s="43">
        <f>AB14/Z14</f>
        <v>0.19999999999999993</v>
      </c>
      <c r="AD14" s="40">
        <f>Z14*$D$6</f>
        <v>114.9982223990452</v>
      </c>
      <c r="AE14" s="40">
        <f>$F14/(1-$D$4-$AE$9)</f>
        <v>75.29645514223199</v>
      </c>
      <c r="AF14" s="41">
        <f>AE14*$D$4</f>
        <v>18.824113785557998</v>
      </c>
      <c r="AG14" s="42">
        <f>AE14-$F14-AF14</f>
        <v>11.2944682713348</v>
      </c>
      <c r="AH14" s="43">
        <f>AG14/AE14</f>
        <v>0.15000000000000002</v>
      </c>
      <c r="AI14" s="40">
        <f>AE14*$D$6</f>
        <v>105.41503719912478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82.14158742788943</v>
      </c>
      <c r="H15" s="10">
        <f>G15*$D$4</f>
        <v>20.53539685697236</v>
      </c>
      <c r="I15" s="11">
        <f>G15-F15-H15</f>
        <v>16.42831748557788</v>
      </c>
      <c r="J15" s="12">
        <f>I15/G15</f>
        <v>0.19999999999999993</v>
      </c>
      <c r="K15" s="13">
        <f>G15*$D$6</f>
        <v>114.9982223990452</v>
      </c>
      <c r="L15" s="14">
        <f>F15/(1-$D$4)</f>
        <v>60.23716411378559</v>
      </c>
      <c r="M15" s="14">
        <f>L15*$D$6</f>
        <v>84.33202975929981</v>
      </c>
      <c r="N15" s="15">
        <f>G15-F15</f>
        <v>36.96371434255024</v>
      </c>
      <c r="O15" s="16">
        <f>N15-H15</f>
        <v>16.42831748557788</v>
      </c>
      <c r="P15" s="40">
        <f>$F15/(1-$D$4-$P$9)</f>
        <v>100.39527352297598</v>
      </c>
      <c r="Q15" s="41">
        <f>P15*$D$4</f>
        <v>25.098818380743996</v>
      </c>
      <c r="R15" s="42">
        <f>P15-$F15-Q15</f>
        <v>30.118582056892794</v>
      </c>
      <c r="S15" s="43">
        <f>R15/P15</f>
        <v>0.3</v>
      </c>
      <c r="T15" s="40">
        <f>P15*$D$6</f>
        <v>140.55338293216636</v>
      </c>
      <c r="U15" s="40">
        <f>$F15/(1-$D$4-$U$9)</f>
        <v>90.35574617067839</v>
      </c>
      <c r="V15" s="41">
        <f>U15*$D$4</f>
        <v>22.588936542669597</v>
      </c>
      <c r="W15" s="42">
        <f>U15-$F15-V15</f>
        <v>22.588936542669597</v>
      </c>
      <c r="X15" s="43">
        <f>W15/U15</f>
        <v>0.25</v>
      </c>
      <c r="Y15" s="40">
        <f>U15*$D$6</f>
        <v>126.49804463894974</v>
      </c>
      <c r="Z15" s="40">
        <f>$F15/(1-$D$4-$Z$9)</f>
        <v>82.14158742788943</v>
      </c>
      <c r="AA15" s="41">
        <f>Z15*$D$4</f>
        <v>20.53539685697236</v>
      </c>
      <c r="AB15" s="42">
        <f>Z15-$F15-AA15</f>
        <v>16.42831748557788</v>
      </c>
      <c r="AC15" s="43">
        <f>AB15/Z15</f>
        <v>0.19999999999999993</v>
      </c>
      <c r="AD15" s="40">
        <f>Z15*$D$6</f>
        <v>114.9982223990452</v>
      </c>
      <c r="AE15" s="40">
        <f>$F15/(1-$D$4-$AE$9)</f>
        <v>75.29645514223199</v>
      </c>
      <c r="AF15" s="41">
        <f>AE15*$D$4</f>
        <v>18.824113785557998</v>
      </c>
      <c r="AG15" s="42">
        <f>AE15-$F15-AF15</f>
        <v>11.2944682713348</v>
      </c>
      <c r="AH15" s="43">
        <f>AG15/AE15</f>
        <v>0.15000000000000002</v>
      </c>
      <c r="AI15" s="40">
        <f>AE15*$D$6</f>
        <v>105.41503719912478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82.14158742788943</v>
      </c>
      <c r="H16" s="10">
        <f>G16*$D$4</f>
        <v>20.53539685697236</v>
      </c>
      <c r="I16" s="11">
        <f>G16-F16-H16</f>
        <v>16.42831748557788</v>
      </c>
      <c r="J16" s="12">
        <f>I16/G16</f>
        <v>0.19999999999999993</v>
      </c>
      <c r="K16" s="13">
        <f>G16*$D$6</f>
        <v>114.9982223990452</v>
      </c>
      <c r="L16" s="14">
        <f>F16/(1-$D$4)</f>
        <v>60.23716411378559</v>
      </c>
      <c r="M16" s="14">
        <f>L16*$D$6</f>
        <v>84.33202975929981</v>
      </c>
      <c r="N16" s="15">
        <f>G16-F16</f>
        <v>36.96371434255024</v>
      </c>
      <c r="O16" s="16">
        <f>N16-H16</f>
        <v>16.42831748557788</v>
      </c>
      <c r="P16" s="40">
        <f>$F16/(1-$D$4-$P$9)</f>
        <v>100.39527352297598</v>
      </c>
      <c r="Q16" s="41">
        <f>P16*$D$4</f>
        <v>25.098818380743996</v>
      </c>
      <c r="R16" s="42">
        <f>P16-$F16-Q16</f>
        <v>30.118582056892794</v>
      </c>
      <c r="S16" s="43">
        <f>R16/P16</f>
        <v>0.3</v>
      </c>
      <c r="T16" s="40">
        <f>P16*$D$6</f>
        <v>140.55338293216636</v>
      </c>
      <c r="U16" s="40">
        <f>$F16/(1-$D$4-$U$9)</f>
        <v>90.35574617067839</v>
      </c>
      <c r="V16" s="41">
        <f>U16*$D$4</f>
        <v>22.588936542669597</v>
      </c>
      <c r="W16" s="42">
        <f>U16-$F16-V16</f>
        <v>22.588936542669597</v>
      </c>
      <c r="X16" s="43">
        <f>W16/U16</f>
        <v>0.25</v>
      </c>
      <c r="Y16" s="40">
        <f>U16*$D$6</f>
        <v>126.49804463894974</v>
      </c>
      <c r="Z16" s="40">
        <f>$F16/(1-$D$4-$Z$9)</f>
        <v>82.14158742788943</v>
      </c>
      <c r="AA16" s="41">
        <f>Z16*$D$4</f>
        <v>20.53539685697236</v>
      </c>
      <c r="AB16" s="42">
        <f>Z16-$F16-AA16</f>
        <v>16.42831748557788</v>
      </c>
      <c r="AC16" s="43">
        <f>AB16/Z16</f>
        <v>0.19999999999999993</v>
      </c>
      <c r="AD16" s="40">
        <f>Z16*$D$6</f>
        <v>114.9982223990452</v>
      </c>
      <c r="AE16" s="40">
        <f>$F16/(1-$D$4-$AE$9)</f>
        <v>75.29645514223199</v>
      </c>
      <c r="AF16" s="41">
        <f>AE16*$D$4</f>
        <v>18.824113785557998</v>
      </c>
      <c r="AG16" s="42">
        <f>AE16-$F16-AF16</f>
        <v>11.2944682713348</v>
      </c>
      <c r="AH16" s="43">
        <f>AG16/AE16</f>
        <v>0.15000000000000002</v>
      </c>
      <c r="AI16" s="40">
        <f>AE16*$D$6</f>
        <v>105.41503719912478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0.25</v>
      </c>
      <c r="G26" s="32">
        <f>$D$4</f>
        <v>0.25</v>
      </c>
      <c r="H26" s="32">
        <f>$D$4</f>
        <v>0.25</v>
      </c>
      <c r="I26" s="32">
        <f>$D$4</f>
        <v>0.25</v>
      </c>
      <c r="J26" s="32">
        <f>$D$4</f>
        <v>0.25</v>
      </c>
      <c r="K26" s="32">
        <f>$D$4</f>
        <v>0.25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0.75</v>
      </c>
      <c r="G27" s="32">
        <f>1-$D$4</f>
        <v>0.75</v>
      </c>
      <c r="H27" s="32">
        <f>1-$D$4</f>
        <v>0.75</v>
      </c>
      <c r="I27" s="32">
        <f>1-$D$4</f>
        <v>0.75</v>
      </c>
      <c r="J27" s="32">
        <f>1-$D$4</f>
        <v>0.75</v>
      </c>
      <c r="K27" s="32">
        <f>1-$D$4</f>
        <v>0.75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0.55</v>
      </c>
      <c r="G29" s="32">
        <f>$D$8</f>
        <v>0.55</v>
      </c>
      <c r="H29" s="32">
        <f>$D$8</f>
        <v>0.55</v>
      </c>
      <c r="I29" s="32">
        <f>$D$8</f>
        <v>0.55</v>
      </c>
      <c r="J29" s="32">
        <f>$D$8</f>
        <v>0.55</v>
      </c>
      <c r="K29" s="32">
        <f>$D$8</f>
        <v>0.55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94.77875472448771</v>
      </c>
      <c r="G30" s="34">
        <f>G12</f>
        <v>94.77875472448771</v>
      </c>
      <c r="H30" s="34">
        <f>G13</f>
        <v>82.14158742788943</v>
      </c>
      <c r="I30" s="34">
        <f>G14</f>
        <v>82.14158742788943</v>
      </c>
      <c r="J30" s="34">
        <f>G15</f>
        <v>82.14158742788943</v>
      </c>
      <c r="K30" s="34">
        <f>G16</f>
        <v>82.14158742788943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42.65043962601946</v>
      </c>
      <c r="G31" s="31">
        <f>N12</f>
        <v>42.65043962601946</v>
      </c>
      <c r="H31" s="31">
        <f>N13</f>
        <v>36.96371434255024</v>
      </c>
      <c r="I31" s="31">
        <f>N14</f>
        <v>36.96371434255024</v>
      </c>
      <c r="J31" s="31">
        <f>N15</f>
        <v>36.96371434255024</v>
      </c>
      <c r="K31" s="31">
        <f>N16</f>
        <v>36.96371434255024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23.694688681121928</v>
      </c>
      <c r="G32" s="31">
        <f>H12</f>
        <v>23.694688681121928</v>
      </c>
      <c r="H32" s="31">
        <f>H13</f>
        <v>20.53539685697236</v>
      </c>
      <c r="I32" s="31">
        <f>H14</f>
        <v>20.53539685697236</v>
      </c>
      <c r="J32" s="31">
        <f>H15</f>
        <v>20.53539685697236</v>
      </c>
      <c r="K32" s="31">
        <f>H16</f>
        <v>20.53539685697236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18.955750944897535</v>
      </c>
      <c r="G33" s="36">
        <f>I12</f>
        <v>18.955750944897535</v>
      </c>
      <c r="H33" s="36">
        <f>I13</f>
        <v>16.42831748557788</v>
      </c>
      <c r="I33" s="36">
        <f>I14</f>
        <v>16.42831748557788</v>
      </c>
      <c r="J33" s="36">
        <f>I15</f>
        <v>16.42831748557788</v>
      </c>
      <c r="K33" s="36">
        <f>I16</f>
        <v>16.42831748557788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0.19999999999999993</v>
      </c>
      <c r="G34" s="37">
        <f>J12</f>
        <v>0.19999999999999993</v>
      </c>
      <c r="H34" s="37">
        <f>J13</f>
        <v>0.19999999999999993</v>
      </c>
      <c r="I34" s="37">
        <f>J14</f>
        <v>0.19999999999999993</v>
      </c>
      <c r="J34" s="37">
        <f>J15</f>
        <v>0.19999999999999993</v>
      </c>
      <c r="K34" s="37">
        <f>J16</f>
        <v>0.19999999999999993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132.6902566142828</v>
      </c>
      <c r="G37" s="34">
        <f>K12</f>
        <v>132.6902566142828</v>
      </c>
      <c r="H37" s="34">
        <f>K13</f>
        <v>114.9982223990452</v>
      </c>
      <c r="I37" s="34">
        <f>K14</f>
        <v>114.9982223990452</v>
      </c>
      <c r="J37" s="34">
        <f>K15</f>
        <v>114.9982223990452</v>
      </c>
      <c r="K37" s="34">
        <f>K16</f>
        <v>114.9982223990452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69.504420131291</v>
      </c>
      <c r="G38" s="31">
        <f>L12</f>
        <v>69.504420131291</v>
      </c>
      <c r="H38" s="31">
        <f>L13</f>
        <v>60.23716411378559</v>
      </c>
      <c r="I38" s="31">
        <f>L14</f>
        <v>60.23716411378559</v>
      </c>
      <c r="J38" s="31">
        <f>L15</f>
        <v>60.23716411378559</v>
      </c>
      <c r="K38" s="31">
        <f>L16</f>
        <v>60.23716411378559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97.3061881838074</v>
      </c>
      <c r="G39" s="31">
        <f>M12</f>
        <v>97.3061881838074</v>
      </c>
      <c r="H39" s="31">
        <f>M13</f>
        <v>84.33202975929981</v>
      </c>
      <c r="I39" s="31">
        <f>M14</f>
        <v>84.33202975929981</v>
      </c>
      <c r="J39" s="31">
        <f>M15</f>
        <v>84.33202975929981</v>
      </c>
      <c r="K39" s="31">
        <f>M16</f>
        <v>84.33202975929981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2" customWidth="1" style="71" min="9" max="9"/>
  </cols>
  <sheetData>
    <row r="1">
      <c r="A1" s="134" t="inlineStr">
        <is>
          <t>ВНУТРЕННИЙ СЦЕНАРИЙ — только для нас, не для SIAS · бонус 25 %, маржа 20 %, доп. расходы 10 ₴ (допущение) · 6 паллет</t>
        </is>
      </c>
    </row>
    <row r="2" ht="26.4" customHeight="1" s="71">
      <c r="A2" s="125" t="inlineStr">
        <is>
          <t>ЗАПРОС ДЛЯ SIAS, €/пачку</t>
        </is>
      </c>
      <c r="B2" s="135">
        <f>B20</f>
        <v>0.3</v>
      </c>
      <c r="C2" s="63" t="n"/>
      <c r="D2" s="129" t="str">
        <f>"сейчас €"&amp;B5&amp;" (4 SKU) / €"&amp;B7&amp;" (2 SKU)"</f>
        <v>сейчас €0.65 (4 SKU) / €0.75 (2 SKU)</v>
      </c>
      <c r="E2" s="63" t="n"/>
      <c r="F2" s="128" t="str">
        <f>"снижение −"&amp;ROUND((1-B20/B5)*100,0)&amp;" % / −"&amp;ROUND((1-B20/B7)*100,0)&amp;" %"</f>
        <v>снижение −54 % / −60 %</v>
      </c>
      <c r="G2" s="63" t="n"/>
      <c r="H2" s="129" t="inlineStr">
        <is>
          <t>одна цена на 6 SKU</t>
        </is>
      </c>
    </row>
    <row r="3" ht="36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str">
        <f>"Себестоимость в Украине"&amp;CHAR(10)&amp;"товар + расходы в Украине"&amp;IF(G14&gt;0," + "&amp;ROUND(G14,2)&amp;" ₴ доп.","")</f>
        <v>Себестоимость в Украине
товар + расходы в Украине + 10 ₴ доп.</v>
      </c>
      <c r="D3" s="99" t="inlineStr">
        <is>
          <t>Цена партнёру
СС ÷ (1 − бонус − маржа)</t>
        </is>
      </c>
      <c r="E3" s="99" t="str">
        <f>"Бонус сети"&amp;CHAR(10)&amp;ROUND(D14*100,0)&amp;" % цены партнёру"</f>
        <v>Бонус сети
25 % цены партнёру</v>
      </c>
      <c r="F3" s="99" t="str">
        <f>"Наша прибыль"&amp;CHAR(10)&amp;ROUND(C14*100,0)&amp;" % цены партнёру"</f>
        <v>Наша прибыль
20 % цены партнёру</v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$B$24*F14+$G$14</f>
        <v>68.0632</v>
      </c>
      <c r="D4" s="101">
        <f>C4/(1-D14-C14)</f>
        <v>123.7512727272727</v>
      </c>
      <c r="E4" s="102">
        <f>D4*D14</f>
        <v>30.937818181818177</v>
      </c>
      <c r="F4" s="102">
        <f>D4-C4-E4</f>
        <v>24.750254545454535</v>
      </c>
      <c r="G4" s="102">
        <f>D4*(E14-1)</f>
        <v>49.50050909090907</v>
      </c>
      <c r="H4" s="103">
        <f>D4*E14</f>
        <v>173.25178181818177</v>
      </c>
    </row>
    <row r="5" ht="19.95" customHeight="1" s="71">
      <c r="A5" s="136" t="n"/>
      <c r="B5" s="137" t="n">
        <v>0.65</v>
      </c>
      <c r="C5" s="138">
        <f>C4/F14</f>
        <v>1.329359375</v>
      </c>
      <c r="D5" s="139">
        <f>D4/F14</f>
        <v>2.417017045454545</v>
      </c>
      <c r="E5" s="139">
        <f>E4/F14</f>
        <v>0.6042542613636362</v>
      </c>
      <c r="F5" s="139">
        <f>F4/F14</f>
        <v>0.48340340909090884</v>
      </c>
      <c r="G5" s="139">
        <f>G4/F14</f>
        <v>0.9668068181818177</v>
      </c>
      <c r="H5" s="139">
        <f>H4/F14</f>
        <v>3.3838238636363625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$B$25*F14+$G$14</f>
        <v>76.99600000000001</v>
      </c>
      <c r="D6" s="109">
        <f>C6/(1-D14-C14)</f>
        <v>139.99272727272728</v>
      </c>
      <c r="E6" s="110">
        <f>D6*D14</f>
        <v>34.99818181818182</v>
      </c>
      <c r="F6" s="110">
        <f>D6-C6-E6</f>
        <v>27.99854545454545</v>
      </c>
      <c r="G6" s="110">
        <f>D6*(E14-1)</f>
        <v>55.9970909090909</v>
      </c>
      <c r="H6" s="111">
        <f>D6*E14</f>
        <v>195.98981818181818</v>
      </c>
    </row>
    <row r="7" ht="19.95" customHeight="1" s="71">
      <c r="A7" s="136" t="n"/>
      <c r="B7" s="137" t="n">
        <v>0.75</v>
      </c>
      <c r="C7" s="138">
        <f>C6/F14</f>
        <v>1.503828125</v>
      </c>
      <c r="D7" s="140">
        <f>D6/F14</f>
        <v>2.7342329545454547</v>
      </c>
      <c r="E7" s="140">
        <f>E6/F14</f>
        <v>0.6835582386363637</v>
      </c>
      <c r="F7" s="140">
        <f>F6/F14</f>
        <v>0.5468465909090908</v>
      </c>
      <c r="G7" s="140">
        <f>G6/F14</f>
        <v>1.0936931818181816</v>
      </c>
      <c r="H7" s="140">
        <f>H6/F14</f>
        <v>3.827926136363636</v>
      </c>
    </row>
    <row r="8" ht="25.95" customHeight="1" s="71">
      <c r="A8" s="114" t="inlineStr">
        <is>
          <t>ПОСЛЕ · запрос SIAS
(все 6 SKU)</t>
        </is>
      </c>
      <c r="B8" s="115">
        <f>B9*F14</f>
        <v>15.36</v>
      </c>
      <c r="C8" s="115">
        <f>B22</f>
        <v>46.9</v>
      </c>
      <c r="D8" s="115">
        <f>C8/(1-D14-C14)</f>
        <v>85.27272727272727</v>
      </c>
      <c r="E8" s="116">
        <f>D8*D14</f>
        <v>21.318181818181817</v>
      </c>
      <c r="F8" s="116">
        <f>D8-C8-E8</f>
        <v>17.05454545454545</v>
      </c>
      <c r="G8" s="116">
        <f>D8*(E14-1)</f>
        <v>34.1090909090909</v>
      </c>
      <c r="H8" s="117">
        <f>D8*E14</f>
        <v>119.38181818181816</v>
      </c>
    </row>
    <row r="9" ht="19.95" customHeight="1" s="71">
      <c r="A9" s="136" t="n"/>
      <c r="B9" s="141">
        <f>B20</f>
        <v>0.3</v>
      </c>
      <c r="C9" s="142">
        <f>C8/F14</f>
        <v>0.9160156249999999</v>
      </c>
      <c r="D9" s="142">
        <f>D8/F14</f>
        <v>1.6654829545454544</v>
      </c>
      <c r="E9" s="142">
        <f>E8/F14</f>
        <v>0.4163707386363636</v>
      </c>
      <c r="F9" s="142">
        <f>F8/F14</f>
        <v>0.33309659090909083</v>
      </c>
      <c r="G9" s="142">
        <f>G8/F14</f>
        <v>0.6661931818181817</v>
      </c>
      <c r="H9" s="142">
        <f>H8/F14</f>
        <v>2.331676136363636</v>
      </c>
    </row>
    <row r="10" ht="24" customHeight="1" s="71">
      <c r="A10" s="121" t="inlineStr">
        <is>
          <t>ИЗМЕНЕНИЕ: ПОСЛЕ − ДО (4 SKU)</t>
        </is>
      </c>
      <c r="B10" s="143">
        <f>B8-B4</f>
        <v>-17.92</v>
      </c>
      <c r="C10" s="143">
        <f>C8-C4</f>
        <v>-21.163199999999996</v>
      </c>
      <c r="D10" s="143">
        <f>D8-D4</f>
        <v>-38.47854545454544</v>
      </c>
      <c r="E10" s="143">
        <f>E8-E4</f>
        <v>-9.61963636363636</v>
      </c>
      <c r="F10" s="143">
        <f>F8-F4</f>
        <v>-7.695709090909084</v>
      </c>
      <c r="G10" s="143">
        <f>G8-G4</f>
        <v>-15.391418181818167</v>
      </c>
      <c r="H10" s="143">
        <f>H8-H4</f>
        <v>-53.86996363636361</v>
      </c>
    </row>
    <row r="11" ht="18" customHeight="1" s="71">
      <c r="A11" s="136" t="n"/>
      <c r="B11" s="144">
        <f>B9-B5</f>
        <v>-0.35000000000000003</v>
      </c>
      <c r="C11" s="144">
        <f>C9-C5</f>
        <v>-0.41334375</v>
      </c>
      <c r="D11" s="144">
        <f>D9-D5</f>
        <v>-0.7515340909090906</v>
      </c>
      <c r="E11" s="144">
        <f>E9-E5</f>
        <v>-0.18788352272727266</v>
      </c>
      <c r="F11" s="144">
        <f>F9-F5</f>
        <v>-0.150306818181818</v>
      </c>
      <c r="G11" s="144">
        <f>G9-G5</f>
        <v>-0.300613636363636</v>
      </c>
      <c r="H11" s="144">
        <f>H9-H5</f>
        <v>-1.0521477272727267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6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  <c r="G13" s="45" t="inlineStr">
        <is>
          <t>Доп. расходы в СС, ₴/уп. (допущение)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0.2</v>
      </c>
      <c r="D14" s="146">
        <f>'Финмодель 6 паллет'!D4</f>
        <v>0.25</v>
      </c>
      <c r="E14" s="50">
        <f>'Финмодель 6 паллет'!D6</f>
        <v>1.4</v>
      </c>
      <c r="F14" s="51">
        <f>'Финмодель 6 паллет'!D3</f>
        <v>51.2</v>
      </c>
      <c r="G14" s="47" t="n">
        <v>10</v>
      </c>
    </row>
    <row r="15">
      <c r="B15" s="45" t="inlineStr">
        <is>
          <t>Импортный ПДВ</t>
        </is>
      </c>
      <c r="C15" s="45" t="inlineStr">
        <is>
          <t>Финансирование</t>
        </is>
      </c>
      <c r="D15" s="45" t="inlineStr">
        <is>
          <t>Пошлина</t>
        </is>
      </c>
      <c r="E15" s="45" t="inlineStr">
        <is>
          <t>Перевозка партии, €</t>
        </is>
      </c>
      <c r="F15" s="45" t="inlineStr">
        <is>
          <t>Брокер, €</t>
        </is>
      </c>
      <c r="G15" s="45" t="inlineStr">
        <is>
          <t>Прочие,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Доля фрахта в таможне</t>
        </is>
      </c>
      <c r="C17" s="45" t="inlineStr">
        <is>
          <t>Паллет в партии</t>
        </is>
      </c>
      <c r="D17" s="45" t="inlineStr">
        <is>
          <t>Пачек на паллете</t>
        </is>
      </c>
    </row>
    <row r="18">
      <c r="B18" s="53" t="n">
        <v>0.7</v>
      </c>
      <c r="C18" s="52" t="n">
        <v>6</v>
      </c>
      <c r="D18" s="52" t="n">
        <v>1600</v>
      </c>
    </row>
    <row r="20">
      <c r="A20" s="54" t="inlineStr">
        <is>
          <t>Запрос SIAS, €/уп. (вниз до евроцента)</t>
        </is>
      </c>
      <c r="B20" s="147">
        <f>ROUNDDOWN(((B14/E14*(1-D14-C14)-G14)/F14/(1+C16)-(E16+F16+G16+E16*B18*(D16+B16*(1+D16)))/(C18*D18))/((1+D16)*(1+B16)),2)</f>
        <v>0.3</v>
      </c>
    </row>
    <row r="21">
      <c r="A21" s="54" t="inlineStr">
        <is>
          <t>Предельная закупка до округления, €/уп.</t>
        </is>
      </c>
      <c r="B21" s="148">
        <f>((B14/E14*(1-D14-C14)-G14)/F14/(1+C16)-(E16+F16+G16+E16*B18*(D16+B16*(1+D16)))/(C18*D18))/((1+D16)*(1+B16))</f>
        <v>0.30385634436701525</v>
      </c>
    </row>
    <row r="22" ht="30" customHeight="1" s="71">
      <c r="A22" s="54" t="inlineStr">
        <is>
          <t>Себестоимость в Украине при запросе (с доп. расходами), ₴/уп.</t>
        </is>
      </c>
      <c r="B22" s="57">
        <f>(B20*F14+(E16+F16+G16)/(C18*D18)*F14+(B20+E16*B18/(C18*D18))*D16*F14+(B20+E16*B18/(C18*D18))*(1+D16)*B16*F14)*(1+C16)+G14</f>
        <v>46.9</v>
      </c>
    </row>
    <row r="24" ht="30" customHeight="1" s="71">
      <c r="A24" s="54" t="inlineStr">
        <is>
          <t>СС из Self-Cost, 4 SKU (Vegetable…), €/уп. — без доп. расходов</t>
        </is>
      </c>
      <c r="B24" s="149">
        <f>'Финмодель 6 паллет'!E13</f>
        <v>1.134046875</v>
      </c>
    </row>
    <row r="25" ht="30" customHeight="1" s="71">
      <c r="A25" s="54" t="inlineStr">
        <is>
          <t>СС из Self-Cost, 2 SKU (Gouda, Carbonara), €/уп. — без доп. расходов</t>
        </is>
      </c>
      <c r="B25" s="149">
        <f>'Финмодель 6 паллет'!E11</f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2" customWidth="1" style="71" min="9" max="9"/>
  </cols>
  <sheetData>
    <row r="1">
      <c r="A1" s="150" t="inlineStr">
        <is>
          <t>ВНУТРЕННИЙ СЦЕНАРИЙ — только для нас, не для SIAS · бонус 25 %, маржа 20 %, доп. расходы 10 ₴ (допущение) · 33 паллеты (Full Truck)</t>
        </is>
      </c>
    </row>
    <row r="2" ht="26.4" customHeight="1" s="71">
      <c r="A2" s="92" t="inlineStr">
        <is>
          <t>ЗАПРОС ДЛЯ SIAS, €/пачку</t>
        </is>
      </c>
      <c r="B2" s="151">
        <f>B19</f>
        <v>0.51</v>
      </c>
      <c r="C2" s="152" t="n"/>
      <c r="D2" s="98" t="str">
        <f>"сейчас €"&amp;B5&amp;" (4 SKU) / €"&amp;B7&amp;" (2 SKU)"</f>
        <v>сейчас €0.65 (4 SKU) / €0.75 (2 SKU)</v>
      </c>
      <c r="E2" s="152" t="n"/>
      <c r="F2" s="97" t="str">
        <f>"снижение −"&amp;ROUND((1-B19/B5)*100,0)&amp;" % / −"&amp;ROUND((1-B19/B7)*100,0)&amp;" %"</f>
        <v>снижение −22 % / −32 %</v>
      </c>
      <c r="G2" s="152" t="n"/>
      <c r="H2" s="98" t="inlineStr">
        <is>
          <t>одна цена на 6 SKU</t>
        </is>
      </c>
    </row>
    <row r="3" ht="54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str">
        <f>"Себестоимость в Украине"&amp;CHAR(10)&amp;"товар + расходы в Украине"&amp;IF(G14&gt;0," + "&amp;ROUND(G14,2)&amp;" ₴ доп.","")</f>
        <v>Себестоимость в Украине
товар + расходы в Украине + 10 ₴ доп.</v>
      </c>
      <c r="D3" s="99" t="inlineStr">
        <is>
          <t>Цена партнёру
СС ÷ (1 − бонус − маржа)</t>
        </is>
      </c>
      <c r="E3" s="99" t="str">
        <f>"Бонус сети"&amp;CHAR(10)&amp;ROUND(D14*100,0)&amp;" % цены партнёру"</f>
        <v>Бонус сети
25 % цены партнёру</v>
      </c>
      <c r="F3" s="99" t="str">
        <f>"Наша прибыль"&amp;CHAR(10)&amp;ROUND(C14*100,0)&amp;" % цены партнёру"</f>
        <v>Наша прибыль
20 % цены партнёру</v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$B$23*F14+$G$14</f>
        <v>55.17787308533919</v>
      </c>
      <c r="D4" s="101">
        <f>C4/(1-D14-C14)</f>
        <v>100.32340560970762</v>
      </c>
      <c r="E4" s="102">
        <f>D4*D14</f>
        <v>25.080851402426905</v>
      </c>
      <c r="F4" s="102">
        <f>D4-C4-E4</f>
        <v>20.064681121941522</v>
      </c>
      <c r="G4" s="102">
        <f>D4*(E14-1)</f>
        <v>40.12936224388304</v>
      </c>
      <c r="H4" s="103">
        <f>D4*E14</f>
        <v>140.45276785359067</v>
      </c>
    </row>
    <row r="5">
      <c r="A5" s="136" t="n"/>
      <c r="B5" s="137" t="n">
        <v>0.65</v>
      </c>
      <c r="C5" s="138">
        <f>C4/F14</f>
        <v>1.0776928336980311</v>
      </c>
      <c r="D5" s="139">
        <f>D4/F14</f>
        <v>1.959441515814602</v>
      </c>
      <c r="E5" s="139">
        <f>E4/F14</f>
        <v>0.4898603789536505</v>
      </c>
      <c r="F5" s="139">
        <f>F4/F14</f>
        <v>0.39188830316292034</v>
      </c>
      <c r="G5" s="139">
        <f>G4/F14</f>
        <v>0.7837766063258406</v>
      </c>
      <c r="H5" s="139">
        <f>H4/F14</f>
        <v>2.743218122140443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$B$24*F14+$G$14</f>
        <v>62.12831509846825</v>
      </c>
      <c r="D6" s="109">
        <f>C6/(1-D14-C14)</f>
        <v>112.9605729063059</v>
      </c>
      <c r="E6" s="110">
        <f>D6*D14</f>
        <v>28.240143226576475</v>
      </c>
      <c r="F6" s="110">
        <f>D6-C6-E6</f>
        <v>22.592114581261175</v>
      </c>
      <c r="G6" s="110">
        <f>D6*(E14-1)</f>
        <v>45.18422916252235</v>
      </c>
      <c r="H6" s="111">
        <f>D6*E14</f>
        <v>158.14480206882826</v>
      </c>
    </row>
    <row r="7" ht="19.95" customHeight="1" s="71">
      <c r="A7" s="136" t="n"/>
      <c r="B7" s="137" t="n">
        <v>0.75</v>
      </c>
      <c r="C7" s="138">
        <f>C6/F14</f>
        <v>1.213443654266958</v>
      </c>
      <c r="D7" s="140">
        <f>D6/F14</f>
        <v>2.206261189576287</v>
      </c>
      <c r="E7" s="140">
        <f>E6/F14</f>
        <v>0.5515652973940718</v>
      </c>
      <c r="F7" s="140">
        <f>F6/F14</f>
        <v>0.4412522379152573</v>
      </c>
      <c r="G7" s="140">
        <f>G6/F14</f>
        <v>0.8825044758305146</v>
      </c>
      <c r="H7" s="140">
        <f>H6/F14</f>
        <v>3.0887656654068016</v>
      </c>
    </row>
    <row r="8" ht="25.95" customHeight="1" s="71">
      <c r="A8" s="114" t="inlineStr">
        <is>
          <t>ПОСЛЕ · запрос SIAS
(все 6 SKU)</t>
        </is>
      </c>
      <c r="B8" s="115">
        <f>B9*F14</f>
        <v>26.112000000000002</v>
      </c>
      <c r="C8" s="115">
        <f>B21</f>
        <v>46.63819636363636</v>
      </c>
      <c r="D8" s="115">
        <f>C8/(1-D14-C14)</f>
        <v>84.79672066115701</v>
      </c>
      <c r="E8" s="116">
        <f>D8*D14</f>
        <v>21.199180165289253</v>
      </c>
      <c r="F8" s="116">
        <f>D8-C8-E8</f>
        <v>16.959344132231397</v>
      </c>
      <c r="G8" s="116">
        <f>D8*(E14-1)</f>
        <v>33.918688264462794</v>
      </c>
      <c r="H8" s="117">
        <f>D8*E14</f>
        <v>118.71540892561981</v>
      </c>
    </row>
    <row r="9" ht="19.95" customHeight="1" s="71">
      <c r="A9" s="136" t="n"/>
      <c r="B9" s="141">
        <f>B19</f>
        <v>0.51</v>
      </c>
      <c r="C9" s="142">
        <f>C8/F14</f>
        <v>0.9109022727272726</v>
      </c>
      <c r="D9" s="142">
        <f>D8/F14</f>
        <v>1.6561859504132228</v>
      </c>
      <c r="E9" s="142">
        <f>E8/F14</f>
        <v>0.4140464876033057</v>
      </c>
      <c r="F9" s="142">
        <f>F8/F14</f>
        <v>0.33123719008264446</v>
      </c>
      <c r="G9" s="142">
        <f>G8/F14</f>
        <v>0.6624743801652889</v>
      </c>
      <c r="H9" s="142">
        <f>H8/F14</f>
        <v>2.3186603305785116</v>
      </c>
    </row>
    <row r="10" ht="24" customHeight="1" s="71">
      <c r="A10" s="121" t="inlineStr">
        <is>
          <t>ИЗМЕНЕНИЕ: ПОСЛЕ − ДО (4 SKU)</t>
        </is>
      </c>
      <c r="B10" s="143">
        <f>B8-B4</f>
        <v>-7.167999999999999</v>
      </c>
      <c r="C10" s="143">
        <f>C8-C4</f>
        <v>-8.539676721702833</v>
      </c>
      <c r="D10" s="143">
        <f>D8-D4</f>
        <v>-15.52668494855061</v>
      </c>
      <c r="E10" s="143">
        <f>E8-E4</f>
        <v>-3.8816712371376525</v>
      </c>
      <c r="F10" s="143">
        <f>F8-F4</f>
        <v>-3.105336989710125</v>
      </c>
      <c r="G10" s="143">
        <f>G8-G4</f>
        <v>-6.210673979420243</v>
      </c>
      <c r="H10" s="143">
        <f>H8-H4</f>
        <v>-21.73735892797086</v>
      </c>
    </row>
    <row r="11" ht="18" customHeight="1" s="71">
      <c r="A11" s="136" t="n"/>
      <c r="B11" s="144">
        <f>B9-B5</f>
        <v>-0.14</v>
      </c>
      <c r="C11" s="144">
        <f>C9-C5</f>
        <v>-0.1667905609707585</v>
      </c>
      <c r="D11" s="144">
        <f>D9-D5</f>
        <v>-0.3032555654013791</v>
      </c>
      <c r="E11" s="144">
        <f>E9-E5</f>
        <v>-0.07581389135034478</v>
      </c>
      <c r="F11" s="144">
        <f>F9-F5</f>
        <v>-0.060651113080275876</v>
      </c>
      <c r="G11" s="144">
        <f>G9-G5</f>
        <v>-0.12130222616055164</v>
      </c>
      <c r="H11" s="144">
        <f>H9-H5</f>
        <v>-0.4245577915619312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33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  <c r="G13" s="45" t="inlineStr">
        <is>
          <t>Доп. расходы в СС, ₴/уп. (допущение)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0.2</v>
      </c>
      <c r="D14" s="146">
        <f>'Финмодель 33 паллет'!D4</f>
        <v>0.25</v>
      </c>
      <c r="E14" s="50">
        <f>'Финмодель 33 паллет'!D6</f>
        <v>1.4</v>
      </c>
      <c r="F14" s="51">
        <f>'Финмодель 33 паллет'!D3</f>
        <v>51.2</v>
      </c>
      <c r="G14" s="47" t="n">
        <v>10</v>
      </c>
    </row>
    <row r="15">
      <c r="B15" s="45" t="inlineStr">
        <is>
          <t>Импортный ПДВ</t>
        </is>
      </c>
      <c r="C15" s="45" t="inlineStr">
        <is>
          <t>Финансирование</t>
        </is>
      </c>
      <c r="D15" s="45" t="inlineStr">
        <is>
          <t>Пошлина</t>
        </is>
      </c>
      <c r="E15" s="45" t="inlineStr">
        <is>
          <t>Перевозка партии, €</t>
        </is>
      </c>
      <c r="F15" s="45" t="inlineStr">
        <is>
          <t>Брокер, €</t>
        </is>
      </c>
      <c r="G15" s="45" t="inlineStr">
        <is>
          <t>Прочие,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Доля фрахта в таможне</t>
        </is>
      </c>
      <c r="C17" s="45" t="inlineStr">
        <is>
          <t>Паллет в партии</t>
        </is>
      </c>
      <c r="D17" s="45" t="inlineStr">
        <is>
          <t>Пачек на паллете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Запрос SIAS, €/уп. (вниз до евроцента)</t>
        </is>
      </c>
      <c r="B19" s="147">
        <f>ROUNDDOWN(((B14/E14*(1-D14-C14)-G14)/F14/(1+C16)-(E16+F16+G16+E16*B18*(D16+B16*(1+D16)))/(C18*D18))/((1+D16)*(1+B16)),2)</f>
        <v>0.51</v>
      </c>
    </row>
    <row r="20">
      <c r="A20" s="54" t="inlineStr">
        <is>
          <t>Предельная закупка до округления, €/уп.</t>
        </is>
      </c>
      <c r="B20" s="148">
        <f>((B14/E14*(1-D14-C14)-G14)/F14/(1+C16)-(E16+F16+G16+E16*B18*(D16+B16*(1+D16)))/(C18*D18))/((1+D16)*(1+B16))</f>
        <v>0.5180135413367122</v>
      </c>
    </row>
    <row r="21" ht="30" customHeight="1" s="71">
      <c r="A21" s="54" t="inlineStr">
        <is>
          <t>Себестоимость в Украине при запросе (с доп. расходами), ₴/уп.</t>
        </is>
      </c>
      <c r="B21" s="57">
        <f>(B19*F14+(E16+F16+G16)/(C18*D18)*F14+(B19+E16*B18/(C18*D18))*D16*F14+(B19+E16*B18/(C18*D18))*(1+D16)*B16*F14)*(1+C16)+G14</f>
        <v>46.63819636363636</v>
      </c>
    </row>
    <row r="23" ht="30" customHeight="1" s="71">
      <c r="A23" s="54" t="inlineStr">
        <is>
          <t>СС из Self-Cost, 4 SKU (Vegetable…), €/уп. — без доп. расходов</t>
        </is>
      </c>
      <c r="B23" s="149">
        <f>'Финмодель 33 паллет'!E13</f>
        <v>0.882380333698031</v>
      </c>
    </row>
    <row r="24" ht="30" customHeight="1" s="71">
      <c r="A24" s="54" t="inlineStr">
        <is>
          <t>СС из Self-Cost, 2 SKU (Gouda, Carbonara), €/уп. — без доп. расходов</t>
        </is>
      </c>
      <c r="B24" s="149">
        <f>'Финмодель 33 паллет'!E11</f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ВНУТРЕННИЙ ФАЙЛ — только для нас · Сценарии структуры цены: запрос к SIAS при другой марже, бонусе сети и доп. расходах</t>
        </is>
      </c>
    </row>
    <row r="2" ht="30" customHeight="1" s="71">
      <c r="A2" s="154" t="str">
        <f>"Запрос зависит от суммы «бонус + маржа» и доп. расходов: допустимая СС = цена партнёру × (1 − бонус − маржа) − доп. расходы. 1 п.п. маржи или бонуса = "&amp;ROUND(E5/100,2)&amp;" ₴ на пачку = €"&amp;ROUND(E5/100/D5/(1+C5)/((1+G5)*(1+F5)),4)&amp;" к запросу."</f>
        <v>Запрос зависит от суммы «бонус + маржа» и доп. расходов: допустимая СС = цена партнёру × (1 − бонус − маржа) − доп. расходы. 1 п.п. маржи или бонуса = 0.86 ₴ на пачку = €0.0136 к запросу.</v>
      </c>
    </row>
    <row r="4" ht="24" customHeight="1" s="71">
      <c r="A4" s="155" t="inlineStr">
        <is>
          <t>Полка, ₴</t>
        </is>
      </c>
      <c r="B4" s="155" t="inlineStr">
        <is>
          <t>Множитель полки</t>
        </is>
      </c>
      <c r="C4" s="155" t="inlineStr">
        <is>
          <t>Финансирование</t>
        </is>
      </c>
      <c r="D4" s="155" t="inlineStr">
        <is>
          <t>Курс ₴/€</t>
        </is>
      </c>
      <c r="E4" s="155" t="inlineStr">
        <is>
          <t>Цена партнёру при полке, ₴</t>
        </is>
      </c>
      <c r="F4" s="155" t="inlineStr">
        <is>
          <t>Импортный ПДВ</t>
        </is>
      </c>
      <c r="G4" s="155" t="inlineStr">
        <is>
          <t>Пошлина</t>
        </is>
      </c>
    </row>
    <row r="5" ht="22" customHeight="1" s="71">
      <c r="A5" s="156">
        <f>'Цена 120 грн — 33 паллет'!B14</f>
        <v>120</v>
      </c>
      <c r="B5" s="157">
        <f>'Цена 120 грн — 33 паллет'!E14</f>
        <v>1.4</v>
      </c>
      <c r="C5" s="158">
        <f>'Цена 120 грн — 33 паллет'!C16</f>
        <v>0.025</v>
      </c>
      <c r="D5" s="159">
        <f>'Цена 120 грн — 33 паллет'!F14</f>
        <v>51.2</v>
      </c>
      <c r="E5" s="160">
        <f>A5/B5</f>
        <v>85.71428571428572</v>
      </c>
      <c r="F5" s="158">
        <f>'Цена 120 грн — 33 паллет'!B16</f>
        <v>0.2</v>
      </c>
      <c r="G5" s="158">
        <f>'Цена 120 грн — 33 паллет'!D16</f>
        <v>0</v>
      </c>
    </row>
    <row r="7" ht="52" customHeight="1" s="71">
      <c r="A7" s="161" t="inlineStr">
        <is>
          <t>Сценарий</t>
        </is>
      </c>
      <c r="B7" s="161" t="inlineStr">
        <is>
          <t>Бонус сети</t>
        </is>
      </c>
      <c r="C7" s="161" t="inlineStr">
        <is>
          <t>Маржа, которую показываем</t>
        </is>
      </c>
      <c r="D7" s="161" t="inlineStr">
        <is>
          <t>Доп. расходы в СС, ₴/уп.</t>
        </is>
      </c>
      <c r="E7" s="161" t="inlineStr">
        <is>
          <t>Бонус сети, ₴</t>
        </is>
      </c>
      <c r="F7" s="161" t="inlineStr">
        <is>
          <t>Наша прибыль, ₴</t>
        </is>
      </c>
      <c r="G7" s="161" t="inlineStr">
        <is>
          <t>Бюджет СС (товар + расходы + доп.), ₴</t>
        </is>
      </c>
      <c r="H7" s="161" t="inlineStr">
        <is>
          <t>СС товара в Украине, ₴</t>
        </is>
      </c>
      <c r="I7" s="161" t="inlineStr">
        <is>
          <t>33 палеты: макс. закупка, €</t>
        </is>
      </c>
      <c r="J7" s="161" t="inlineStr">
        <is>
          <t>33 палеты: ЗАПРОС SIAS, €</t>
        </is>
      </c>
      <c r="K7" s="161" t="inlineStr">
        <is>
          <t>к текущим €0,65, %</t>
        </is>
      </c>
      <c r="L7" s="161" t="inlineStr">
        <is>
          <t>6 палет: макс. закупка, €</t>
        </is>
      </c>
      <c r="M7" s="161" t="inlineStr">
        <is>
          <t>6 палет: ЗАПРОС SIAS, €</t>
        </is>
      </c>
      <c r="N7" s="161" t="inlineStr">
        <is>
          <t>к текущим €0,65, %</t>
        </is>
      </c>
    </row>
    <row r="8" ht="20" customHeight="1" s="71">
      <c r="A8" s="162" t="inlineStr">
        <is>
          <t>БАЗА · как было в прошлой версии модели</t>
        </is>
      </c>
    </row>
    <row r="9" ht="34" customHeight="1" s="71">
      <c r="A9" s="163" t="inlineStr">
        <is>
          <t>Было: бонус 25 % + маржа 30 %</t>
        </is>
      </c>
      <c r="B9" s="164" t="n">
        <v>0.25</v>
      </c>
      <c r="C9" s="164" t="n">
        <v>0.3</v>
      </c>
      <c r="D9" s="165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G9-D9</f>
        <v>38.57142857142858</v>
      </c>
      <c r="I9" s="167">
        <f>(($H9/$D$5/(1+$C$5)-('Цена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9" s="168">
        <f>ROUNDDOWN((($H9/$D$5/(1+$C$5)-('Цена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9" s="172">
        <f>J9/0.65-1</f>
        <v>-0.16923076923076918</v>
      </c>
      <c r="L9" s="167">
        <f>(($H9/$D$5/(1+$C$5)-('Цена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9" s="168">
        <f>ROUNDDOWN((($H9/$D$5/(1+$C$5)-('Цена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9" s="172">
        <f>M9/0.65-1</f>
        <v>-0.5076923076923077</v>
      </c>
    </row>
    <row r="10" ht="20" customHeight="1" s="71">
      <c r="A10" s="162" t="inlineStr">
        <is>
          <t>ТА ЖЕ ЦЕНА ЗАПРОСА, другая структура (сумма «бонус + маржа» и расходов не меняется)</t>
        </is>
      </c>
    </row>
    <row r="11" ht="34" customHeight="1" s="71">
      <c r="A11" s="170" t="inlineStr">
        <is>
          <t>★ Бонус сети 35 % + маржа 20 % (без доп. расходов)</t>
        </is>
      </c>
      <c r="B11" s="164" t="n">
        <v>0.35</v>
      </c>
      <c r="C11" s="164" t="n">
        <v>0.2</v>
      </c>
      <c r="D11" s="165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G11-D11</f>
        <v>38.57142857142858</v>
      </c>
      <c r="I11" s="167">
        <f>(($H11/$D$5/(1+$C$5)-('Цена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11" s="168">
        <f>ROUNDDOWN((($H11/$D$5/(1+$C$5)-('Цена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1" s="172">
        <f>J11/0.65-1</f>
        <v>-0.16923076923076918</v>
      </c>
      <c r="L11" s="167">
        <f>(($H11/$D$5/(1+$C$5)-('Цена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11" s="168">
        <f>ROUNDDOWN((($H11/$D$5/(1+$C$5)-('Цена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1" s="172">
        <f>M11/0.65-1</f>
        <v>-0.5076923076923077</v>
      </c>
    </row>
    <row r="12" ht="34" customHeight="1" s="71">
      <c r="A12" s="163" t="inlineStr">
        <is>
          <t>Бонус 30 % + маржа 25 %</t>
        </is>
      </c>
      <c r="B12" s="164" t="n">
        <v>0.3</v>
      </c>
      <c r="C12" s="164" t="n">
        <v>0.25</v>
      </c>
      <c r="D12" s="165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G12-D12</f>
        <v>38.57142857142858</v>
      </c>
      <c r="I12" s="167">
        <f>(($H12/$D$5/(1+$C$5)-('Цена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12" s="168">
        <f>ROUNDDOWN((($H12/$D$5/(1+$C$5)-('Цена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2" s="172">
        <f>J12/0.65-1</f>
        <v>-0.16923076923076918</v>
      </c>
      <c r="L12" s="167">
        <f>(($H12/$D$5/(1+$C$5)-('Цена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12" s="168">
        <f>ROUNDDOWN((($H12/$D$5/(1+$C$5)-('Цена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2" s="172">
        <f>M12/0.65-1</f>
        <v>-0.5076923076923077</v>
      </c>
    </row>
    <row r="13" ht="34" customHeight="1" s="71">
      <c r="A13" s="163" t="inlineStr">
        <is>
          <t>Бонус 25 % + маржа 20 % + доп. расходы, подобранные под тот же запрос</t>
        </is>
      </c>
      <c r="B13" s="164" t="n">
        <v>0.25</v>
      </c>
      <c r="C13" s="164" t="n">
        <v>0.2</v>
      </c>
      <c r="D13" s="165">
        <f>ROUND($E$5*((1-B13-C13)-(1-$B$9-$C$9)),2)</f>
        <v>8.57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G13-D13</f>
        <v>38.572857142857146</v>
      </c>
      <c r="I13" s="167">
        <f>(($H13/$D$5/(1+$C$5)-('Цена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0.5407206043448423</v>
      </c>
      <c r="J13" s="168">
        <f>ROUNDDOWN((($H13/$D$5/(1+$C$5)-('Цена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3" s="172">
        <f>J13/0.65-1</f>
        <v>-0.16923076923076918</v>
      </c>
      <c r="L13" s="167">
        <f>(($H13/$D$5/(1+$C$5)-('Цена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0.3265634073751453</v>
      </c>
      <c r="M13" s="168">
        <f>ROUNDDOWN((($H13/$D$5/(1+$C$5)-('Цена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3" s="172">
        <f>M13/0.65-1</f>
        <v>-0.5076923076923077</v>
      </c>
    </row>
    <row r="14" ht="34" customHeight="1" s="71">
      <c r="A14" s="163" t="inlineStr">
        <is>
          <t>Бонус 25 % + маржа 25 % + доп. расходы, подобранные под тот же запрос</t>
        </is>
      </c>
      <c r="B14" s="164" t="n">
        <v>0.25</v>
      </c>
      <c r="C14" s="164" t="n">
        <v>0.25</v>
      </c>
      <c r="D14" s="165">
        <f>ROUND($E$5*((1-B14-C14)-(1-$B$9-$C$9)),2)</f>
        <v>4.29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G14-D14</f>
        <v>38.56714285714286</v>
      </c>
      <c r="I14" s="167">
        <f>(($H14/$D$5/(1+$C$5)-('Цена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0.5406298668303242</v>
      </c>
      <c r="J14" s="168">
        <f>ROUNDDOWN((($H14/$D$5/(1+$C$5)-('Цена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4" s="172">
        <f>J14/0.65-1</f>
        <v>-0.16923076923076918</v>
      </c>
      <c r="L14" s="167">
        <f>(($H14/$D$5/(1+$C$5)-('Цена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0.32647266986062723</v>
      </c>
      <c r="M14" s="168">
        <f>ROUNDDOWN((($H14/$D$5/(1+$C$5)-('Цена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4" s="172">
        <f>M14/0.65-1</f>
        <v>-0.5076923076923077</v>
      </c>
    </row>
    <row r="15" ht="20" customHeight="1" s="71">
      <c r="A15" s="162" t="inlineStr">
        <is>
          <t>ПРИМЕР: +10 ₴ в себестоимость (запрос становится ниже)</t>
        </is>
      </c>
    </row>
    <row r="16" ht="34" customHeight="1" s="71">
      <c r="A16" s="163" t="inlineStr">
        <is>
          <t>Бонус 25 % + маржа 20 % + 10 ₴</t>
        </is>
      </c>
      <c r="B16" s="164" t="n">
        <v>0.25</v>
      </c>
      <c r="C16" s="164" t="n">
        <v>0.2</v>
      </c>
      <c r="D16" s="165" t="n">
        <v>10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G16-D16</f>
        <v>37.142857142857146</v>
      </c>
      <c r="I16" s="167">
        <f>(($H16/$D$5/(1+$C$5)-('Цена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0.5180135413367121</v>
      </c>
      <c r="J16" s="168">
        <f>ROUNDDOWN((($H16/$D$5/(1+$C$5)-('Цена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0.51</v>
      </c>
      <c r="K16" s="172">
        <f>J16/0.65-1</f>
        <v>-0.2153846153846154</v>
      </c>
      <c r="L16" s="167">
        <f>(($H16/$D$5/(1+$C$5)-('Цена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0.30385634436701514</v>
      </c>
      <c r="M16" s="168">
        <f>ROUNDDOWN((($H16/$D$5/(1+$C$5)-('Цена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</v>
      </c>
      <c r="N16" s="172">
        <f>M16/0.65-1</f>
        <v>-0.5384615384615385</v>
      </c>
    </row>
    <row r="17" ht="34" customHeight="1" s="71">
      <c r="A17" s="163" t="inlineStr">
        <is>
          <t>Бонус 25 % + маржа 25 % + 10 ₴</t>
        </is>
      </c>
      <c r="B17" s="164" t="n">
        <v>0.25</v>
      </c>
      <c r="C17" s="164" t="n">
        <v>0.25</v>
      </c>
      <c r="D17" s="165" t="n">
        <v>10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G17-D17</f>
        <v>32.85714285714286</v>
      </c>
      <c r="I17" s="167">
        <f>(($H17/$D$5/(1+$C$5)-('Цена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0.44996040544821037</v>
      </c>
      <c r="J17" s="168">
        <f>ROUNDDOWN((($H17/$D$5/(1+$C$5)-('Цена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0.44</v>
      </c>
      <c r="K17" s="172">
        <f>J17/0.65-1</f>
        <v>-0.32307692307692315</v>
      </c>
      <c r="L17" s="167">
        <f>(($H17/$D$5/(1+$C$5)-('Цена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0.23580320847851344</v>
      </c>
      <c r="M17" s="168">
        <f>ROUNDDOWN((($H17/$D$5/(1+$C$5)-('Цена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0.23</v>
      </c>
      <c r="N17" s="172">
        <f>M17/0.65-1</f>
        <v>-0.6461538461538461</v>
      </c>
    </row>
    <row r="18" ht="34" customHeight="1" s="71">
      <c r="A18" s="163" t="inlineStr">
        <is>
          <t>Бонус 35 % + маржа 20 % + 10 ₴</t>
        </is>
      </c>
      <c r="B18" s="164" t="n">
        <v>0.35</v>
      </c>
      <c r="C18" s="164" t="n">
        <v>0.2</v>
      </c>
      <c r="D18" s="165" t="n">
        <v>10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G18-D18</f>
        <v>28.571428571428577</v>
      </c>
      <c r="I18" s="167">
        <f>(($H18/$D$5/(1+$C$5)-('Цена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0.3819072695597086</v>
      </c>
      <c r="J18" s="168">
        <f>ROUNDDOWN((($H18/$D$5/(1+$C$5)-('Цена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0.38</v>
      </c>
      <c r="K18" s="172">
        <f>J18/0.65-1</f>
        <v>-0.41538461538461535</v>
      </c>
      <c r="L18" s="167">
        <f>(($H18/$D$5/(1+$C$5)-('Цена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0.16775007259001162</v>
      </c>
      <c r="M18" s="168">
        <f>ROUNDDOWN((($H18/$D$5/(1+$C$5)-('Цена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0.16</v>
      </c>
      <c r="N18" s="172">
        <f>M18/0.65-1</f>
        <v>-0.7538461538461538</v>
      </c>
    </row>
    <row r="19" ht="34" customHeight="1" s="71">
      <c r="A19" s="163" t="inlineStr">
        <is>
          <t>Бонус 35 % + маржа 25 % + 10 ₴</t>
        </is>
      </c>
      <c r="B19" s="164" t="n">
        <v>0.35</v>
      </c>
      <c r="C19" s="164" t="n">
        <v>0.25</v>
      </c>
      <c r="D19" s="165" t="n">
        <v>10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G19-D19</f>
        <v>24.285714285714292</v>
      </c>
      <c r="I19" s="167">
        <f>(($H19/$D$5/(1+$C$5)-('Цена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0.313854133671207</v>
      </c>
      <c r="J19" s="168">
        <f>ROUNDDOWN((($H19/$D$5/(1+$C$5)-('Цена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0.31</v>
      </c>
      <c r="K19" s="172">
        <f>J19/0.65-1</f>
        <v>-0.5230769230769231</v>
      </c>
      <c r="L19" s="167">
        <f>(($H19/$D$5/(1+$C$5)-('Цена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0.09969693670151002</v>
      </c>
      <c r="M19" s="168">
        <f>ROUNDDOWN((($H19/$D$5/(1+$C$5)-('Цена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0.09</v>
      </c>
      <c r="N19" s="172">
        <f>M19/0.65-1</f>
        <v>-0.8615384615384616</v>
      </c>
    </row>
    <row r="20" ht="20" customHeight="1" s="71">
      <c r="A20" s="162" t="inlineStr">
        <is>
          <t>БОНУС 35 %: если маржа должна остаться выше 20 %, запрос падает</t>
        </is>
      </c>
    </row>
    <row r="21" ht="34" customHeight="1" s="71">
      <c r="A21" s="163" t="inlineStr">
        <is>
          <t>Бонус 35 % + маржа 25 %</t>
        </is>
      </c>
      <c r="B21" s="164" t="n">
        <v>0.35</v>
      </c>
      <c r="C21" s="164" t="n">
        <v>0.25</v>
      </c>
      <c r="D21" s="165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G21-D21</f>
        <v>34.28571428571429</v>
      </c>
      <c r="I21" s="167">
        <f>(($H21/$D$5/(1+$C$5)-('Цена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0.47264478407771093</v>
      </c>
      <c r="J21" s="168">
        <f>ROUNDDOWN((($H21/$D$5/(1+$C$5)-('Цена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0.47</v>
      </c>
      <c r="K21" s="172">
        <f>J21/0.65-1</f>
        <v>-0.27692307692307694</v>
      </c>
      <c r="L21" s="167">
        <f>(($H21/$D$5/(1+$C$5)-('Цена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0.258487587108014</v>
      </c>
      <c r="M21" s="168">
        <f>ROUNDDOWN((($H21/$D$5/(1+$C$5)-('Цена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0.25</v>
      </c>
      <c r="N21" s="172">
        <f>M21/0.65-1</f>
        <v>-0.6153846153846154</v>
      </c>
    </row>
    <row r="22" ht="34" customHeight="1" s="71">
      <c r="A22" s="163" t="inlineStr">
        <is>
          <t>Бонус 35 % + маржа 30 %</t>
        </is>
      </c>
      <c r="B22" s="164" t="n">
        <v>0.35</v>
      </c>
      <c r="C22" s="164" t="n">
        <v>0.3</v>
      </c>
      <c r="D22" s="165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G22-D22</f>
        <v>30.000000000000007</v>
      </c>
      <c r="I22" s="167">
        <f>(($H22/$D$5/(1+$C$5)-('Цена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0.4045916481892093</v>
      </c>
      <c r="J22" s="168">
        <f>ROUNDDOWN((($H22/$D$5/(1+$C$5)-('Цена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</v>
      </c>
      <c r="K22" s="172">
        <f>J22/0.65-1</f>
        <v>-0.3846153846153846</v>
      </c>
      <c r="L22" s="167">
        <f>(($H22/$D$5/(1+$C$5)-('Цена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0.1904344512195123</v>
      </c>
      <c r="M22" s="168">
        <f>ROUNDDOWN((($H22/$D$5/(1+$C$5)-('Цена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0.19</v>
      </c>
      <c r="N22" s="172">
        <f>M22/0.65-1</f>
        <v>-0.7076923076923076</v>
      </c>
    </row>
    <row r="23" ht="20" customHeight="1" s="71">
      <c r="A23" s="162" t="inlineStr">
        <is>
          <t>ТОЛЬКО СНИЗИЛИ МАРЖУ (бонус 25 %, без доп. расходов): допустимая закупка растёт — аргумент для SIAS ослабляется</t>
        </is>
      </c>
    </row>
    <row r="24" ht="34" customHeight="1" s="71">
      <c r="A24" s="163" t="inlineStr">
        <is>
          <t>Бонус 25 % + маржа 25 %</t>
        </is>
      </c>
      <c r="B24" s="164" t="n">
        <v>0.25</v>
      </c>
      <c r="C24" s="164" t="n">
        <v>0.25</v>
      </c>
      <c r="D24" s="165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G24-D24</f>
        <v>42.85714285714286</v>
      </c>
      <c r="I24" s="167">
        <f>(($H24/$D$5/(1+$C$5)-('Цена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0.6087510558547146</v>
      </c>
      <c r="J24" s="168">
        <f>ROUNDDOWN((($H24/$D$5/(1+$C$5)-('Цена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0.6</v>
      </c>
      <c r="K24" s="172">
        <f>J24/0.65-1</f>
        <v>-0.07692307692307698</v>
      </c>
      <c r="L24" s="167">
        <f>(($H24/$D$5/(1+$C$5)-('Цена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0.3945938588850176</v>
      </c>
      <c r="M24" s="168">
        <f>ROUNDDOWN((($H24/$D$5/(1+$C$5)-('Цена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0.39</v>
      </c>
      <c r="N24" s="172">
        <f>M24/0.65-1</f>
        <v>-0.4</v>
      </c>
    </row>
    <row r="25" ht="34" customHeight="1" s="71">
      <c r="A25" s="163" t="inlineStr">
        <is>
          <t>Бонус 25 % + маржа 20 %</t>
        </is>
      </c>
      <c r="B25" s="164" t="n">
        <v>0.25</v>
      </c>
      <c r="C25" s="164" t="n">
        <v>0.2</v>
      </c>
      <c r="D25" s="165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G25-D25</f>
        <v>47.142857142857146</v>
      </c>
      <c r="I25" s="167">
        <f>(($H25/$D$5/(1+$C$5)-('Цена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0.6768041917432163</v>
      </c>
      <c r="J25" s="168">
        <f>ROUNDDOWN((($H25/$D$5/(1+$C$5)-('Цена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0.67</v>
      </c>
      <c r="K25" s="172">
        <f>J25/0.65-1</f>
        <v>0.030769230769230882</v>
      </c>
      <c r="L25" s="167">
        <f>(($H25/$D$5/(1+$C$5)-('Цена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0.4626469947735193</v>
      </c>
      <c r="M25" s="168">
        <f>ROUNDDOWN((($H25/$D$5/(1+$C$5)-('Цена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0.46</v>
      </c>
      <c r="N25" s="172">
        <f>M25/0.65-1</f>
        <v>-0.29230769230769227</v>
      </c>
    </row>
    <row r="27" ht="28" customHeight="1" s="71">
      <c r="A27" s="171" t="inlineStr">
        <is>
          <t>Как читать: жёлтые ячейки (бонус, маржа, доп. расходы) можно менять — запросы пересчитаются. Полка и параметры партии берутся из вкладок «Цена 120 грн».</t>
        </is>
      </c>
    </row>
    <row r="28" ht="28" customHeight="1" s="71">
      <c r="A28" s="171" t="inlineStr">
        <is>
          <t>Допущения: бонус и маржа считаются от цены партнёру (с НДС) — как в основной модели; доп. расходы добавляются к СС уже после финансирования. Текущая закупка SIAS: €0,65 (4 SKU) / €0,75 (2 SKU).</t>
        </is>
      </c>
    </row>
    <row r="29" ht="28" customHeight="1" s="71">
      <c r="A29" s="171" t="inlineStr">
        <is>
          <t>Что показывать SIAS — решение за вами. Показанные маржа, бонус и доп. расходы должны соответствовать реальной структуре цены: SIAS может запросить подтверждение.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2026-10-16T12:48:56Z</dcterms:modified>
  <cp:lastModifiedBy>Чаплигін lлля</cp:lastModifiedBy>
</cp:coreProperties>
</file>