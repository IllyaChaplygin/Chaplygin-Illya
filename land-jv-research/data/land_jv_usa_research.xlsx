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Методика" sheetId="1" state="visible" r:id="rId1"/>
    <sheet name="1. Рейтинг 20" sheetId="2" state="visible" r:id="rId2"/>
    <sheet name="2. Реклама (измерено)" sheetId="3" state="visible" r:id="rId3"/>
    <sheet name="3. SEC Form D" sheetId="4" state="visible" r:id="rId4"/>
    <sheet name="4. Модель бюджета (оценка)" sheetId="5" state="visible" r:id="rId5"/>
    <sheet name="5. Каналы" sheetId="6" state="visible" r:id="rId6"/>
    <sheet name="6. Доказательства" sheetId="7" state="visible" r:id="rId7"/>
    <sheet name="7. Бенчмарк-панел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1F3A5F"/>
      <sz val="11"/>
    </font>
    <font>
      <b val="1"/>
      <color rgb="00FFFFFF"/>
      <sz val="10"/>
    </font>
    <font>
      <b val="1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0" fillId="3" borderId="0" pivotButton="0" quotePrefix="0" xfId="0"/>
    <xf numFmtId="164" fontId="0" fillId="4" borderId="0" pivotButton="0" quotePrefix="0" xfId="0"/>
    <xf numFmtId="164" fontId="0" fillId="3" borderId="0" pivotButton="0" quotePrefix="0" xfId="0"/>
    <xf numFmtId="164" fontId="0" fillId="5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балла по блокам (A земля / B капитал / C маркетинг / D конверсия)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'1. Рейтинг 20'!V1</f>
            </strRef>
          </tx>
          <spPr>
            <a:ln>
              <a:prstDash val="solid"/>
            </a:ln>
          </spPr>
          <cat>
            <numRef>
              <f>'1. Рейтинг 20'!$C$2:$C$21</f>
            </numRef>
          </cat>
          <val>
            <numRef>
              <f>'1. Рейтинг 20'!$V$2:$V$21</f>
            </numRef>
          </val>
        </ser>
        <ser>
          <idx val="1"/>
          <order val="1"/>
          <tx>
            <strRef>
              <f>'1. Рейтинг 20'!W1</f>
            </strRef>
          </tx>
          <spPr>
            <a:ln>
              <a:prstDash val="solid"/>
            </a:ln>
          </spPr>
          <cat>
            <numRef>
              <f>'1. Рейтинг 20'!$C$2:$C$21</f>
            </numRef>
          </cat>
          <val>
            <numRef>
              <f>'1. Рейтинг 20'!$W$2:$W$21</f>
            </numRef>
          </val>
        </ser>
        <ser>
          <idx val="2"/>
          <order val="2"/>
          <tx>
            <strRef>
              <f>'1. Рейтинг 20'!X1</f>
            </strRef>
          </tx>
          <spPr>
            <a:ln>
              <a:prstDash val="solid"/>
            </a:ln>
          </spPr>
          <cat>
            <numRef>
              <f>'1. Рейтинг 20'!$C$2:$C$21</f>
            </numRef>
          </cat>
          <val>
            <numRef>
              <f>'1. Рейтинг 20'!$X$2:$X$21</f>
            </numRef>
          </val>
        </ser>
        <ser>
          <idx val="3"/>
          <order val="3"/>
          <tx>
            <strRef>
              <f>'1. Рейтинг 20'!Y1</f>
            </strRef>
          </tx>
          <spPr>
            <a:ln>
              <a:prstDash val="solid"/>
            </a:ln>
          </spPr>
          <cat>
            <numRef>
              <f>'1. Рейтинг 20'!$C$2:$C$21</f>
            </numRef>
          </cat>
          <val>
            <numRef>
              <f>'1. Рейтинг 20'!$Y$2:$Y$21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Активных объявлений Google (США)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Реклама (измерено)'!D4</f>
            </strRef>
          </tx>
          <spPr>
            <a:ln>
              <a:prstDash val="solid"/>
            </a:ln>
          </spPr>
          <cat>
            <numRef>
              <f>'2. Реклама (измерено)'!$A$5:$A$33</f>
            </numRef>
          </cat>
          <val>
            <numRef>
              <f>'2. Реклама (измерено)'!$D$5:$D$33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объявлений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Право рекламировать (% 506c) против фактической рекламы</a:t>
            </a:r>
          </a:p>
        </rich>
      </tx>
    </title>
    <plotArea>
      <scatterChart>
        <ser>
          <idx val="0"/>
          <order val="0"/>
          <tx>
            <v>компании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'3. SEC Form D'!$E$5:$E$16</f>
            </numRef>
          </xVal>
          <yVal>
            <numRef>
              <f>'3. SEC Form D'!$I$5:$I$16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предложений 506(c)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активных объявлений Google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Оценка годового бюджета привлечения, $млн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Модель бюджета (оценка)'!I4</f>
            </strRef>
          </tx>
          <spPr>
            <a:ln>
              <a:prstDash val="solid"/>
            </a:ln>
          </spPr>
          <cat>
            <numRef>
              <f>'4. Модель бюджета (оценка)'!$B$5:$B$25</f>
            </numRef>
          </cat>
          <val>
            <numRef>
              <f>'4. Модель бюджета (оценка)'!$I$5:$I$25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Куда идут деньги: совокупный бюджет 20 компаний</a:t>
            </a:r>
          </a:p>
        </rich>
      </tx>
    </title>
    <plotArea>
      <pieChart>
        <varyColors val="1"/>
        <ser>
          <idx val="0"/>
          <order val="0"/>
          <tx>
            <strRef>
              <f>'5. Каналы'!B4</f>
            </strRef>
          </tx>
          <spPr>
            <a:ln>
              <a:prstDash val="solid"/>
            </a:ln>
          </spPr>
          <cat>
            <numRef>
              <f>'5. Каналы'!$A$5:$A$12</f>
            </numRef>
          </cat>
          <val>
            <numRef>
              <f>'5. Каналы'!$B$5:$B$12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30</col>
      <colOff>0</colOff>
      <row>1</row>
      <rowOff>0</rowOff>
    </from>
    <ext cx="1080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4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" t="inlineStr">
        <is>
          <t>ИССЛЕДОВАНИЕ: земельные игроки США, привлекающие инвесторов в совместные проекты</t>
        </is>
      </c>
      <c r="B1" s="2" t="inlineStr"/>
    </row>
    <row r="2">
      <c r="A2" t="inlineStr">
        <is>
          <t>Дата среза</t>
        </is>
      </c>
      <c r="B2" s="2" t="inlineStr">
        <is>
          <t>5 октября 2026</t>
        </is>
      </c>
    </row>
    <row r="3">
      <c r="A3" t="inlineStr">
        <is>
          <t>Рынок</t>
        </is>
      </c>
      <c r="B3" s="2" t="inlineStr">
        <is>
          <t>США, национальный охват</t>
        </is>
      </c>
    </row>
    <row r="4">
      <c r="A4" t="inlineStr"/>
      <c r="B4" s="2" t="inlineStr"/>
    </row>
    <row r="5">
      <c r="A5" s="3" t="inlineStr">
        <is>
          <t>ГЛАВНЫЙ ВЫВОД</t>
        </is>
      </c>
      <c r="B5" s="2" t="inlineStr"/>
    </row>
    <row r="6">
      <c r="A6" t="inlineStr">
        <is>
          <t>Исходная гипотеза</t>
        </is>
      </c>
      <c r="B6" s="2" t="inlineStr">
        <is>
          <t>Крупнейшие земельные игроки ведут агрессивную рекламу во всех каналах</t>
        </is>
      </c>
    </row>
    <row r="7">
      <c r="A7" t="inlineStr">
        <is>
          <t>Результат проверки</t>
        </is>
      </c>
      <c r="B7" s="2" t="inlineStr">
        <is>
          <t>ГИПОТЕЗА НЕ ПОДТВЕРДИЛАСЬ. Признаки обратно коррелированы.</t>
        </is>
      </c>
    </row>
    <row r="8">
      <c r="A8" t="inlineStr">
        <is>
          <t>Доказательство</t>
        </is>
      </c>
      <c r="B8" s="2" t="inlineStr">
        <is>
          <t>У всех 13 крупнейших землевладельцев выборки — 0 активных объявлений Google. Рекламируются те, у кого земли мало или нет.</t>
        </is>
      </c>
    </row>
    <row r="9">
      <c r="A9" t="inlineStr">
        <is>
          <t>Причина №1 (юридическая)</t>
        </is>
      </c>
      <c r="B9" s="2" t="inlineStr">
        <is>
          <t>Reg D Rule 506(b) ЗАПРЕЩАЕТ general solicitation. Walton: 52 из 52 предложений — 506(b). Crow Holdings: 54 из 54 — 506(b).</t>
        </is>
      </c>
    </row>
    <row r="10">
      <c r="A10" t="inlineStr">
        <is>
          <t>Причина №2 (экономическая)</t>
        </is>
      </c>
      <c r="B10" s="2" t="inlineStr">
        <is>
          <t>Чек $1-20 млн не покупается кликом. CPL аккредитованного инвестора $50-500, стоимость профинансировавшего инвестора $3 500-4 500.</t>
        </is>
      </c>
    </row>
    <row r="11">
      <c r="A11" t="inlineStr">
        <is>
          <t>Причина №3 (организационная)</t>
        </is>
      </c>
      <c r="B11" s="2" t="inlineStr">
        <is>
          <t>Капитал берут там, где он лежит: институциональные LP, страховые балансы, сети wealth-менеджеров. Walton: 300+ каналов дистрибуции.</t>
        </is>
      </c>
    </row>
    <row r="12">
      <c r="A12" t="inlineStr"/>
      <c r="B12" s="2" t="inlineStr"/>
    </row>
    <row r="13">
      <c r="A13" s="3" t="inlineStr">
        <is>
          <t>ФИЛЬТР ВКЛЮЧЕНИЯ (нужно пройти все 5)</t>
        </is>
      </c>
      <c r="B13" s="2" t="inlineStr"/>
    </row>
    <row r="14">
      <c r="A14" t="inlineStr">
        <is>
          <t>F1</t>
        </is>
      </c>
      <c r="B14" s="2" t="inlineStr">
        <is>
          <t>Основной актив — земля (raw / pre-development / entitled), а не готовые здания</t>
        </is>
      </c>
    </row>
    <row r="15">
      <c r="A15" t="inlineStr">
        <is>
          <t>F2</t>
        </is>
      </c>
      <c r="B15" s="2" t="inlineStr">
        <is>
          <t>Портфель ≥10 отдельных земельных объектов или предложений</t>
        </is>
      </c>
    </row>
    <row r="16">
      <c r="A16" t="inlineStr">
        <is>
          <t>F3</t>
        </is>
      </c>
      <c r="B16" s="2" t="inlineStr">
        <is>
          <t>Модель — привлечь капитал к участию в стоимости земли, а НЕ брокеридж за комиссию</t>
        </is>
      </c>
    </row>
    <row r="17">
      <c r="A17" t="inlineStr">
        <is>
          <t>F4</t>
        </is>
      </c>
      <c r="B17" s="2" t="inlineStr">
        <is>
          <t>Институциональный масштаб: раунд ≥$5 млн, чеки от $100K, принимаются $1 млн+</t>
        </is>
      </c>
    </row>
    <row r="18">
      <c r="A18" t="inlineStr">
        <is>
          <t>F5</t>
        </is>
      </c>
      <c r="B18" s="2" t="inlineStr">
        <is>
          <t>Не государственная структура (не муниципальный land bank)</t>
        </is>
      </c>
    </row>
    <row r="19">
      <c r="A19" t="inlineStr"/>
      <c r="B19" s="2" t="inlineStr"/>
    </row>
    <row r="20">
      <c r="A20" s="3" t="inlineStr">
        <is>
          <t>ИСКЛЮЧЕНЫ</t>
        </is>
      </c>
      <c r="B20" s="2" t="inlineStr"/>
    </row>
    <row r="21">
      <c r="A21" t="inlineStr">
        <is>
          <t>Земельные брокеры</t>
        </is>
      </c>
      <c r="B21" s="2" t="inlineStr">
        <is>
          <t>Land Advisors, National Land Realty, Whitetail Properties — нарушают F3</t>
        </is>
      </c>
    </row>
    <row r="22">
      <c r="A22" t="inlineStr">
        <is>
          <t>Маркетплейсы</t>
        </is>
      </c>
      <c r="B22" s="2" t="inlineStr">
        <is>
          <t>Fundrise, CrowdStreet, RealtyMogul, EquityMultiple, Yieldstreet — нарушают F1/F2. Вынесены в панель-бенчмарк.</t>
        </is>
      </c>
    </row>
    <row r="23">
      <c r="A23" t="inlineStr">
        <is>
          <t>Муниципальные land banks</t>
        </is>
      </c>
      <c r="B23" s="2" t="inlineStr">
        <is>
          <t>Detroit Land Bank Authority и аналоги — нарушают F5</t>
        </is>
      </c>
    </row>
    <row r="24">
      <c r="A24" t="inlineStr">
        <is>
          <t>Застройщики-продавцы жилья</t>
        </is>
      </c>
      <c r="B24" s="2" t="inlineStr">
        <is>
          <t>Brookfield Residential: 700 объявлений, но это продажа ДОМОВ, не привлечение инвесторов</t>
        </is>
      </c>
    </row>
    <row r="25">
      <c r="A25" t="inlineStr"/>
      <c r="B25" s="2" t="inlineStr"/>
    </row>
    <row r="26">
      <c r="A26" s="3" t="inlineStr">
        <is>
          <t>МОДЕЛЬ ОЦЕНКИ — 100 баллов</t>
        </is>
      </c>
      <c r="B26" s="2" t="inlineStr"/>
    </row>
    <row r="27">
      <c r="A27" t="inlineStr">
        <is>
          <t>Блок A. Масштаб земли</t>
        </is>
      </c>
      <c r="B27" s="2" t="inlineStr">
        <is>
          <t>30 баллов: акры (12) + число объектов (10) + число рынков (8)</t>
        </is>
      </c>
    </row>
    <row r="28">
      <c r="A28" t="inlineStr">
        <is>
          <t>Блок B. Капитальная машина</t>
        </is>
      </c>
      <c r="B28" s="2" t="inlineStr">
        <is>
          <t>30 баллов: AUM (10) + привлечено (10) + число Reg D-эмитентов (10)</t>
        </is>
      </c>
    </row>
    <row r="29">
      <c r="A29" t="inlineStr">
        <is>
          <t>Блок C. Маркетинговая интенсивность</t>
        </is>
      </c>
      <c r="B29" s="2" t="inlineStr">
        <is>
          <t>30 баллов: Google-реклама (8) + соцсети (5) + контент (7) + дистрибуция/события (6) + органика (4)</t>
        </is>
      </c>
    </row>
    <row r="30">
      <c r="A30" t="inlineStr">
        <is>
          <t>Блок D. Инфраструктура конверсии</t>
        </is>
      </c>
      <c r="B30" s="2" t="inlineStr">
        <is>
          <t>10 баллов: воронка (5) + статус 506(c), т.е. право рекламировать (5)</t>
        </is>
      </c>
    </row>
    <row r="31">
      <c r="A31" t="inlineStr"/>
      <c r="B31" s="2" t="inlineStr"/>
    </row>
    <row r="32">
      <c r="A32" s="3" t="inlineStr">
        <is>
          <t>СТАТУС ДАННЫХ</t>
        </is>
      </c>
      <c r="B32" s="2" t="inlineStr"/>
    </row>
    <row r="33">
      <c r="A33" t="inlineStr">
        <is>
          <t>FACT-M (измерено)</t>
        </is>
      </c>
      <c r="B33" s="2" t="inlineStr">
        <is>
          <t>Снято напрямую: Google ATC, SEC EDGAR Form D, YouTube. Воспроизводимо.</t>
        </is>
      </c>
    </row>
    <row r="34">
      <c r="A34" t="inlineStr">
        <is>
          <t>FACT-D (раскрыто)</t>
        </is>
      </c>
      <c r="B34" s="2" t="inlineStr">
        <is>
          <t>Заявлено компанией или в отчётности: акры, AUM, число инвесторов.</t>
        </is>
      </c>
    </row>
    <row r="35">
      <c r="A35" t="inlineStr">
        <is>
          <t>EST (оценка)</t>
        </is>
      </c>
      <c r="B35" s="2" t="inlineStr">
        <is>
          <t>Рассчитано по бенчмаркам: бюджеты в долларах, распределение по каналам.</t>
        </is>
      </c>
    </row>
    <row r="36">
      <c r="A36" t="inlineStr"/>
      <c r="B36" s="2" t="inlineStr"/>
    </row>
    <row r="37">
      <c r="A37" s="3" t="inlineStr">
        <is>
          <t>ГЛАВНОЕ ОГРАНИЧЕНИЕ</t>
        </is>
      </c>
      <c r="B37" s="2" t="inlineStr"/>
    </row>
    <row r="38">
      <c r="A38" t="inlineStr">
        <is>
          <t>Почему нет точных медиабюджетов</t>
        </is>
      </c>
      <c r="B38" s="2" t="inlineStr">
        <is>
          <t>Рекламные расходы частных компаний в США не раскрываются НИГДЕ. Ни Meta Ad Library, ни Google ATC не показывают суммы для неполитической рекламы — только наличие, количество и креативы. Все долларовые значения в листах 4-5 — модельные оценки с точностью порядка величины (±50-70%). Использовать как ориентир структуры, а не как бюджетный план.</t>
        </is>
      </c>
    </row>
    <row r="39">
      <c r="A39" t="inlineStr">
        <is>
          <t>Ограничение Meta</t>
        </is>
      </c>
      <c r="B39" s="2" t="inlineStr">
        <is>
          <t>Meta Ad Library закрыла поиск по ключевым словам без авторизации (HTTP 403 / login gate). Данные по Meta — неполные, помечены отдельно.</t>
        </is>
      </c>
    </row>
    <row r="40">
      <c r="A40" t="inlineStr">
        <is>
          <t>Смещение полноты данных</t>
        </is>
      </c>
      <c r="B40" s="2" t="inlineStr">
        <is>
          <t>Частные институциональные игроки раскрывают меньше публичных. Столбец DATA_COMPLETENESS_PCT показывает долю заполненных ключевых полей. Низкий балл при низкой полноте = непрозрачность, а не малый масштаб.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6" customWidth="1" min="3" max="3"/>
    <col width="23" customWidth="1" min="4" max="4"/>
    <col width="30" customWidth="1" min="5" max="5"/>
    <col width="16" customWidth="1" min="6" max="6"/>
    <col width="10" customWidth="1" min="7" max="7"/>
    <col width="9" customWidth="1" min="8" max="8"/>
    <col width="10" customWidth="1" min="9" max="9"/>
    <col width="17" customWidth="1" min="10" max="10"/>
    <col width="17" customWidth="1" min="11" max="11"/>
    <col width="9" customWidth="1" min="12" max="12"/>
    <col width="10" customWidth="1" min="13" max="13"/>
    <col width="26" customWidth="1" min="14" max="14"/>
    <col width="19" customWidth="1" min="15" max="15"/>
    <col width="15" customWidth="1" min="16" max="16"/>
    <col width="15" customWidth="1" min="17" max="17"/>
    <col width="12" customWidth="1" min="18" max="18"/>
    <col width="12" customWidth="1" min="19" max="19"/>
    <col width="9" customWidth="1" min="20" max="20"/>
    <col width="21" customWidth="1" min="21" max="21"/>
    <col width="14" customWidth="1" min="22" max="22"/>
    <col width="16" customWidth="1" min="23" max="23"/>
    <col width="18" customWidth="1" min="24" max="24"/>
    <col width="18" customWidth="1" min="25" max="25"/>
    <col width="12" customWidth="1" min="26" max="26"/>
    <col width="18" customWidth="1" min="27" max="27"/>
    <col width="60" customWidth="1" min="28" max="28"/>
    <col width="60" customWidth="1" min="29" max="29"/>
    <col width="60" customWidth="1" min="30" max="30"/>
  </cols>
  <sheetData>
    <row r="1" ht="42" customHeight="1">
      <c r="A1" s="4" t="inlineStr">
        <is>
          <t>#</t>
        </is>
      </c>
      <c r="B1" s="4" t="inlineStr">
        <is>
          <t>Уровень</t>
        </is>
      </c>
      <c r="C1" s="4" t="inlineStr">
        <is>
          <t>Компания</t>
        </is>
      </c>
      <c r="D1" s="4" t="inlineStr">
        <is>
          <t>Штаб-квартира</t>
        </is>
      </c>
      <c r="E1" s="4" t="inlineStr">
        <is>
          <t>Домен</t>
        </is>
      </c>
      <c r="F1" s="4" t="inlineStr">
        <is>
          <t>Акры/homesites</t>
        </is>
      </c>
      <c r="G1" s="4" t="inlineStr">
        <is>
          <t>Объектов</t>
        </is>
      </c>
      <c r="H1" s="4" t="inlineStr">
        <is>
          <t>Рынков</t>
        </is>
      </c>
      <c r="I1" s="4" t="inlineStr">
        <is>
          <t>AUM $млн</t>
        </is>
      </c>
      <c r="J1" s="4" t="inlineStr">
        <is>
          <t>Привлечено $млн</t>
        </is>
      </c>
      <c r="K1" s="4" t="inlineStr">
        <is>
          <t>Reg D-эмитентов</t>
        </is>
      </c>
      <c r="L1" s="4" t="inlineStr">
        <is>
          <t>Форм D</t>
        </is>
      </c>
      <c r="M1" s="4" t="inlineStr">
        <is>
          <t>% 506(c)</t>
        </is>
      </c>
      <c r="N1" s="4" t="inlineStr">
        <is>
          <t>Продано по формам D $млн</t>
        </is>
      </c>
      <c r="O1" s="4" t="inlineStr">
        <is>
          <t>Google-объявлений</t>
        </is>
      </c>
      <c r="P1" s="4" t="inlineStr">
        <is>
          <t>YouTube подп.</t>
        </is>
      </c>
      <c r="Q1" s="4" t="inlineStr">
        <is>
          <t>YouTube видео</t>
        </is>
      </c>
      <c r="R1" s="4" t="inlineStr">
        <is>
          <t>Мин. чек $</t>
        </is>
      </c>
      <c r="S1" s="4" t="inlineStr">
        <is>
          <t>Инвесторов</t>
        </is>
      </c>
      <c r="T1" s="4" t="inlineStr">
        <is>
          <t>Стран</t>
        </is>
      </c>
      <c r="U1" s="4" t="inlineStr">
        <is>
          <t>Каналов дистрибуции</t>
        </is>
      </c>
      <c r="V1" s="4" t="inlineStr">
        <is>
          <t>A: земля /30</t>
        </is>
      </c>
      <c r="W1" s="4" t="inlineStr">
        <is>
          <t>B: капитал /30</t>
        </is>
      </c>
      <c r="X1" s="4" t="inlineStr">
        <is>
          <t>C: маркетинг /30</t>
        </is>
      </c>
      <c r="Y1" s="4" t="inlineStr">
        <is>
          <t>D: конверсия /10</t>
        </is>
      </c>
      <c r="Z1" s="4" t="inlineStr">
        <is>
          <t>ИТОГО /100</t>
        </is>
      </c>
      <c r="AA1" s="4" t="inlineStr">
        <is>
          <t>Полнота данных %</t>
        </is>
      </c>
      <c r="AB1" s="4" t="inlineStr">
        <is>
          <t>Модель</t>
        </is>
      </c>
      <c r="AC1" s="4" t="inlineStr">
        <is>
          <t>Как ищут инвесторов</t>
        </is>
      </c>
      <c r="AD1" s="4" t="inlineStr">
        <is>
          <t>Комментарий</t>
        </is>
      </c>
    </row>
    <row r="2">
      <c r="A2" t="n">
        <v>1</v>
      </c>
      <c r="B2" t="n">
        <v>1</v>
      </c>
      <c r="C2" t="inlineStr">
        <is>
          <t>Walton Global</t>
        </is>
      </c>
      <c r="D2" t="inlineStr">
        <is>
          <t>Scottsdale, AZ</t>
        </is>
      </c>
      <c r="E2" t="inlineStr">
        <is>
          <t>walton.com</t>
        </is>
      </c>
      <c r="F2" s="5" t="inlineStr">
        <is>
          <t>80500</t>
        </is>
      </c>
      <c r="G2" s="5" t="inlineStr">
        <is>
          <t>198</t>
        </is>
      </c>
      <c r="H2" s="5" t="inlineStr">
        <is>
          <t>34</t>
        </is>
      </c>
      <c r="I2" s="5" t="inlineStr">
        <is>
          <t>4640</t>
        </is>
      </c>
      <c r="J2" s="5" t="inlineStr">
        <is>
          <t>3140</t>
        </is>
      </c>
      <c r="K2" s="5" t="inlineStr">
        <is>
          <t>44</t>
        </is>
      </c>
      <c r="L2" s="5" t="inlineStr">
        <is>
          <t>118</t>
        </is>
      </c>
      <c r="M2" s="6" t="inlineStr">
        <is>
          <t>0.0</t>
        </is>
      </c>
      <c r="N2" s="5" t="inlineStr">
        <is>
          <t>8276</t>
        </is>
      </c>
      <c r="O2" s="7" t="inlineStr">
        <is>
          <t>0</t>
        </is>
      </c>
      <c r="P2" s="5" t="n"/>
      <c r="Q2" s="5" t="n"/>
      <c r="R2" s="5" t="inlineStr">
        <is>
          <t>500</t>
        </is>
      </c>
      <c r="S2" s="5" t="inlineStr">
        <is>
          <t>89000</t>
        </is>
      </c>
      <c r="T2" t="inlineStr">
        <is>
          <t>91</t>
        </is>
      </c>
      <c r="U2" s="5" t="inlineStr">
        <is>
          <t>300</t>
        </is>
      </c>
      <c r="V2" t="n">
        <v>26</v>
      </c>
      <c r="W2" t="n">
        <v>24</v>
      </c>
      <c r="X2" t="n">
        <v>13</v>
      </c>
      <c r="Y2" t="n">
        <v>3</v>
      </c>
      <c r="Z2" s="8" t="n">
        <v>66</v>
      </c>
      <c r="AA2" t="n">
        <v>100</v>
      </c>
      <c r="AB2" s="2" t="inlineStr">
        <is>
          <t>Land banking: покупка pre-development земли, синдикация долей, продажа застройщикам</t>
        </is>
      </c>
      <c r="AC2" s="2" t="inlineStr">
        <is>
          <t>300+ одобренных каналов дистрибуции; брокер-дилеры, RIA, family offices; офисы Гонконг/Сингапур/Тайбэй/Токио/Манила/Дубай; Global Distributor Meet</t>
        </is>
      </c>
      <c r="AD2" s="2" t="inlineStr">
        <is>
          <t>Крупнейший частный land asset manager мира. 52/52 предложений — 506(b): публичная реклама ЗАПРЕЩЕНА юридически. $8,28 млрд продано по формам D.</t>
        </is>
      </c>
    </row>
    <row r="3">
      <c r="A3" t="n">
        <v>2</v>
      </c>
      <c r="B3" t="n">
        <v>1</v>
      </c>
      <c r="C3" t="inlineStr">
        <is>
          <t>Millrose Properties (NYSE: MRP)</t>
        </is>
      </c>
      <c r="D3" t="inlineStr">
        <is>
          <t>Miami, FL</t>
        </is>
      </c>
      <c r="E3" t="inlineStr">
        <is>
          <t>millroseproperties.com</t>
        </is>
      </c>
      <c r="F3" s="5" t="inlineStr">
        <is>
          <t>143771</t>
        </is>
      </c>
      <c r="G3" s="5" t="inlineStr">
        <is>
          <t>877</t>
        </is>
      </c>
      <c r="H3" s="5" t="inlineStr">
        <is>
          <t>30</t>
        </is>
      </c>
      <c r="I3" s="5" t="inlineStr">
        <is>
          <t>9700</t>
        </is>
      </c>
      <c r="J3" s="5" t="inlineStr">
        <is>
          <t>16300</t>
        </is>
      </c>
      <c r="K3" s="5" t="n"/>
      <c r="L3" s="5" t="n"/>
      <c r="M3" s="6" t="n"/>
      <c r="N3" s="5" t="n"/>
      <c r="O3" s="7" t="inlineStr">
        <is>
          <t>0</t>
        </is>
      </c>
      <c r="P3" s="5" t="n"/>
      <c r="Q3" s="5" t="n"/>
      <c r="R3" s="5" t="n"/>
      <c r="S3" s="5" t="n"/>
      <c r="T3" t="inlineStr">
        <is>
          <t>1</t>
        </is>
      </c>
      <c r="U3" s="5" t="inlineStr">
        <is>
          <t>19</t>
        </is>
      </c>
      <c r="V3" t="n">
        <v>28</v>
      </c>
      <c r="W3" t="n">
        <v>25</v>
      </c>
      <c r="X3" t="n">
        <v>4</v>
      </c>
      <c r="Y3" t="n">
        <v>7</v>
      </c>
      <c r="Z3" s="8" t="n">
        <v>64</v>
      </c>
      <c r="AA3" t="n">
        <v>60</v>
      </c>
      <c r="AB3" s="2" t="inlineStr">
        <is>
          <t>Публичный land banking REIT: Homesite Option Purchase Platform</t>
        </is>
      </c>
      <c r="AC3" s="2" t="inlineStr">
        <is>
          <t>Публичный рынок акций + IR; внешнее управление Kennedy Lewis; 19 контрагентов-застройщиков</t>
        </is>
      </c>
      <c r="AD3" s="2" t="inlineStr">
        <is>
          <t>143 771 homesites в 877 комьюнити в 30 штатах. Активы $9,7 млрд, ожидаемые takedown-поступления $16,3 млрд. Крупнейший земельный банк выборки.</t>
        </is>
      </c>
    </row>
    <row r="4">
      <c r="A4" t="n">
        <v>3</v>
      </c>
      <c r="B4" t="n">
        <v>2</v>
      </c>
      <c r="C4" t="inlineStr">
        <is>
          <t>DLP Capital</t>
        </is>
      </c>
      <c r="D4" t="inlineStr">
        <is>
          <t>St. Augustine, FL</t>
        </is>
      </c>
      <c r="E4" t="inlineStr">
        <is>
          <t>dlpcapital.com</t>
        </is>
      </c>
      <c r="F4" s="5" t="n"/>
      <c r="G4" s="5" t="inlineStr">
        <is>
          <t>25</t>
        </is>
      </c>
      <c r="H4" s="5" t="inlineStr">
        <is>
          <t>22</t>
        </is>
      </c>
      <c r="I4" s="5" t="inlineStr">
        <is>
          <t>5500</t>
        </is>
      </c>
      <c r="J4" s="5" t="inlineStr">
        <is>
          <t>4206</t>
        </is>
      </c>
      <c r="K4" s="5" t="inlineStr">
        <is>
          <t>22</t>
        </is>
      </c>
      <c r="L4" s="5" t="inlineStr">
        <is>
          <t>51</t>
        </is>
      </c>
      <c r="M4" s="6" t="inlineStr">
        <is>
          <t>73.8</t>
        </is>
      </c>
      <c r="N4" s="5" t="inlineStr">
        <is>
          <t>4206</t>
        </is>
      </c>
      <c r="O4" s="7" t="inlineStr">
        <is>
          <t>16</t>
        </is>
      </c>
      <c r="P4" s="5" t="inlineStr">
        <is>
          <t>878</t>
        </is>
      </c>
      <c r="Q4" s="5" t="inlineStr">
        <is>
          <t>99</t>
        </is>
      </c>
      <c r="R4" s="5" t="inlineStr">
        <is>
          <t>200000</t>
        </is>
      </c>
      <c r="S4" s="5" t="inlineStr">
        <is>
          <t>11550</t>
        </is>
      </c>
      <c r="T4" t="inlineStr">
        <is>
          <t>1</t>
        </is>
      </c>
      <c r="U4" s="5" t="n"/>
      <c r="V4" t="n">
        <v>12</v>
      </c>
      <c r="W4" t="n">
        <v>26</v>
      </c>
      <c r="X4" t="n">
        <v>17</v>
      </c>
      <c r="Y4" t="n">
        <v>8</v>
      </c>
      <c r="Z4" s="8" t="n">
        <v>63</v>
      </c>
      <c r="AA4" t="n">
        <v>90</v>
      </c>
      <c r="AB4" s="2" t="inlineStr">
        <is>
          <t>Семейство фондов: девелопмент, кредитование, attainable housing; инвестор входит в фонд</t>
        </is>
      </c>
      <c r="AC4" s="2" t="inlineStr">
        <is>
          <t>Контент-машина: ежеквартальные вебинары по каждому фонду, Elite Impact Podcast, Investor Vision Day, события, Inc. 5000 PR</t>
        </is>
      </c>
      <c r="AD4" s="2" t="inlineStr">
        <is>
          <t>31/42 предложений — 506(c). Медианный минимальный чек $200 000 — самый высокий в выборке. 11 550 инвесторов, $4,21 млрд продано. 26 000+ юнитов, 37 штатов.</t>
        </is>
      </c>
    </row>
    <row r="5">
      <c r="A5" t="n">
        <v>4</v>
      </c>
      <c r="B5" t="n">
        <v>2</v>
      </c>
      <c r="C5" t="inlineStr">
        <is>
          <t>Caliber (NASDAQ: CWD)</t>
        </is>
      </c>
      <c r="D5" t="inlineStr">
        <is>
          <t>Scottsdale, AZ</t>
        </is>
      </c>
      <c r="E5" t="inlineStr">
        <is>
          <t>caliberco.com</t>
        </is>
      </c>
      <c r="F5" s="5" t="n"/>
      <c r="G5" s="5" t="n"/>
      <c r="H5" s="5" t="n"/>
      <c r="I5" s="5" t="inlineStr">
        <is>
          <t>2900</t>
        </is>
      </c>
      <c r="J5" s="5" t="inlineStr">
        <is>
          <t>1321</t>
        </is>
      </c>
      <c r="K5" s="5" t="inlineStr">
        <is>
          <t>29</t>
        </is>
      </c>
      <c r="L5" s="5" t="inlineStr">
        <is>
          <t>106</t>
        </is>
      </c>
      <c r="M5" s="6" t="inlineStr">
        <is>
          <t>57.7</t>
        </is>
      </c>
      <c r="N5" s="5" t="inlineStr">
        <is>
          <t>1321</t>
        </is>
      </c>
      <c r="O5" s="7" t="inlineStr">
        <is>
          <t>24</t>
        </is>
      </c>
      <c r="P5" s="5" t="n"/>
      <c r="Q5" s="5" t="n"/>
      <c r="R5" s="5" t="inlineStr">
        <is>
          <t>20000</t>
        </is>
      </c>
      <c r="S5" s="5" t="inlineStr">
        <is>
          <t>4547</t>
        </is>
      </c>
      <c r="T5" t="inlineStr">
        <is>
          <t>1</t>
        </is>
      </c>
      <c r="U5" s="5" t="n"/>
      <c r="V5" t="n">
        <v>0</v>
      </c>
      <c r="W5" t="n">
        <v>22</v>
      </c>
      <c r="X5" t="n">
        <v>19</v>
      </c>
      <c r="Y5" t="n">
        <v>9</v>
      </c>
      <c r="Z5" s="8" t="n">
        <v>50</v>
      </c>
      <c r="AA5" t="n">
        <v>70</v>
      </c>
      <c r="AB5" s="2" t="inlineStr">
        <is>
          <t>Альтернативный управляющий: земля, хоспиталити, OZ-фонды; розничный и HNW-капитал</t>
        </is>
      </c>
      <c r="AC5" s="2" t="inlineStr">
        <is>
          <t>Вебинары, подкасты, видео-отзывы инвесторов, book-an-investor-call, события; LinkedIn/FB/X/IG/YouTube</t>
        </is>
      </c>
      <c r="AD5" s="2" t="inlineStr">
        <is>
          <t>$2,9 млрд AUM+AUD, $1,32 млрд продано по формам D, 4 547 инвесторов. 39 форм D с 2024 — высокая текущая активность.</t>
        </is>
      </c>
    </row>
    <row r="6">
      <c r="A6" t="n">
        <v>5</v>
      </c>
      <c r="B6" t="n">
        <v>2</v>
      </c>
      <c r="C6" t="inlineStr">
        <is>
          <t>MLG Capital</t>
        </is>
      </c>
      <c r="D6" t="inlineStr">
        <is>
          <t>Brookfield, WI</t>
        </is>
      </c>
      <c r="E6" t="inlineStr">
        <is>
          <t>mlgcapital.com</t>
        </is>
      </c>
      <c r="F6" s="5" t="n"/>
      <c r="G6" s="5" t="n"/>
      <c r="H6" s="5" t="n"/>
      <c r="I6" s="5" t="inlineStr">
        <is>
          <t>8800</t>
        </is>
      </c>
      <c r="J6" s="5" t="inlineStr">
        <is>
          <t>8194</t>
        </is>
      </c>
      <c r="K6" s="5" t="inlineStr">
        <is>
          <t>45</t>
        </is>
      </c>
      <c r="L6" s="5" t="inlineStr">
        <is>
          <t>87</t>
        </is>
      </c>
      <c r="M6" s="6" t="inlineStr">
        <is>
          <t>82.4</t>
        </is>
      </c>
      <c r="N6" s="5" t="inlineStr">
        <is>
          <t>8194</t>
        </is>
      </c>
      <c r="O6" s="7" t="inlineStr">
        <is>
          <t>22</t>
        </is>
      </c>
      <c r="P6" s="5" t="inlineStr">
        <is>
          <t>193</t>
        </is>
      </c>
      <c r="Q6" s="5" t="inlineStr">
        <is>
          <t>15</t>
        </is>
      </c>
      <c r="R6" s="5" t="inlineStr">
        <is>
          <t>50000</t>
        </is>
      </c>
      <c r="S6" s="5" t="inlineStr">
        <is>
          <t>4879</t>
        </is>
      </c>
      <c r="T6" t="inlineStr">
        <is>
          <t>1</t>
        </is>
      </c>
      <c r="U6" s="5" t="n"/>
      <c r="V6" t="n">
        <v>0</v>
      </c>
      <c r="W6" t="n">
        <v>26</v>
      </c>
      <c r="X6" t="n">
        <v>14</v>
      </c>
      <c r="Y6" t="n">
        <v>7</v>
      </c>
      <c r="Z6" s="9" t="n">
        <v>47</v>
      </c>
      <c r="AA6" t="n">
        <v>70</v>
      </c>
      <c r="AB6" s="2" t="inlineStr">
        <is>
          <t>Частные фонды недвижимости + JV-equity опытным операторам</t>
        </is>
      </c>
      <c r="AC6" s="2" t="inlineStr">
        <is>
          <t>Платный поиск + контент; дистрибуция через investment advisors и family offices</t>
        </is>
      </c>
      <c r="AD6" s="2" t="inlineStr">
        <is>
          <t>$8,19 млрд продано по формам D, 4 879 инвесторов, 82,4% предложений — 506(c). 33 145 юнитов, $8,8 млрд рыночной стоимости. Лучший в выборке баланс масштаба и юридического права рекламировать.</t>
        </is>
      </c>
    </row>
    <row r="7">
      <c r="A7" t="n">
        <v>6</v>
      </c>
      <c r="B7" t="n">
        <v>2</v>
      </c>
      <c r="C7" t="inlineStr">
        <is>
          <t>AcreTrader</t>
        </is>
      </c>
      <c r="D7" t="inlineStr">
        <is>
          <t>Fayetteville, AR</t>
        </is>
      </c>
      <c r="E7" t="inlineStr">
        <is>
          <t>acretrader.com</t>
        </is>
      </c>
      <c r="F7" s="5" t="n"/>
      <c r="G7" s="5" t="inlineStr">
        <is>
          <t>100</t>
        </is>
      </c>
      <c r="H7" s="5" t="n"/>
      <c r="I7" s="5" t="n"/>
      <c r="J7" s="5" t="inlineStr">
        <is>
          <t>186</t>
        </is>
      </c>
      <c r="K7" s="5" t="inlineStr">
        <is>
          <t>100</t>
        </is>
      </c>
      <c r="L7" s="5" t="inlineStr">
        <is>
          <t>101</t>
        </is>
      </c>
      <c r="M7" s="6" t="inlineStr">
        <is>
          <t>100.0</t>
        </is>
      </c>
      <c r="N7" s="5" t="inlineStr">
        <is>
          <t>186</t>
        </is>
      </c>
      <c r="O7" s="7" t="inlineStr">
        <is>
          <t>3</t>
        </is>
      </c>
      <c r="P7" s="5" t="inlineStr">
        <is>
          <t>1210</t>
        </is>
      </c>
      <c r="Q7" s="5" t="inlineStr">
        <is>
          <t>152</t>
        </is>
      </c>
      <c r="R7" s="5" t="inlineStr">
        <is>
          <t>17125</t>
        </is>
      </c>
      <c r="S7" s="5" t="inlineStr">
        <is>
          <t>7035</t>
        </is>
      </c>
      <c r="T7" t="inlineStr">
        <is>
          <t>1</t>
        </is>
      </c>
      <c r="U7" s="5" t="n"/>
      <c r="V7" t="n">
        <v>10</v>
      </c>
      <c r="W7" t="n">
        <v>14</v>
      </c>
      <c r="X7" t="n">
        <v>13</v>
      </c>
      <c r="Y7" t="n">
        <v>9</v>
      </c>
      <c r="Z7" s="9" t="n">
        <v>46</v>
      </c>
      <c r="AA7" t="n">
        <v>70</v>
      </c>
      <c r="AB7" s="2" t="inlineStr">
        <is>
          <t>Фермерская земля: каждый участок — отдельное SPV, инвестор берёт долю</t>
        </is>
      </c>
      <c r="AC7" s="2" t="inlineStr">
        <is>
          <t>Контент-маркетинг и образовательная воронка; платная реклама минимальна при 100% праве на неё</t>
        </is>
      </c>
      <c r="AD7" s="2" t="inlineStr">
        <is>
          <t>101 из 101 предложения — 506(c): полное право рекламировать, но лишь 3 объявления. Сознательный выбор контента вместо платного трафика.</t>
        </is>
      </c>
    </row>
    <row r="8">
      <c r="A8" t="n">
        <v>7</v>
      </c>
      <c r="B8" t="n">
        <v>1</v>
      </c>
      <c r="C8" t="inlineStr">
        <is>
          <t>Forestar Group (NYSE: FOR)</t>
        </is>
      </c>
      <c r="D8" t="inlineStr">
        <is>
          <t>Arlington, TX</t>
        </is>
      </c>
      <c r="E8" t="inlineStr">
        <is>
          <t>forestar.com</t>
        </is>
      </c>
      <c r="F8" s="5" t="inlineStr">
        <is>
          <t>91700</t>
        </is>
      </c>
      <c r="G8" s="5" t="n"/>
      <c r="H8" s="5" t="inlineStr">
        <is>
          <t>65</t>
        </is>
      </c>
      <c r="I8" s="5" t="n"/>
      <c r="J8" s="5" t="n"/>
      <c r="K8" s="5" t="n"/>
      <c r="L8" s="5" t="n"/>
      <c r="M8" s="6" t="n"/>
      <c r="N8" s="5" t="n"/>
      <c r="O8" s="7" t="inlineStr">
        <is>
          <t>60</t>
        </is>
      </c>
      <c r="P8" s="5" t="n"/>
      <c r="Q8" s="5" t="n"/>
      <c r="R8" s="5" t="n"/>
      <c r="S8" s="5" t="n"/>
      <c r="T8" t="inlineStr">
        <is>
          <t>1</t>
        </is>
      </c>
      <c r="U8" s="5" t="n"/>
      <c r="V8" t="n">
        <v>18</v>
      </c>
      <c r="W8" t="n">
        <v>5</v>
      </c>
      <c r="X8" t="n">
        <v>13</v>
      </c>
      <c r="Y8" t="n">
        <v>6</v>
      </c>
      <c r="Z8" s="9" t="n">
        <v>42</v>
      </c>
      <c r="AA8" s="10" t="n">
        <v>30</v>
      </c>
      <c r="AB8" s="2" t="inlineStr">
        <is>
          <t>Крупнейший независимый девелопер жилых лотов: земля → горизонталь → продажа лотов</t>
        </is>
      </c>
      <c r="AC8" s="2" t="inlineStr">
        <is>
          <t>Публичный рынок (контроль D.R. Horton). 60 объявлений Google — B2B/HR, не привлечение инвесторов</t>
        </is>
      </c>
      <c r="AD8" s="2" t="inlineStr">
        <is>
          <t>91 700 лотов (62 200 собственных + 29 500 контролируемых), 65 рынков в 24 штатах.</t>
        </is>
      </c>
    </row>
    <row r="9">
      <c r="A9" t="n">
        <v>8</v>
      </c>
      <c r="B9" t="n">
        <v>1</v>
      </c>
      <c r="C9" t="inlineStr">
        <is>
          <t>Howard Hughes Holdings (NYSE: HHH)</t>
        </is>
      </c>
      <c r="D9" t="inlineStr">
        <is>
          <t>The Woodlands, TX</t>
        </is>
      </c>
      <c r="E9" t="inlineStr">
        <is>
          <t>howardhughes.com</t>
        </is>
      </c>
      <c r="F9" s="5" t="inlineStr">
        <is>
          <t>118000</t>
        </is>
      </c>
      <c r="G9" s="5" t="inlineStr">
        <is>
          <t>5</t>
        </is>
      </c>
      <c r="H9" s="5" t="inlineStr">
        <is>
          <t>5</t>
        </is>
      </c>
      <c r="I9" s="5" t="n"/>
      <c r="J9" s="5" t="n"/>
      <c r="K9" s="5" t="n"/>
      <c r="L9" s="5" t="n"/>
      <c r="M9" s="6" t="n"/>
      <c r="N9" s="5" t="n"/>
      <c r="O9" s="7" t="inlineStr">
        <is>
          <t>0</t>
        </is>
      </c>
      <c r="P9" s="5" t="n"/>
      <c r="Q9" s="5" t="n"/>
      <c r="R9" s="5" t="n"/>
      <c r="S9" s="5" t="n"/>
      <c r="T9" t="inlineStr">
        <is>
          <t>1</t>
        </is>
      </c>
      <c r="U9" s="5" t="n"/>
      <c r="V9" t="n">
        <v>16</v>
      </c>
      <c r="W9" t="n">
        <v>5</v>
      </c>
      <c r="X9" t="n">
        <v>12</v>
      </c>
      <c r="Y9" t="n">
        <v>7</v>
      </c>
      <c r="Z9" s="9" t="n">
        <v>40</v>
      </c>
      <c r="AA9" s="10" t="n">
        <v>40</v>
      </c>
      <c r="AB9" s="2" t="inlineStr">
        <is>
          <t>Master-planned communities: владение землёй, продажа лотов, JV по коммерческим активам</t>
        </is>
      </c>
      <c r="AC9" s="2" t="inlineStr">
        <is>
          <t>Публичный рынок + JV с институциональными партнёрами; потребительская реклама на уровне комьюнити</t>
        </is>
      </c>
      <c r="AD9" s="2" t="inlineStr">
        <is>
          <t>118 000+ акров в 5 штатах: Teravalis 37 000, Summerlin 22 500, Bridgeland 11 500.</t>
        </is>
      </c>
    </row>
    <row r="10">
      <c r="A10" t="n">
        <v>9</v>
      </c>
      <c r="B10" t="n">
        <v>1</v>
      </c>
      <c r="C10" t="inlineStr">
        <is>
          <t>The St. Joe Company (NYSE: JOE)</t>
        </is>
      </c>
      <c r="D10" t="inlineStr">
        <is>
          <t>Panama City Beach, FL</t>
        </is>
      </c>
      <c r="E10" t="inlineStr">
        <is>
          <t>joe.com</t>
        </is>
      </c>
      <c r="F10" s="5" t="inlineStr">
        <is>
          <t>165000</t>
        </is>
      </c>
      <c r="G10" s="5" t="inlineStr">
        <is>
          <t>12</t>
        </is>
      </c>
      <c r="H10" s="5" t="inlineStr">
        <is>
          <t>1</t>
        </is>
      </c>
      <c r="I10" s="5" t="n"/>
      <c r="J10" s="5" t="n"/>
      <c r="K10" s="5" t="n"/>
      <c r="L10" s="5" t="n"/>
      <c r="M10" s="6" t="n"/>
      <c r="N10" s="5" t="n"/>
      <c r="O10" s="7" t="inlineStr">
        <is>
          <t>0</t>
        </is>
      </c>
      <c r="P10" s="5" t="inlineStr">
        <is>
          <t>1110</t>
        </is>
      </c>
      <c r="Q10" s="5" t="inlineStr">
        <is>
          <t>228</t>
        </is>
      </c>
      <c r="R10" s="5" t="n"/>
      <c r="S10" s="5" t="n"/>
      <c r="T10" t="inlineStr">
        <is>
          <t>1</t>
        </is>
      </c>
      <c r="U10" s="5" t="n"/>
      <c r="V10" t="n">
        <v>17</v>
      </c>
      <c r="W10" t="n">
        <v>5</v>
      </c>
      <c r="X10" t="n">
        <v>12</v>
      </c>
      <c r="Y10" t="n">
        <v>6</v>
      </c>
      <c r="Z10" s="9" t="n">
        <v>40</v>
      </c>
      <c r="AA10" s="10" t="n">
        <v>40</v>
      </c>
      <c r="AB10" s="2" t="inlineStr">
        <is>
          <t>Крупнейший частный землевладелец Флориды; монетизация через JV с операторами</t>
        </is>
      </c>
      <c r="AC10" s="2" t="inlineStr">
        <is>
          <t>JV с профильными операторами (Minto/Latitude Margaritaville, Key International, InterMountain); публичный рынок</t>
        </is>
      </c>
      <c r="AD10" s="2" t="inlineStr">
        <is>
          <t>~165 000 акров, 90% в 15 милях от Мексиканского залива. JV-выручка $56,1 млн за Q1 2026. 12 отелей.</t>
        </is>
      </c>
    </row>
    <row r="11">
      <c r="A11" t="n">
        <v>10</v>
      </c>
      <c r="B11" t="n">
        <v>2</v>
      </c>
      <c r="C11" t="inlineStr">
        <is>
          <t>FarmTogether</t>
        </is>
      </c>
      <c r="D11" t="inlineStr">
        <is>
          <t>San Francisco, CA</t>
        </is>
      </c>
      <c r="E11" t="inlineStr">
        <is>
          <t>farmtogether.com</t>
        </is>
      </c>
      <c r="F11" s="5" t="n"/>
      <c r="G11" s="5" t="inlineStr">
        <is>
          <t>44</t>
        </is>
      </c>
      <c r="H11" s="5" t="n"/>
      <c r="I11" s="5" t="n"/>
      <c r="J11" s="5" t="inlineStr">
        <is>
          <t>260</t>
        </is>
      </c>
      <c r="K11" s="5" t="inlineStr">
        <is>
          <t>44</t>
        </is>
      </c>
      <c r="L11" s="5" t="inlineStr">
        <is>
          <t>60</t>
        </is>
      </c>
      <c r="M11" s="6" t="inlineStr">
        <is>
          <t>93.3</t>
        </is>
      </c>
      <c r="N11" s="5" t="inlineStr">
        <is>
          <t>260</t>
        </is>
      </c>
      <c r="O11" s="7" t="inlineStr">
        <is>
          <t>24</t>
        </is>
      </c>
      <c r="P11" s="5" t="n"/>
      <c r="Q11" s="5" t="n"/>
      <c r="R11" s="5" t="inlineStr">
        <is>
          <t>15000</t>
        </is>
      </c>
      <c r="S11" s="5" t="inlineStr">
        <is>
          <t>5891</t>
        </is>
      </c>
      <c r="T11" t="inlineStr">
        <is>
          <t>1</t>
        </is>
      </c>
      <c r="U11" s="5" t="n"/>
      <c r="V11" t="n">
        <v>6</v>
      </c>
      <c r="W11" t="n">
        <v>10</v>
      </c>
      <c r="X11" t="n">
        <v>14</v>
      </c>
      <c r="Y11" t="n">
        <v>9</v>
      </c>
      <c r="Z11" s="9" t="n">
        <v>39</v>
      </c>
      <c r="AA11" t="n">
        <v>70</v>
      </c>
      <c r="AB11" s="2" t="inlineStr">
        <is>
          <t>Фермерская земля, premium permanent crops; SPV на объект</t>
        </is>
      </c>
      <c r="AC11" s="2" t="inlineStr">
        <is>
          <t>Платный поиск + контент; ~1 новое предложение в месяц</t>
        </is>
      </c>
      <c r="AD11" s="2" t="inlineStr">
        <is>
          <t>44 Reg D-эмитента, 56/60 — 506(c). Самый активный платный рекламодатель среди землевладельческих структур.</t>
        </is>
      </c>
    </row>
    <row r="12">
      <c r="A12" t="n">
        <v>11</v>
      </c>
      <c r="B12" t="n">
        <v>2</v>
      </c>
      <c r="C12" t="inlineStr">
        <is>
          <t>GSP REI</t>
        </is>
      </c>
      <c r="D12" t="inlineStr">
        <is>
          <t>Paoli, PA</t>
        </is>
      </c>
      <c r="E12" t="inlineStr">
        <is>
          <t>gsprei.com</t>
        </is>
      </c>
      <c r="F12" s="5" t="n"/>
      <c r="G12" s="5" t="inlineStr">
        <is>
          <t>29</t>
        </is>
      </c>
      <c r="H12" s="5" t="inlineStr">
        <is>
          <t>40</t>
        </is>
      </c>
      <c r="I12" s="5" t="n"/>
      <c r="J12" s="5" t="inlineStr">
        <is>
          <t>1698</t>
        </is>
      </c>
      <c r="K12" s="5" t="inlineStr">
        <is>
          <t>57</t>
        </is>
      </c>
      <c r="L12" s="5" t="inlineStr">
        <is>
          <t>78</t>
        </is>
      </c>
      <c r="M12" s="6" t="inlineStr">
        <is>
          <t>9.2</t>
        </is>
      </c>
      <c r="N12" s="5" t="inlineStr">
        <is>
          <t>1698</t>
        </is>
      </c>
      <c r="O12" s="7" t="inlineStr">
        <is>
          <t>0</t>
        </is>
      </c>
      <c r="P12" s="5" t="n"/>
      <c r="Q12" s="5" t="n"/>
      <c r="R12" s="5" t="inlineStr">
        <is>
          <t>25000</t>
        </is>
      </c>
      <c r="S12" s="5" t="inlineStr">
        <is>
          <t>1647</t>
        </is>
      </c>
      <c r="T12" t="inlineStr">
        <is>
          <t>1</t>
        </is>
      </c>
      <c r="U12" s="5" t="n"/>
      <c r="V12" t="n">
        <v>12</v>
      </c>
      <c r="W12" t="n">
        <v>16</v>
      </c>
      <c r="X12" t="n">
        <v>4</v>
      </c>
      <c r="Y12" t="n">
        <v>5</v>
      </c>
      <c r="Z12" s="9" t="n">
        <v>37</v>
      </c>
      <c r="AA12" t="n">
        <v>80</v>
      </c>
      <c r="AB12" s="2" t="inlineStr">
        <is>
          <t>Land Entitlement Fund: покупка raw land → entitlements → продажа национальным домостроителям</t>
        </is>
      </c>
      <c r="AC12" s="2" t="inlineStr">
        <is>
          <t>Gated-материалы фонда, прямые продажи аккредитованным; публичной рекламы нет</t>
        </is>
      </c>
      <c r="AD12" s="2" t="inlineStr">
        <is>
          <t>57 Reg D-эмитентов, 78 форм D, 38 с 2024 — второй по текущей активности. $1,70 млрд продано, 1 647 инвесторов. Но лишь 9,2% предложений — 506(c): отсюда ноль рекламы.</t>
        </is>
      </c>
    </row>
    <row r="13">
      <c r="A13" t="n">
        <v>12</v>
      </c>
      <c r="B13" t="n">
        <v>1</v>
      </c>
      <c r="C13" t="inlineStr">
        <is>
          <t>Domain Real Estate Partners</t>
        </is>
      </c>
      <c r="D13" t="inlineStr">
        <is>
          <t>Chicago, IL</t>
        </is>
      </c>
      <c r="E13" t="inlineStr">
        <is>
          <t>domainrealestatepartners.com</t>
        </is>
      </c>
      <c r="F13" s="5" t="n"/>
      <c r="G13" s="5" t="inlineStr">
        <is>
          <t>720</t>
        </is>
      </c>
      <c r="H13" s="5" t="n"/>
      <c r="I13" s="5" t="inlineStr">
        <is>
          <t>6000</t>
        </is>
      </c>
      <c r="J13" s="5" t="inlineStr">
        <is>
          <t>16000</t>
        </is>
      </c>
      <c r="K13" s="5" t="n"/>
      <c r="L13" s="5" t="n"/>
      <c r="M13" s="6" t="n"/>
      <c r="N13" s="5" t="n"/>
      <c r="O13" s="7" t="inlineStr">
        <is>
          <t>0</t>
        </is>
      </c>
      <c r="P13" s="5" t="n"/>
      <c r="Q13" s="5" t="n"/>
      <c r="R13" s="5" t="n"/>
      <c r="S13" s="5" t="n"/>
      <c r="T13" t="inlineStr">
        <is>
          <t>1</t>
        </is>
      </c>
      <c r="U13" s="5" t="n"/>
      <c r="V13" t="n">
        <v>10</v>
      </c>
      <c r="W13" t="n">
        <v>20</v>
      </c>
      <c r="X13" t="n">
        <v>5</v>
      </c>
      <c r="Y13" t="n">
        <v>1</v>
      </c>
      <c r="Z13" s="9" t="n">
        <v>36</v>
      </c>
      <c r="AA13" s="10" t="n">
        <v>40</v>
      </c>
      <c r="AB13" s="2" t="inlineStr">
        <is>
          <t>Land banking / lot option financing + project-level equity для застройщиков</t>
        </is>
      </c>
      <c r="AC13" s="2" t="inlineStr">
        <is>
          <t>Институциональные LP: PGIM ($4 млрд совместно), страховые балансы. Клиенты — Lennar, PulteGroup, Toll Brothers</t>
        </is>
      </c>
      <c r="AD13" s="2" t="inlineStr">
        <is>
          <t>720+ проектов, ~$16 млрд совокупной стоимости, $6 млрд развёрнуто. Основан в 2015. Розничной рекламы нет.</t>
        </is>
      </c>
    </row>
    <row r="14">
      <c r="A14" t="n">
        <v>13</v>
      </c>
      <c r="B14" t="n">
        <v>1</v>
      </c>
      <c r="C14" t="inlineStr">
        <is>
          <t>Crow Holdings</t>
        </is>
      </c>
      <c r="D14" t="inlineStr">
        <is>
          <t>Dallas, TX</t>
        </is>
      </c>
      <c r="E14" t="inlineStr">
        <is>
          <t>crowholdings.com</t>
        </is>
      </c>
      <c r="F14" s="5" t="n"/>
      <c r="G14" s="5" t="n"/>
      <c r="H14" s="5" t="n"/>
      <c r="I14" s="5" t="inlineStr">
        <is>
          <t>33000</t>
        </is>
      </c>
      <c r="J14" s="5" t="inlineStr">
        <is>
          <t>38235</t>
        </is>
      </c>
      <c r="K14" s="5" t="inlineStr">
        <is>
          <t>44</t>
        </is>
      </c>
      <c r="L14" s="5" t="inlineStr">
        <is>
          <t>84</t>
        </is>
      </c>
      <c r="M14" s="6" t="inlineStr">
        <is>
          <t>0.0</t>
        </is>
      </c>
      <c r="N14" s="5" t="inlineStr">
        <is>
          <t>38235</t>
        </is>
      </c>
      <c r="O14" s="7" t="inlineStr">
        <is>
          <t>0</t>
        </is>
      </c>
      <c r="P14" s="5" t="n"/>
      <c r="Q14" s="5" t="n"/>
      <c r="R14" s="5" t="inlineStr">
        <is>
          <t>5000000</t>
        </is>
      </c>
      <c r="S14" s="5" t="inlineStr">
        <is>
          <t>2350</t>
        </is>
      </c>
      <c r="T14" t="inlineStr">
        <is>
          <t>1</t>
        </is>
      </c>
      <c r="U14" s="5" t="n"/>
      <c r="V14" t="n">
        <v>0</v>
      </c>
      <c r="W14" t="n">
        <v>26</v>
      </c>
      <c r="X14" t="n">
        <v>5</v>
      </c>
      <c r="Y14" t="n">
        <v>1</v>
      </c>
      <c r="Z14" s="9" t="n">
        <v>32</v>
      </c>
      <c r="AA14" t="n">
        <v>70</v>
      </c>
      <c r="AB14" s="2" t="inlineStr">
        <is>
          <t>Девелопмент-фонды: земля под индустриальные и жилые проекты, институциональный капитал</t>
        </is>
      </c>
      <c r="AC14" s="2" t="inlineStr">
        <is>
          <t>Институциональные LP, фонды Development Opportunities / Industrial Development; без публичной рекламы</t>
        </is>
      </c>
      <c r="AD14" s="2" t="inlineStr">
        <is>
          <t>САМЫЕ КРУПНЫЕ ЧЕКИ ВЫБОРКИ: медианный минимальный чек $5 000 000. $38,2 млрд продано по формам D, 2 350 инвесторов, 54 из 54 предложений — 506(b). Эталон искомой модели — и при этом ноль рекламы.</t>
        </is>
      </c>
    </row>
    <row r="15">
      <c r="A15" t="n">
        <v>14</v>
      </c>
      <c r="B15" t="n">
        <v>1</v>
      </c>
      <c r="C15" t="inlineStr">
        <is>
          <t>BTI Partners</t>
        </is>
      </c>
      <c r="D15" t="inlineStr">
        <is>
          <t>Fort Lauderdale, FL</t>
        </is>
      </c>
      <c r="E15" t="inlineStr">
        <is>
          <t>btipartners.com</t>
        </is>
      </c>
      <c r="F15" s="5" t="inlineStr">
        <is>
          <t>12000</t>
        </is>
      </c>
      <c r="G15" s="5" t="inlineStr">
        <is>
          <t>6</t>
        </is>
      </c>
      <c r="H15" s="5" t="inlineStr">
        <is>
          <t>4</t>
        </is>
      </c>
      <c r="I15" s="5" t="inlineStr">
        <is>
          <t>3600</t>
        </is>
      </c>
      <c r="J15" s="5" t="inlineStr">
        <is>
          <t>650</t>
        </is>
      </c>
      <c r="K15" s="5" t="inlineStr">
        <is>
          <t>1</t>
        </is>
      </c>
      <c r="L15" s="5" t="inlineStr">
        <is>
          <t>1</t>
        </is>
      </c>
      <c r="M15" s="6" t="n"/>
      <c r="N15" s="5" t="n"/>
      <c r="O15" s="7" t="inlineStr">
        <is>
          <t>0</t>
        </is>
      </c>
      <c r="P15" s="5" t="inlineStr">
        <is>
          <t>113</t>
        </is>
      </c>
      <c r="Q15" s="5" t="inlineStr">
        <is>
          <t>19</t>
        </is>
      </c>
      <c r="R15" s="5" t="n"/>
      <c r="S15" s="5" t="n"/>
      <c r="T15" t="inlineStr">
        <is>
          <t>1</t>
        </is>
      </c>
      <c r="U15" s="5" t="n"/>
      <c r="V15" t="n">
        <v>10</v>
      </c>
      <c r="W15" t="n">
        <v>15</v>
      </c>
      <c r="X15" t="n">
        <v>5</v>
      </c>
      <c r="Y15" t="n">
        <v>1</v>
      </c>
      <c r="Z15" s="9" t="n">
        <v>31</v>
      </c>
      <c r="AA15" t="n">
        <v>70</v>
      </c>
      <c r="AB15" s="2" t="inlineStr">
        <is>
          <t>Land developer / land investor Флориды: MPC и waterfront</t>
        </is>
      </c>
      <c r="AC15" s="2" t="inlineStr">
        <is>
          <t>Институциональные партнёры; публичной инвест-воронки нет</t>
        </is>
      </c>
      <c r="AD15" s="2" t="inlineStr">
        <is>
          <t>~12 000 акров приобретено/контролируется, $3,6 млрд сделок, 18 000 юнитов построено. 2 091 акр в Джексонвилле ($53,2 млн, апрель 2026) + 7 850 акров в Clay County.</t>
        </is>
      </c>
    </row>
    <row r="16">
      <c r="A16" t="n">
        <v>15</v>
      </c>
      <c r="B16" t="n">
        <v>1</v>
      </c>
      <c r="C16" t="inlineStr">
        <is>
          <t>Tejon Ranch Co (NYSE: TRC)</t>
        </is>
      </c>
      <c r="D16" t="inlineStr">
        <is>
          <t>Lebec, CA</t>
        </is>
      </c>
      <c r="E16" t="inlineStr">
        <is>
          <t>tejonranch.com</t>
        </is>
      </c>
      <c r="F16" s="5" t="inlineStr">
        <is>
          <t>270000</t>
        </is>
      </c>
      <c r="G16" s="5" t="inlineStr">
        <is>
          <t>4</t>
        </is>
      </c>
      <c r="H16" s="5" t="inlineStr">
        <is>
          <t>1</t>
        </is>
      </c>
      <c r="I16" s="5" t="n"/>
      <c r="J16" s="5" t="n"/>
      <c r="K16" s="5" t="n"/>
      <c r="L16" s="5" t="n"/>
      <c r="M16" s="6" t="n"/>
      <c r="N16" s="5" t="n"/>
      <c r="O16" s="7" t="inlineStr">
        <is>
          <t>0</t>
        </is>
      </c>
      <c r="P16" s="5" t="inlineStr">
        <is>
          <t>5</t>
        </is>
      </c>
      <c r="Q16" s="5" t="inlineStr">
        <is>
          <t>1</t>
        </is>
      </c>
      <c r="R16" s="5" t="n"/>
      <c r="S16" s="5" t="n"/>
      <c r="T16" t="inlineStr">
        <is>
          <t>1</t>
        </is>
      </c>
      <c r="U16" s="5" t="n"/>
      <c r="V16" t="n">
        <v>13</v>
      </c>
      <c r="W16" t="n">
        <v>5</v>
      </c>
      <c r="X16" t="n">
        <v>4</v>
      </c>
      <c r="Y16" t="n">
        <v>6</v>
      </c>
      <c r="Z16" s="11" t="n">
        <v>28</v>
      </c>
      <c r="AA16" s="10" t="n">
        <v>40</v>
      </c>
      <c r="AB16" s="2" t="inlineStr">
        <is>
          <t>Крупнейший единый земельный массив Калифорнии; развитие ТОЛЬКО через JV</t>
        </is>
      </c>
      <c r="AC16" s="2" t="inlineStr">
        <is>
          <t>Прямые JV с девелоперами (Majestic Realty, Dedeaux Properties, 3 домостроителя); публичный рынок</t>
        </is>
      </c>
      <c r="AD16" s="2" t="inlineStr">
        <is>
          <t>270 000 акров — эталон модели 'не продаём, а участвуем'. YouTube: 5 подписчиков, 1 видео за всю историю.</t>
        </is>
      </c>
    </row>
    <row r="17">
      <c r="A17" t="n">
        <v>16</v>
      </c>
      <c r="B17" t="n">
        <v>2</v>
      </c>
      <c r="C17" t="inlineStr">
        <is>
          <t>Allied Development</t>
        </is>
      </c>
      <c r="D17" t="inlineStr">
        <is>
          <t>USA</t>
        </is>
      </c>
      <c r="E17" t="inlineStr">
        <is>
          <t>alliedlandfund.com</t>
        </is>
      </c>
      <c r="F17" s="5" t="n"/>
      <c r="G17" s="5" t="inlineStr">
        <is>
          <t>30</t>
        </is>
      </c>
      <c r="H17" s="5" t="n"/>
      <c r="I17" s="5" t="n"/>
      <c r="J17" s="5" t="n"/>
      <c r="K17" s="5" t="inlineStr">
        <is>
          <t>2</t>
        </is>
      </c>
      <c r="L17" s="5" t="inlineStr">
        <is>
          <t>4</t>
        </is>
      </c>
      <c r="M17" s="6" t="n"/>
      <c r="N17" s="5" t="n"/>
      <c r="O17" s="7" t="inlineStr">
        <is>
          <t>5</t>
        </is>
      </c>
      <c r="P17" s="5" t="inlineStr">
        <is>
          <t>54</t>
        </is>
      </c>
      <c r="Q17" s="5" t="inlineStr">
        <is>
          <t>76</t>
        </is>
      </c>
      <c r="R17" s="5" t="inlineStr">
        <is>
          <t>100000</t>
        </is>
      </c>
      <c r="S17" s="5" t="n"/>
      <c r="T17" t="inlineStr">
        <is>
          <t>1</t>
        </is>
      </c>
      <c r="U17" s="5" t="n"/>
      <c r="V17" t="n">
        <v>6</v>
      </c>
      <c r="W17" t="n">
        <v>1</v>
      </c>
      <c r="X17" t="n">
        <v>8</v>
      </c>
      <c r="Y17" t="n">
        <v>10</v>
      </c>
      <c r="Z17" s="11" t="n">
        <v>25</v>
      </c>
      <c r="AA17" s="10" t="n">
        <v>40</v>
      </c>
      <c r="AB17" s="2" t="inlineStr">
        <is>
          <t>Land entitlement fund: покупка земли → entitlements → продажа домостроителям</t>
        </is>
      </c>
      <c r="AC17" s="2" t="inlineStr">
        <is>
          <t>Воронка 'Book a Clarity Call' (15–30 мин), gated-материалы, 15% preferred, квартальные выплаты</t>
        </is>
      </c>
      <c r="AD17" s="2" t="inlineStr">
        <is>
          <t>30+ завершённых entitlement-проектов. Минимум $100 000. Чистый пример 506(c)-воронки малого масштаба.</t>
        </is>
      </c>
    </row>
    <row r="18">
      <c r="A18" t="n">
        <v>17</v>
      </c>
      <c r="B18" t="n">
        <v>1</v>
      </c>
      <c r="C18" t="inlineStr">
        <is>
          <t>13th Floor Investments</t>
        </is>
      </c>
      <c r="D18" t="inlineStr">
        <is>
          <t>Miami, FL</t>
        </is>
      </c>
      <c r="E18" t="inlineStr">
        <is>
          <t>13fi.com</t>
        </is>
      </c>
      <c r="F18" s="5" t="n"/>
      <c r="G18" s="5" t="inlineStr">
        <is>
          <t>70</t>
        </is>
      </c>
      <c r="H18" s="5" t="inlineStr">
        <is>
          <t>2</t>
        </is>
      </c>
      <c r="I18" s="5" t="inlineStr">
        <is>
          <t>5000</t>
        </is>
      </c>
      <c r="J18" s="5" t="n"/>
      <c r="K18" s="5" t="inlineStr">
        <is>
          <t>1</t>
        </is>
      </c>
      <c r="L18" s="5" t="inlineStr">
        <is>
          <t>1</t>
        </is>
      </c>
      <c r="M18" s="6" t="n"/>
      <c r="N18" s="5" t="n"/>
      <c r="O18" s="7" t="inlineStr">
        <is>
          <t>0</t>
        </is>
      </c>
      <c r="P18" s="5" t="n"/>
      <c r="Q18" s="5" t="n"/>
      <c r="R18" s="5" t="n"/>
      <c r="S18" s="5" t="n"/>
      <c r="T18" t="inlineStr">
        <is>
          <t>1</t>
        </is>
      </c>
      <c r="U18" s="5" t="n"/>
      <c r="V18" t="n">
        <v>9</v>
      </c>
      <c r="W18" t="n">
        <v>11</v>
      </c>
      <c r="X18" t="n">
        <v>3</v>
      </c>
      <c r="Y18" t="n">
        <v>1</v>
      </c>
      <c r="Z18" s="11" t="n">
        <v>24</v>
      </c>
      <c r="AA18" t="n">
        <v>50</v>
      </c>
      <c r="AB18" s="2" t="inlineStr">
        <is>
          <t>Вертикально интегрированный инвестор: земля + девелопмент, вход на любом уровне капстека</t>
        </is>
      </c>
      <c r="AC18" s="2" t="inlineStr">
        <is>
          <t>JV с институциональными и семейными партнёрами (Adler Group, LeFrak, Related Group)</t>
        </is>
      </c>
      <c r="AD18" s="2" t="inlineStr">
        <is>
          <t>$5 млрд+ недвижимости под управлением, 70+ сделок за 17 лет, 40+ профессионалов. Таргет 2,0x / 20%+.</t>
        </is>
      </c>
    </row>
    <row r="19">
      <c r="A19" t="n">
        <v>18</v>
      </c>
      <c r="B19" t="n">
        <v>2</v>
      </c>
      <c r="C19" t="inlineStr">
        <is>
          <t>Urban Catalyst</t>
        </is>
      </c>
      <c r="D19" t="inlineStr">
        <is>
          <t>San Jose, CA</t>
        </is>
      </c>
      <c r="E19" t="inlineStr">
        <is>
          <t>urbancatalyst.com</t>
        </is>
      </c>
      <c r="F19" s="5" t="n"/>
      <c r="G19" s="5" t="inlineStr">
        <is>
          <t>7</t>
        </is>
      </c>
      <c r="H19" s="5" t="inlineStr">
        <is>
          <t>1</t>
        </is>
      </c>
      <c r="I19" s="5" t="n"/>
      <c r="J19" s="5" t="inlineStr">
        <is>
          <t>131</t>
        </is>
      </c>
      <c r="K19" s="5" t="inlineStr">
        <is>
          <t>5</t>
        </is>
      </c>
      <c r="L19" s="5" t="inlineStr">
        <is>
          <t>8</t>
        </is>
      </c>
      <c r="M19" s="6" t="inlineStr">
        <is>
          <t>66.7</t>
        </is>
      </c>
      <c r="N19" s="5" t="inlineStr">
        <is>
          <t>13</t>
        </is>
      </c>
      <c r="O19" s="7" t="inlineStr">
        <is>
          <t>2</t>
        </is>
      </c>
      <c r="P19" s="5" t="inlineStr">
        <is>
          <t>67</t>
        </is>
      </c>
      <c r="Q19" s="5" t="inlineStr">
        <is>
          <t>16</t>
        </is>
      </c>
      <c r="R19" s="5" t="inlineStr">
        <is>
          <t>100000</t>
        </is>
      </c>
      <c r="S19" s="5" t="inlineStr">
        <is>
          <t>356</t>
        </is>
      </c>
      <c r="T19" t="inlineStr">
        <is>
          <t>1</t>
        </is>
      </c>
      <c r="U19" s="5" t="n"/>
      <c r="V19" t="n">
        <v>3</v>
      </c>
      <c r="W19" t="n">
        <v>6</v>
      </c>
      <c r="X19" t="n">
        <v>8</v>
      </c>
      <c r="Y19" t="n">
        <v>7</v>
      </c>
      <c r="Z19" s="11" t="n">
        <v>24</v>
      </c>
      <c r="AA19" t="n">
        <v>80</v>
      </c>
      <c r="AB19" s="2" t="inlineStr">
        <is>
          <t>Opportunity Zone девелопер: земля + ground-up проекты в центре Сан-Хосе</t>
        </is>
      </c>
      <c r="AC19" s="2" t="inlineStr">
        <is>
          <t>OZ-ниша: вебинары, блог, инвест-спотлайты; Fund II закрыт в конце 2025, Fund III — 2027</t>
        </is>
      </c>
      <c r="AD19" s="2" t="inlineStr">
        <is>
          <t>Fund I: $131 млн от 356 инвесторов — средний чек ~$368 000. 7 ground-up проектов.</t>
        </is>
      </c>
    </row>
    <row r="20">
      <c r="A20" t="n">
        <v>19</v>
      </c>
      <c r="B20" t="n">
        <v>1</v>
      </c>
      <c r="C20" t="inlineStr">
        <is>
          <t>Five Point Holdings (NYSE: FPH)</t>
        </is>
      </c>
      <c r="D20" t="inlineStr">
        <is>
          <t>Irvine, CA</t>
        </is>
      </c>
      <c r="E20" t="inlineStr">
        <is>
          <t>fivepoint.com</t>
        </is>
      </c>
      <c r="F20" s="5" t="inlineStr">
        <is>
          <t>40000</t>
        </is>
      </c>
      <c r="G20" s="5" t="inlineStr">
        <is>
          <t>3</t>
        </is>
      </c>
      <c r="H20" s="5" t="inlineStr">
        <is>
          <t>3</t>
        </is>
      </c>
      <c r="I20" s="5" t="n"/>
      <c r="J20" s="5" t="n"/>
      <c r="K20" s="5" t="inlineStr">
        <is>
          <t>4</t>
        </is>
      </c>
      <c r="L20" s="5" t="inlineStr">
        <is>
          <t>4</t>
        </is>
      </c>
      <c r="M20" s="6" t="n"/>
      <c r="N20" s="5" t="n"/>
      <c r="O20" s="7" t="inlineStr">
        <is>
          <t>0</t>
        </is>
      </c>
      <c r="P20" s="5" t="n"/>
      <c r="Q20" s="5" t="n"/>
      <c r="R20" s="5" t="n"/>
      <c r="S20" s="5" t="n"/>
      <c r="T20" t="inlineStr">
        <is>
          <t>1</t>
        </is>
      </c>
      <c r="U20" s="5" t="n"/>
      <c r="V20" t="n">
        <v>10</v>
      </c>
      <c r="W20" t="n">
        <v>1</v>
      </c>
      <c r="X20" t="n">
        <v>6</v>
      </c>
      <c r="Y20" t="n">
        <v>6</v>
      </c>
      <c r="Z20" s="11" t="n">
        <v>23</v>
      </c>
      <c r="AA20" t="n">
        <v>50</v>
      </c>
      <c r="AB20" s="2" t="inlineStr">
        <is>
          <t>MPC-девелопер Калифорнии + контроль в land banking venture Hearthstone</t>
        </is>
      </c>
      <c r="AC20" s="2" t="inlineStr">
        <is>
          <t>Публичный рынок + JV с домостроителями; с 31.07.2025 контроль в Hearthstone Residential Holdings</t>
        </is>
      </c>
      <c r="AD20" s="2" t="inlineStr">
        <is>
          <t>Valencia 21 500 homesites, Great Park 2 100 акров / 11 856 домов, Candlestick 280 акров / 7 200 домов.</t>
        </is>
      </c>
    </row>
    <row r="21">
      <c r="A21" t="n">
        <v>20</v>
      </c>
      <c r="B21" t="n">
        <v>1</v>
      </c>
      <c r="C21" t="inlineStr">
        <is>
          <t>Bedrock Land Finance (TWG Global)</t>
        </is>
      </c>
      <c r="D21" t="inlineStr">
        <is>
          <t>Dallas, TX</t>
        </is>
      </c>
      <c r="E21" t="inlineStr">
        <is>
          <t>bedrocklandfinance.com</t>
        </is>
      </c>
      <c r="F21" s="5" t="n"/>
      <c r="G21" s="5" t="n"/>
      <c r="H21" s="5" t="n"/>
      <c r="I21" s="5" t="inlineStr">
        <is>
          <t>5000</t>
        </is>
      </c>
      <c r="J21" s="5" t="n"/>
      <c r="K21" s="5" t="n"/>
      <c r="L21" s="5" t="n"/>
      <c r="M21" s="6" t="n"/>
      <c r="N21" s="5" t="n"/>
      <c r="O21" s="7" t="inlineStr">
        <is>
          <t>0</t>
        </is>
      </c>
      <c r="P21" s="5" t="n"/>
      <c r="Q21" s="5" t="n"/>
      <c r="R21" s="5" t="n"/>
      <c r="S21" s="5" t="n"/>
      <c r="T21" t="inlineStr">
        <is>
          <t>1</t>
        </is>
      </c>
      <c r="U21" s="5" t="n"/>
      <c r="V21" t="n">
        <v>0</v>
      </c>
      <c r="W21" t="n">
        <v>10</v>
      </c>
      <c r="X21" t="n">
        <v>4</v>
      </c>
      <c r="Y21" t="n">
        <v>1</v>
      </c>
      <c r="Z21" s="11" t="n">
        <v>15</v>
      </c>
      <c r="AA21" s="10" t="n">
        <v>20</v>
      </c>
      <c r="AB21" s="2" t="inlineStr">
        <is>
          <t>Land banking origination + A&amp;D-кредитование домостроителей</t>
        </is>
      </c>
      <c r="AC21" s="2" t="inlineStr">
        <is>
          <t>Эксклюзивный land banking партнёр Guggenheim Investments (май 2026); институциональный капитал</t>
        </is>
      </c>
      <c r="AD21" s="2" t="inlineStr">
        <is>
          <t>Цель — профинансировать не менее $5 млрд девелопмента. Розничной рекламы нет в принципе.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30" customWidth="1" min="3" max="3"/>
    <col width="19" customWidth="1" min="4" max="4"/>
    <col width="10" customWidth="1" min="5" max="5"/>
    <col width="25" customWidth="1" min="6" max="6"/>
    <col width="70" customWidth="1" min="7" max="7"/>
  </cols>
  <sheetData>
    <row r="1">
      <c r="A1" s="1" t="inlineStr">
        <is>
          <t>Прямые измерения рекламной активности, Google Ads Transparency Center, 05.10.2026</t>
        </is>
      </c>
    </row>
    <row r="2">
      <c r="A2" s="12" t="inlineStr">
        <is>
          <t>ATC показывает НАЛИЧИЕ и КОЛИЧЕСТВО объявлений, но НЕ суммы. Суммы по неполитической рекламе не раскрываются нигде.</t>
        </is>
      </c>
    </row>
    <row r="3"/>
    <row r="4" ht="42" customHeight="1">
      <c r="A4" s="4" t="inlineStr">
        <is>
          <t>Компания</t>
        </is>
      </c>
      <c r="B4" s="4" t="inlineStr">
        <is>
          <t>Группа</t>
        </is>
      </c>
      <c r="C4" s="4" t="inlineStr">
        <is>
          <t>Домен</t>
        </is>
      </c>
      <c r="D4" s="4" t="inlineStr">
        <is>
          <t>Google-объявлений</t>
        </is>
      </c>
      <c r="E4" s="4" t="inlineStr">
        <is>
          <t>% 506(c)</t>
        </is>
      </c>
      <c r="F4" s="4" t="inlineStr">
        <is>
          <t>Право рекламировать</t>
        </is>
      </c>
      <c r="G4" s="4" t="inlineStr">
        <is>
          <t>Комментарий</t>
        </is>
      </c>
    </row>
    <row r="5">
      <c r="D5" s="7" t="n"/>
      <c r="E5" s="6" t="n"/>
      <c r="G5" s="2" t="n"/>
    </row>
    <row r="6">
      <c r="A6" t="inlineStr">
        <is>
          <t>Brookfield Residential</t>
        </is>
      </c>
      <c r="B6" t="inlineStr">
        <is>
          <t>БЕНЧМАРК (не земельный игрок)</t>
        </is>
      </c>
      <c r="C6" t="inlineStr">
        <is>
          <t>brookfieldresidential.com</t>
        </is>
      </c>
      <c r="D6" s="13" t="n">
        <v>700</v>
      </c>
      <c r="E6" s="6" t="n"/>
      <c r="F6" t="inlineStr">
        <is>
          <t>—</t>
        </is>
      </c>
      <c r="G6" s="2" t="inlineStr">
        <is>
          <t>700 объявлений — но это продажа ДОМОВ конечным покупателям, НЕ привлечение инвесторов. Ловушка при наивном чтении рекламных счётчиков.</t>
        </is>
      </c>
    </row>
    <row r="7">
      <c r="A7" t="inlineStr">
        <is>
          <t>Fundrise</t>
        </is>
      </c>
      <c r="B7" t="inlineStr">
        <is>
          <t>БЕНЧМАРК (не земельный игрок)</t>
        </is>
      </c>
      <c r="C7" t="inlineStr">
        <is>
          <t>fundrise.com</t>
        </is>
      </c>
      <c r="D7" s="13" t="n">
        <v>200</v>
      </c>
      <c r="E7" s="6" t="n"/>
      <c r="F7" t="inlineStr">
        <is>
          <t>—</t>
        </is>
      </c>
      <c r="G7" s="2" t="inlineStr">
        <is>
          <t>200+ активных объявлений Google — потолок выдачи ATC. Reg A+ позволяет массовую рекламу неаккредитованным.</t>
        </is>
      </c>
    </row>
    <row r="8">
      <c r="A8" t="inlineStr">
        <is>
          <t>New Western</t>
        </is>
      </c>
      <c r="B8" t="inlineStr">
        <is>
          <t>БЕНЧМАРК (не земельный игрок)</t>
        </is>
      </c>
      <c r="C8" t="inlineStr">
        <is>
          <t>newwestern.com</t>
        </is>
      </c>
      <c r="D8" s="13" t="n">
        <v>200</v>
      </c>
      <c r="E8" s="6" t="n"/>
      <c r="F8" t="inlineStr">
        <is>
          <t>—</t>
        </is>
      </c>
      <c r="G8" s="2" t="inlineStr">
        <is>
          <t>200+ объявлений. Маркетплейс инвест-недвижимости, не земля. Эталон объёма платного трафика.</t>
        </is>
      </c>
    </row>
    <row r="9">
      <c r="A9" t="inlineStr">
        <is>
          <t>Cardone Capital</t>
        </is>
      </c>
      <c r="B9" t="inlineStr">
        <is>
          <t>БЕНЧМАРК (не земельный игрок)</t>
        </is>
      </c>
      <c r="C9" t="inlineStr">
        <is>
          <t>cardonecapital.com</t>
        </is>
      </c>
      <c r="D9" s="13" t="n">
        <v>69</v>
      </c>
      <c r="E9" s="6" t="n"/>
      <c r="F9" t="inlineStr">
        <is>
          <t>—</t>
        </is>
      </c>
      <c r="G9" s="2" t="inlineStr">
        <is>
          <t xml:space="preserve">3,14 млн подписчиков YouTube, 6 800 видео. 23 из 23 предложений — 506(c), $831 млн продано, 4 526 инвесторов, минимальный чек $100 000. Чистейший пример связки </t>
        </is>
      </c>
    </row>
    <row r="10">
      <c r="A10" t="inlineStr">
        <is>
          <t>Forestar Group (NYSE: FOR)</t>
        </is>
      </c>
      <c r="B10" t="inlineStr">
        <is>
          <t>Топ-20: земельный игрок</t>
        </is>
      </c>
      <c r="C10" t="inlineStr">
        <is>
          <t>forestar.com</t>
        </is>
      </c>
      <c r="D10" s="13" t="n">
        <v>60</v>
      </c>
      <c r="E10" s="6" t="n"/>
      <c r="F10" t="inlineStr">
        <is>
          <t>Да (публичная компания)</t>
        </is>
      </c>
      <c r="G10" s="2" t="inlineStr">
        <is>
          <t>91 700 лотов (62 200 собственных + 29 500 контролируемых), 65 рынков в 24 штатах.</t>
        </is>
      </c>
    </row>
    <row r="11">
      <c r="A11" t="inlineStr">
        <is>
          <t>Origin Investments</t>
        </is>
      </c>
      <c r="B11" t="inlineStr">
        <is>
          <t>БЕНЧМАРК (не земельный игрок)</t>
        </is>
      </c>
      <c r="C11" t="inlineStr">
        <is>
          <t>origininvestments.com</t>
        </is>
      </c>
      <c r="D11" s="13" t="n">
        <v>51</v>
      </c>
      <c r="E11" s="6" t="n"/>
      <c r="F11" t="inlineStr">
        <is>
          <t>—</t>
        </is>
      </c>
      <c r="G11" s="2" t="inlineStr">
        <is>
          <t>51 объявление + 192 видео. Классическая 506(c) контент-воронка.</t>
        </is>
      </c>
    </row>
    <row r="12">
      <c r="A12" t="inlineStr">
        <is>
          <t>CrowdStreet</t>
        </is>
      </c>
      <c r="B12" t="inlineStr">
        <is>
          <t>БЕНЧМАРК (не земельный игрок)</t>
        </is>
      </c>
      <c r="C12" t="inlineStr">
        <is>
          <t>crowdstreet.com</t>
        </is>
      </c>
      <c r="D12" s="13" t="n">
        <v>32</v>
      </c>
      <c r="E12" s="6" t="n"/>
      <c r="F12" t="inlineStr">
        <is>
          <t>—</t>
        </is>
      </c>
      <c r="G12" s="2" t="inlineStr">
        <is>
          <t>Маркетплейс сделок, не землевладелец.</t>
        </is>
      </c>
    </row>
    <row r="13">
      <c r="A13" t="inlineStr">
        <is>
          <t>RealtyMogul</t>
        </is>
      </c>
      <c r="B13" t="inlineStr">
        <is>
          <t>БЕНЧМАРК (не земельный игрок)</t>
        </is>
      </c>
      <c r="C13" t="inlineStr">
        <is>
          <t>realtymogul.com</t>
        </is>
      </c>
      <c r="D13" s="13" t="n">
        <v>29</v>
      </c>
      <c r="E13" s="6" t="n"/>
      <c r="F13" t="inlineStr">
        <is>
          <t>—</t>
        </is>
      </c>
      <c r="G13" s="2" t="inlineStr">
        <is>
          <t>131 Reg D-эмитент — рекорд выборки по числу структур.</t>
        </is>
      </c>
    </row>
    <row r="14">
      <c r="A14" t="inlineStr">
        <is>
          <t>Caliber (NASDAQ: CWD)</t>
        </is>
      </c>
      <c r="B14" t="inlineStr">
        <is>
          <t>Топ-20: розничный фонд</t>
        </is>
      </c>
      <c r="C14" t="inlineStr">
        <is>
          <t>caliberco.com</t>
        </is>
      </c>
      <c r="D14" s="13" t="n">
        <v>24</v>
      </c>
      <c r="E14" s="6" t="n">
        <v>57.7</v>
      </c>
      <c r="F14" t="inlineStr">
        <is>
          <t>Да (публичная компания)</t>
        </is>
      </c>
      <c r="G14" s="2" t="inlineStr">
        <is>
          <t>$2,9 млрд AUM+AUD, $1,32 млрд продано по формам D, 4 547 инвесторов. 39 форм D с 2024 — высокая текущая активность.</t>
        </is>
      </c>
    </row>
    <row r="15">
      <c r="A15" t="inlineStr">
        <is>
          <t>FarmTogether</t>
        </is>
      </c>
      <c r="B15" t="inlineStr">
        <is>
          <t>Топ-20: розничный фонд</t>
        </is>
      </c>
      <c r="C15" t="inlineStr">
        <is>
          <t>farmtogether.com</t>
        </is>
      </c>
      <c r="D15" s="13" t="n">
        <v>24</v>
      </c>
      <c r="E15" s="6" t="n">
        <v>93.3</v>
      </c>
      <c r="F15" t="inlineStr">
        <is>
          <t>Да — почти всё 506(c)</t>
        </is>
      </c>
      <c r="G15" s="2" t="inlineStr">
        <is>
          <t>44 Reg D-эмитента, 56/60 — 506(c). Самый активный платный рекламодатель среди землевладельческих структур.</t>
        </is>
      </c>
    </row>
    <row r="16">
      <c r="A16" t="inlineStr">
        <is>
          <t>MLG Capital</t>
        </is>
      </c>
      <c r="B16" t="inlineStr">
        <is>
          <t>Топ-20: розничный фонд</t>
        </is>
      </c>
      <c r="C16" t="inlineStr">
        <is>
          <t>mlgcapital.com</t>
        </is>
      </c>
      <c r="D16" s="13" t="n">
        <v>22</v>
      </c>
      <c r="E16" s="6" t="n">
        <v>82.40000000000001</v>
      </c>
      <c r="F16" t="inlineStr">
        <is>
          <t>Частично (82% 506(c))</t>
        </is>
      </c>
      <c r="G16" s="2" t="inlineStr">
        <is>
          <t>$8,19 млрд продано по формам D, 4 879 инвесторов, 82,4% предложений — 506(c). 33 145 юнитов, $8,8 млрд рыночной стоимости. Лучший в выборке баланс масштаба и юр</t>
        </is>
      </c>
    </row>
    <row r="17">
      <c r="A17" t="inlineStr">
        <is>
          <t>DLP Capital</t>
        </is>
      </c>
      <c r="B17" t="inlineStr">
        <is>
          <t>Топ-20: розничный фонд</t>
        </is>
      </c>
      <c r="C17" t="inlineStr">
        <is>
          <t>dlpcapital.com</t>
        </is>
      </c>
      <c r="D17" s="10" t="n">
        <v>16</v>
      </c>
      <c r="E17" s="6" t="n">
        <v>73.8</v>
      </c>
      <c r="F17" t="inlineStr">
        <is>
          <t>Частично (74% 506(c))</t>
        </is>
      </c>
      <c r="G17" s="2" t="inlineStr">
        <is>
          <t>31/42 предложений — 506(c). Медианный минимальный чек $200 000 — самый высокий в выборке. 11 550 инвесторов, $4,21 млрд продано. 26 000+ юнитов, 37 штатов.</t>
        </is>
      </c>
    </row>
    <row r="18">
      <c r="A18" t="inlineStr">
        <is>
          <t>Land Advisors Organization</t>
        </is>
      </c>
      <c r="B18" t="inlineStr">
        <is>
          <t>БЕНЧМАРК (не земельный игрок)</t>
        </is>
      </c>
      <c r="C18" t="inlineStr">
        <is>
          <t>landadvisors.com</t>
        </is>
      </c>
      <c r="D18" s="10" t="n">
        <v>16</v>
      </c>
      <c r="E18" s="6" t="n"/>
      <c r="F18" t="inlineStr">
        <is>
          <t>—</t>
        </is>
      </c>
      <c r="G18" s="2" t="inlineStr">
        <is>
          <t>Крупнейший земельный брокер США. Исключён по F3 (брокеридж), но полезен как источник сделок.</t>
        </is>
      </c>
    </row>
    <row r="19">
      <c r="A19" t="inlineStr">
        <is>
          <t>Allied Development</t>
        </is>
      </c>
      <c r="B19" t="inlineStr">
        <is>
          <t>Топ-20: розничный фонд</t>
        </is>
      </c>
      <c r="C19" t="inlineStr">
        <is>
          <t>alliedlandfund.com</t>
        </is>
      </c>
      <c r="D19" s="10" t="n">
        <v>5</v>
      </c>
      <c r="E19" s="6" t="n"/>
      <c r="F19" t="inlineStr">
        <is>
          <t>Нет данных</t>
        </is>
      </c>
      <c r="G19" s="2" t="inlineStr">
        <is>
          <t>30+ завершённых entitlement-проектов. Минимум $100 000. Чистый пример 506(c)-воронки малого масштаба.</t>
        </is>
      </c>
    </row>
    <row r="20">
      <c r="A20" t="inlineStr">
        <is>
          <t>AcreTrader</t>
        </is>
      </c>
      <c r="B20" t="inlineStr">
        <is>
          <t>Топ-20: розничный фонд</t>
        </is>
      </c>
      <c r="C20" t="inlineStr">
        <is>
          <t>acretrader.com</t>
        </is>
      </c>
      <c r="D20" s="10" t="n">
        <v>3</v>
      </c>
      <c r="E20" s="6" t="n">
        <v>100</v>
      </c>
      <c r="F20" t="inlineStr">
        <is>
          <t>Да — почти всё 506(c)</t>
        </is>
      </c>
      <c r="G20" s="2" t="inlineStr">
        <is>
          <t>101 из 101 предложения — 506(c): полное право рекламировать, но лишь 3 объявления. Сознательный выбор контента вместо платного трафика.</t>
        </is>
      </c>
    </row>
    <row r="21">
      <c r="A21" t="inlineStr">
        <is>
          <t>Urban Catalyst</t>
        </is>
      </c>
      <c r="B21" t="inlineStr">
        <is>
          <t>Топ-20: розничный фонд</t>
        </is>
      </c>
      <c r="C21" t="inlineStr">
        <is>
          <t>urbancatalyst.com</t>
        </is>
      </c>
      <c r="D21" s="10" t="n">
        <v>2</v>
      </c>
      <c r="E21" s="6" t="n">
        <v>66.7</v>
      </c>
      <c r="F21" t="inlineStr">
        <is>
          <t>Частично (67% 506(c))</t>
        </is>
      </c>
      <c r="G21" s="2" t="inlineStr">
        <is>
          <t>Fund I: $131 млн от 356 инвесторов — средний чек ~$368 000. 7 ground-up проектов.</t>
        </is>
      </c>
    </row>
    <row r="22">
      <c r="A22" t="inlineStr">
        <is>
          <t>Walton Global</t>
        </is>
      </c>
      <c r="B22" t="inlineStr">
        <is>
          <t>Топ-20: земельный игрок</t>
        </is>
      </c>
      <c r="C22" t="inlineStr">
        <is>
          <t>walton.com</t>
        </is>
      </c>
      <c r="D22" s="7" t="n">
        <v>0</v>
      </c>
      <c r="E22" s="6" t="n">
        <v>0</v>
      </c>
      <c r="F22" t="inlineStr">
        <is>
          <t>НЕТ — всё по 506(b)</t>
        </is>
      </c>
      <c r="G22" s="2" t="inlineStr">
        <is>
          <t>Крупнейший частный land asset manager мира. 52/52 предложений — 506(b): публичная реклама ЗАПРЕЩЕНА юридически. $8,28 млрд продано по формам D.</t>
        </is>
      </c>
    </row>
    <row r="23">
      <c r="A23" t="inlineStr">
        <is>
          <t>Millrose Properties (NYSE: MRP)</t>
        </is>
      </c>
      <c r="B23" t="inlineStr">
        <is>
          <t>Топ-20: земельный игрок</t>
        </is>
      </c>
      <c r="C23" t="inlineStr">
        <is>
          <t>millroseproperties.com</t>
        </is>
      </c>
      <c r="D23" s="7" t="n">
        <v>0</v>
      </c>
      <c r="E23" s="6" t="n"/>
      <c r="F23" t="inlineStr">
        <is>
          <t>Да (публичная компания)</t>
        </is>
      </c>
      <c r="G23" s="2" t="inlineStr">
        <is>
          <t>143 771 homesites в 877 комьюнити в 30 штатах. Активы $9,7 млрд, ожидаемые takedown-поступления $16,3 млрд. Крупнейший земельный банк выборки.</t>
        </is>
      </c>
    </row>
    <row r="24">
      <c r="A24" t="inlineStr">
        <is>
          <t>Howard Hughes Holdings (NYSE: HHH)</t>
        </is>
      </c>
      <c r="B24" t="inlineStr">
        <is>
          <t>Топ-20: земельный игрок</t>
        </is>
      </c>
      <c r="C24" t="inlineStr">
        <is>
          <t>howardhughes.com</t>
        </is>
      </c>
      <c r="D24" s="7" t="n">
        <v>0</v>
      </c>
      <c r="E24" s="6" t="n"/>
      <c r="F24" t="inlineStr">
        <is>
          <t>Да (публичная компания)</t>
        </is>
      </c>
      <c r="G24" s="2" t="inlineStr">
        <is>
          <t>118 000+ акров в 5 штатах: Teravalis 37 000, Summerlin 22 500, Bridgeland 11 500.</t>
        </is>
      </c>
    </row>
    <row r="25">
      <c r="A25" t="inlineStr">
        <is>
          <t>The St. Joe Company (NYSE: JOE)</t>
        </is>
      </c>
      <c r="B25" t="inlineStr">
        <is>
          <t>Топ-20: земельный игрок</t>
        </is>
      </c>
      <c r="C25" t="inlineStr">
        <is>
          <t>joe.com</t>
        </is>
      </c>
      <c r="D25" s="7" t="n">
        <v>0</v>
      </c>
      <c r="E25" s="6" t="n"/>
      <c r="F25" t="inlineStr">
        <is>
          <t>Да (публичная компания)</t>
        </is>
      </c>
      <c r="G25" s="2" t="inlineStr">
        <is>
          <t>~165 000 акров, 90% в 15 милях от Мексиканского залива. JV-выручка $56,1 млн за Q1 2026. 12 отелей.</t>
        </is>
      </c>
    </row>
    <row r="26">
      <c r="A26" t="inlineStr">
        <is>
          <t>GSP REI</t>
        </is>
      </c>
      <c r="B26" t="inlineStr">
        <is>
          <t>Топ-20: розничный фонд</t>
        </is>
      </c>
      <c r="C26" t="inlineStr">
        <is>
          <t>gsprei.com</t>
        </is>
      </c>
      <c r="D26" s="7" t="n">
        <v>0</v>
      </c>
      <c r="E26" s="6" t="n">
        <v>9.199999999999999</v>
      </c>
      <c r="F26" t="inlineStr">
        <is>
          <t>Частично (9% 506(c))</t>
        </is>
      </c>
      <c r="G26" s="2" t="inlineStr">
        <is>
          <t>57 Reg D-эмитентов, 78 форм D, 38 с 2024 — второй по текущей активности. $1,70 млрд продано, 1 647 инвесторов. Но лишь 9,2% предложений — 506(c): отсюда ноль ре</t>
        </is>
      </c>
    </row>
    <row r="27">
      <c r="A27" t="inlineStr">
        <is>
          <t>Domain Real Estate Partners</t>
        </is>
      </c>
      <c r="B27" t="inlineStr">
        <is>
          <t>Топ-20: земельный игрок</t>
        </is>
      </c>
      <c r="C27" t="inlineStr">
        <is>
          <t>domainrealestatepartners.com</t>
        </is>
      </c>
      <c r="D27" s="7" t="n">
        <v>0</v>
      </c>
      <c r="E27" s="6" t="n"/>
      <c r="F27" t="inlineStr">
        <is>
          <t>Нет данных</t>
        </is>
      </c>
      <c r="G27" s="2" t="inlineStr">
        <is>
          <t>720+ проектов, ~$16 млрд совокупной стоимости, $6 млрд развёрнуто. Основан в 2015. Розничной рекламы нет.</t>
        </is>
      </c>
    </row>
    <row r="28">
      <c r="A28" t="inlineStr">
        <is>
          <t>Crow Holdings</t>
        </is>
      </c>
      <c r="B28" t="inlineStr">
        <is>
          <t>Топ-20: земельный игрок</t>
        </is>
      </c>
      <c r="C28" t="inlineStr">
        <is>
          <t>crowholdings.com</t>
        </is>
      </c>
      <c r="D28" s="7" t="n">
        <v>0</v>
      </c>
      <c r="E28" s="6" t="n">
        <v>0</v>
      </c>
      <c r="F28" t="inlineStr">
        <is>
          <t>НЕТ — всё по 506(b)</t>
        </is>
      </c>
      <c r="G28" s="2" t="inlineStr">
        <is>
          <t>САМЫЕ КРУПНЫЕ ЧЕКИ ВЫБОРКИ: медианный минимальный чек $5 000 000. $38,2 млрд продано по формам D, 2 350 инвесторов, 54 из 54 предложений — 506(b). Эталон искомо</t>
        </is>
      </c>
    </row>
    <row r="29">
      <c r="A29" t="inlineStr">
        <is>
          <t>BTI Partners</t>
        </is>
      </c>
      <c r="B29" t="inlineStr">
        <is>
          <t>Топ-20: земельный игрок</t>
        </is>
      </c>
      <c r="C29" t="inlineStr">
        <is>
          <t>btipartners.com</t>
        </is>
      </c>
      <c r="D29" s="7" t="n">
        <v>0</v>
      </c>
      <c r="E29" s="6" t="n"/>
      <c r="F29" t="inlineStr">
        <is>
          <t>Нет данных</t>
        </is>
      </c>
      <c r="G29" s="2" t="inlineStr">
        <is>
          <t>~12 000 акров приобретено/контролируется, $3,6 млрд сделок, 18 000 юнитов построено. 2 091 акр в Джексонвилле ($53,2 млн, апрель 2026) + 7 850 акров в Clay Coun</t>
        </is>
      </c>
    </row>
    <row r="30">
      <c r="A30" t="inlineStr">
        <is>
          <t>Tejon Ranch Co (NYSE: TRC)</t>
        </is>
      </c>
      <c r="B30" t="inlineStr">
        <is>
          <t>Топ-20: земельный игрок</t>
        </is>
      </c>
      <c r="C30" t="inlineStr">
        <is>
          <t>tejonranch.com</t>
        </is>
      </c>
      <c r="D30" s="7" t="n">
        <v>0</v>
      </c>
      <c r="E30" s="6" t="n"/>
      <c r="F30" t="inlineStr">
        <is>
          <t>Да (публичная компания)</t>
        </is>
      </c>
      <c r="G30" s="2" t="inlineStr">
        <is>
          <t>270 000 акров — эталон модели 'не продаём, а участвуем'. YouTube: 5 подписчиков, 1 видео за всю историю.</t>
        </is>
      </c>
    </row>
    <row r="31">
      <c r="A31" t="inlineStr">
        <is>
          <t>13th Floor Investments</t>
        </is>
      </c>
      <c r="B31" t="inlineStr">
        <is>
          <t>Топ-20: земельный игрок</t>
        </is>
      </c>
      <c r="C31" t="inlineStr">
        <is>
          <t>13fi.com</t>
        </is>
      </c>
      <c r="D31" s="7" t="n">
        <v>0</v>
      </c>
      <c r="E31" s="6" t="n"/>
      <c r="F31" t="inlineStr">
        <is>
          <t>Нет данных</t>
        </is>
      </c>
      <c r="G31" s="2" t="inlineStr">
        <is>
          <t>$5 млрд+ недвижимости под управлением, 70+ сделок за 17 лет, 40+ профессионалов. Таргет 2,0x / 20%+.</t>
        </is>
      </c>
    </row>
    <row r="32">
      <c r="A32" t="inlineStr">
        <is>
          <t>Five Point Holdings (NYSE: FPH)</t>
        </is>
      </c>
      <c r="B32" t="inlineStr">
        <is>
          <t>Топ-20: земельный игрок</t>
        </is>
      </c>
      <c r="C32" t="inlineStr">
        <is>
          <t>fivepoint.com</t>
        </is>
      </c>
      <c r="D32" s="7" t="n">
        <v>0</v>
      </c>
      <c r="E32" s="6" t="n"/>
      <c r="F32" t="inlineStr">
        <is>
          <t>Да (публичная компания)</t>
        </is>
      </c>
      <c r="G32" s="2" t="inlineStr">
        <is>
          <t>Valencia 21 500 homesites, Great Park 2 100 акров / 11 856 домов, Candlestick 280 акров / 7 200 домов.</t>
        </is>
      </c>
    </row>
    <row r="33">
      <c r="A33" t="inlineStr">
        <is>
          <t>Bedrock Land Finance (TWG Global)</t>
        </is>
      </c>
      <c r="B33" t="inlineStr">
        <is>
          <t>Топ-20: земельный игрок</t>
        </is>
      </c>
      <c r="C33" t="inlineStr">
        <is>
          <t>bedrocklandfinance.com</t>
        </is>
      </c>
      <c r="D33" s="7" t="n">
        <v>0</v>
      </c>
      <c r="E33" s="6" t="n"/>
      <c r="F33" t="inlineStr">
        <is>
          <t>Нет данных</t>
        </is>
      </c>
      <c r="G33" s="2" t="inlineStr">
        <is>
          <t>Цель — профинансировать не менее $5 млрд девелопмента. Розничной рекламы нет в принципе.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14" customWidth="1" min="3" max="3"/>
    <col width="15" customWidth="1" min="4" max="4"/>
    <col width="32" customWidth="1" min="5" max="5"/>
    <col width="14" customWidth="1" min="6" max="6"/>
    <col width="22" customWidth="1" min="7" max="7"/>
    <col width="12" customWidth="1" min="8" max="8"/>
    <col width="19" customWidth="1" min="9" max="9"/>
  </cols>
  <sheetData>
    <row r="1">
      <c r="A1" s="1" t="inlineStr">
        <is>
          <t>Выгрузка SEC EDGAR Form D — доказательная база по структурам, суммам и чекам</t>
        </is>
      </c>
    </row>
    <row r="2">
      <c r="A2" s="12" t="inlineStr">
        <is>
          <t>Имена эмитентов очищены от совпадений по названию. Суммы — по формам с 2019 г. Не равны AUM.</t>
        </is>
      </c>
    </row>
    <row r="3"/>
    <row r="4" ht="42" customHeight="1">
      <c r="A4" s="4" t="inlineStr">
        <is>
          <t>Компания</t>
        </is>
      </c>
      <c r="B4" s="4" t="inlineStr">
        <is>
          <t>Reg D-эмитентов</t>
        </is>
      </c>
      <c r="C4" s="4" t="inlineStr">
        <is>
          <t>Форм D всего</t>
        </is>
      </c>
      <c r="D4" s="4" t="inlineStr">
        <is>
          <t>Форм D с 2024</t>
        </is>
      </c>
      <c r="E4" s="4" t="inlineStr">
        <is>
          <t>% 506(c) — право рекламировать</t>
        </is>
      </c>
      <c r="F4" s="4" t="inlineStr">
        <is>
          <t>Продано $млн</t>
        </is>
      </c>
      <c r="G4" s="4" t="inlineStr">
        <is>
          <t>Медианный мин. чек $</t>
        </is>
      </c>
      <c r="H4" s="4" t="inlineStr">
        <is>
          <t>Инвесторов</t>
        </is>
      </c>
      <c r="I4" s="4" t="inlineStr">
        <is>
          <t>Google-объявлений</t>
        </is>
      </c>
    </row>
    <row r="5">
      <c r="B5" s="5" t="n"/>
      <c r="C5" s="5" t="n"/>
      <c r="D5" s="5" t="n"/>
      <c r="E5" s="6" t="n"/>
      <c r="F5" s="5" t="n"/>
      <c r="G5" s="5" t="n"/>
      <c r="H5" s="5" t="n"/>
      <c r="I5" s="5" t="n"/>
    </row>
    <row r="6">
      <c r="A6" t="inlineStr">
        <is>
          <t>Crow Holdings</t>
        </is>
      </c>
      <c r="B6" s="5" t="n">
        <v>44</v>
      </c>
      <c r="C6" s="5" t="n">
        <v>84</v>
      </c>
      <c r="D6" s="5" t="n">
        <v>17</v>
      </c>
      <c r="E6" s="14" t="n">
        <v>0</v>
      </c>
      <c r="F6" s="5" t="n">
        <v>38235</v>
      </c>
      <c r="G6" s="5" t="n">
        <v>5000000</v>
      </c>
      <c r="H6" s="5" t="n">
        <v>2350</v>
      </c>
      <c r="I6" s="5" t="n">
        <v>0</v>
      </c>
    </row>
    <row r="7">
      <c r="A7" t="inlineStr">
        <is>
          <t>MLG Capital</t>
        </is>
      </c>
      <c r="B7" s="5" t="n">
        <v>45</v>
      </c>
      <c r="C7" s="5" t="n">
        <v>87</v>
      </c>
      <c r="D7" s="5" t="n">
        <v>22</v>
      </c>
      <c r="E7" s="15" t="n">
        <v>82.40000000000001</v>
      </c>
      <c r="F7" s="5" t="n">
        <v>8194</v>
      </c>
      <c r="G7" s="5" t="n">
        <v>50000</v>
      </c>
      <c r="H7" s="5" t="n">
        <v>4879</v>
      </c>
      <c r="I7" s="5" t="n">
        <v>22</v>
      </c>
    </row>
    <row r="8">
      <c r="A8" t="inlineStr">
        <is>
          <t>Walton Global</t>
        </is>
      </c>
      <c r="B8" s="5" t="n">
        <v>44</v>
      </c>
      <c r="C8" s="5" t="n">
        <v>118</v>
      </c>
      <c r="D8" s="5" t="n">
        <v>6</v>
      </c>
      <c r="E8" s="14" t="n">
        <v>0</v>
      </c>
      <c r="F8" s="5" t="n">
        <v>8276</v>
      </c>
      <c r="G8" s="5" t="n">
        <v>500</v>
      </c>
      <c r="H8" s="5" t="n">
        <v>516</v>
      </c>
      <c r="I8" s="5" t="n">
        <v>0</v>
      </c>
    </row>
    <row r="9">
      <c r="A9" t="inlineStr">
        <is>
          <t>DLP Capital</t>
        </is>
      </c>
      <c r="B9" s="5" t="n">
        <v>22</v>
      </c>
      <c r="C9" s="5" t="n">
        <v>51</v>
      </c>
      <c r="D9" s="5" t="n">
        <v>21</v>
      </c>
      <c r="E9" s="15" t="n">
        <v>73.8</v>
      </c>
      <c r="F9" s="5" t="n">
        <v>4206</v>
      </c>
      <c r="G9" s="5" t="n">
        <v>200000</v>
      </c>
      <c r="H9" s="5" t="n">
        <v>11550</v>
      </c>
      <c r="I9" s="5" t="n">
        <v>16</v>
      </c>
    </row>
    <row r="10">
      <c r="A10" t="inlineStr">
        <is>
          <t>GTIS Partners [набл.]</t>
        </is>
      </c>
      <c r="B10" s="5" t="n">
        <v>41</v>
      </c>
      <c r="C10" s="5" t="n">
        <v>88</v>
      </c>
      <c r="D10" s="5" t="n">
        <v>7</v>
      </c>
      <c r="E10" s="14" t="n">
        <v>15</v>
      </c>
      <c r="F10" s="5" t="n">
        <v>3634</v>
      </c>
      <c r="G10" s="5" t="n">
        <v>100000</v>
      </c>
      <c r="H10" s="5" t="n">
        <v>4000</v>
      </c>
      <c r="I10" s="5" t="n">
        <v>0</v>
      </c>
    </row>
    <row r="11">
      <c r="A11" t="inlineStr">
        <is>
          <t>GSP REI</t>
        </is>
      </c>
      <c r="B11" s="5" t="n">
        <v>57</v>
      </c>
      <c r="C11" s="5" t="n">
        <v>78</v>
      </c>
      <c r="D11" s="5" t="n">
        <v>38</v>
      </c>
      <c r="E11" s="14" t="n">
        <v>9.199999999999999</v>
      </c>
      <c r="F11" s="5" t="n">
        <v>1698</v>
      </c>
      <c r="G11" s="5" t="n">
        <v>25000</v>
      </c>
      <c r="H11" s="5" t="n">
        <v>1647</v>
      </c>
      <c r="I11" s="5" t="n">
        <v>0</v>
      </c>
    </row>
    <row r="12">
      <c r="A12" t="inlineStr">
        <is>
          <t>Caliber</t>
        </is>
      </c>
      <c r="B12" s="5" t="n">
        <v>29</v>
      </c>
      <c r="C12" s="5" t="n">
        <v>106</v>
      </c>
      <c r="D12" s="5" t="n">
        <v>39</v>
      </c>
      <c r="E12" s="16" t="n">
        <v>57.7</v>
      </c>
      <c r="F12" s="5" t="n">
        <v>1321</v>
      </c>
      <c r="G12" s="5" t="n">
        <v>20000</v>
      </c>
      <c r="H12" s="5" t="n">
        <v>4547</v>
      </c>
      <c r="I12" s="5" t="n">
        <v>24</v>
      </c>
    </row>
    <row r="13">
      <c r="A13" t="inlineStr">
        <is>
          <t>Cardone Capital [бенч.]</t>
        </is>
      </c>
      <c r="B13" s="5" t="n">
        <v>23</v>
      </c>
      <c r="C13" s="5" t="n">
        <v>28</v>
      </c>
      <c r="D13" s="5" t="n">
        <v>7</v>
      </c>
      <c r="E13" s="15" t="n">
        <v>100</v>
      </c>
      <c r="F13" s="5" t="n">
        <v>831</v>
      </c>
      <c r="G13" s="5" t="n">
        <v>100000</v>
      </c>
      <c r="H13" s="5" t="n">
        <v>4526</v>
      </c>
      <c r="I13" s="5" t="n">
        <v>69</v>
      </c>
    </row>
    <row r="14">
      <c r="A14" t="inlineStr">
        <is>
          <t>NexMetro [набл.]</t>
        </is>
      </c>
      <c r="B14" s="5" t="n">
        <v>13</v>
      </c>
      <c r="C14" s="5" t="n">
        <v>35</v>
      </c>
      <c r="D14" s="5" t="n">
        <v>16</v>
      </c>
      <c r="E14" s="16" t="n">
        <v>31.4</v>
      </c>
      <c r="F14" s="5" t="n">
        <v>470</v>
      </c>
      <c r="G14" s="5" t="n">
        <v>10000</v>
      </c>
      <c r="H14" s="5" t="n">
        <v>835</v>
      </c>
      <c r="I14" s="5" t="n">
        <v>0</v>
      </c>
    </row>
    <row r="15">
      <c r="A15" t="inlineStr">
        <is>
          <t>FarmTogether</t>
        </is>
      </c>
      <c r="B15" s="5" t="n">
        <v>44</v>
      </c>
      <c r="C15" s="5" t="n">
        <v>60</v>
      </c>
      <c r="D15" s="5" t="n">
        <v>10</v>
      </c>
      <c r="E15" s="15" t="n">
        <v>93.3</v>
      </c>
      <c r="F15" s="5" t="n">
        <v>260</v>
      </c>
      <c r="G15" s="5" t="n">
        <v>15000</v>
      </c>
      <c r="H15" s="5" t="n">
        <v>5891</v>
      </c>
      <c r="I15" s="5" t="n">
        <v>24</v>
      </c>
    </row>
    <row r="16">
      <c r="A16" t="inlineStr">
        <is>
          <t>AcreTrader</t>
        </is>
      </c>
      <c r="B16" s="5" t="n">
        <v>100</v>
      </c>
      <c r="C16" s="5" t="n">
        <v>101</v>
      </c>
      <c r="D16" s="5" t="n">
        <v>1</v>
      </c>
      <c r="E16" s="15" t="n">
        <v>100</v>
      </c>
      <c r="F16" s="5" t="n">
        <v>186</v>
      </c>
      <c r="G16" s="5" t="n">
        <v>17125</v>
      </c>
      <c r="H16" s="5" t="n">
        <v>7035</v>
      </c>
      <c r="I16" s="5" t="n">
        <v>3</v>
      </c>
    </row>
    <row r="17">
      <c r="A17" t="inlineStr">
        <is>
          <t>Urban Catalyst</t>
        </is>
      </c>
      <c r="B17" s="5" t="n">
        <v>5</v>
      </c>
      <c r="C17" s="5" t="n">
        <v>8</v>
      </c>
      <c r="D17" s="5" t="n">
        <v>0</v>
      </c>
      <c r="E17" s="16" t="n">
        <v>66.7</v>
      </c>
      <c r="F17" s="5" t="n">
        <v>13</v>
      </c>
      <c r="G17" s="5" t="n">
        <v>100000</v>
      </c>
      <c r="H17" s="5" t="n">
        <v>27</v>
      </c>
      <c r="I17" s="5" t="n">
        <v>2</v>
      </c>
    </row>
    <row r="18">
      <c r="A18" t="inlineStr">
        <is>
          <t>RealtyMogul [бенч.]</t>
        </is>
      </c>
      <c r="B18" s="5" t="n">
        <v>131</v>
      </c>
      <c r="C18" s="5" t="n">
        <v>212</v>
      </c>
      <c r="D18" s="5" t="n">
        <v>0</v>
      </c>
      <c r="E18" s="6" t="n"/>
      <c r="F18" s="5" t="n"/>
      <c r="G18" s="5" t="n"/>
      <c r="H18" s="5" t="n"/>
      <c r="I18" s="5" t="n">
        <v>29</v>
      </c>
    </row>
    <row r="19">
      <c r="A19" t="inlineStr">
        <is>
          <t>EquityMultiple [бенч.]</t>
        </is>
      </c>
      <c r="B19" s="5" t="n">
        <v>100</v>
      </c>
      <c r="C19" s="5" t="n">
        <v>102</v>
      </c>
      <c r="D19" s="5" t="n">
        <v>0</v>
      </c>
      <c r="E19" s="6" t="n"/>
      <c r="F19" s="5" t="n"/>
      <c r="G19" s="5" t="n"/>
      <c r="H19" s="5" t="n"/>
      <c r="I19" s="5" t="n">
        <v>7</v>
      </c>
    </row>
    <row r="20">
      <c r="A20" t="inlineStr">
        <is>
          <t>Fundrise [бенч.]</t>
        </is>
      </c>
      <c r="B20" s="5" t="n">
        <v>42</v>
      </c>
      <c r="C20" s="5" t="n">
        <v>118</v>
      </c>
      <c r="D20" s="5" t="n">
        <v>13</v>
      </c>
      <c r="E20" s="6" t="n"/>
      <c r="F20" s="5" t="n"/>
      <c r="G20" s="5" t="n"/>
      <c r="H20" s="5" t="n"/>
      <c r="I20" s="5" t="n">
        <v>200</v>
      </c>
    </row>
    <row r="21">
      <c r="A21" t="inlineStr">
        <is>
          <t>Hines [набл.]</t>
        </is>
      </c>
      <c r="B21" s="5" t="n">
        <v>33</v>
      </c>
      <c r="C21" s="5" t="n">
        <v>228</v>
      </c>
      <c r="D21" s="5" t="n">
        <v>61</v>
      </c>
      <c r="E21" s="6" t="n"/>
      <c r="F21" s="5" t="n"/>
      <c r="G21" s="5" t="n"/>
      <c r="H21" s="5" t="n"/>
      <c r="I21" s="5" t="n">
        <v>4</v>
      </c>
    </row>
    <row r="22">
      <c r="A22" t="inlineStr">
        <is>
          <t>Belpointe OZ [набл.]</t>
        </is>
      </c>
      <c r="B22" s="5" t="n">
        <v>7</v>
      </c>
      <c r="C22" s="5" t="n">
        <v>30</v>
      </c>
      <c r="D22" s="5" t="n">
        <v>4</v>
      </c>
      <c r="E22" s="6" t="n"/>
      <c r="F22" s="5" t="n"/>
      <c r="G22" s="5" t="n"/>
      <c r="H22" s="5" t="n"/>
      <c r="I22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7" customWidth="1" min="10" max="10"/>
    <col width="23" customWidth="1" min="11" max="11"/>
    <col width="17" customWidth="1" min="12" max="12"/>
    <col width="19" customWidth="1" min="13" max="13"/>
    <col width="70" customWidth="1" min="14" max="14"/>
  </cols>
  <sheetData>
    <row r="1">
      <c r="A1" s="1" t="inlineStr">
        <is>
          <t>МОДЕЛЬНАЯ ОЦЕНКА бюджета привлечения капитала — НЕ факт</t>
        </is>
      </c>
    </row>
    <row r="2">
      <c r="A2" s="12" t="inlineStr">
        <is>
          <t>Бюджет = Годовой объём привлечения × Ставка затрат на привлечение. Ставка зависит от модели дистрибуции (бенчмарки индустрии). Точность — порядок величины.</t>
        </is>
      </c>
    </row>
    <row r="3"/>
    <row r="4" ht="42" customHeight="1">
      <c r="A4" s="4" t="inlineStr">
        <is>
          <t>#</t>
        </is>
      </c>
      <c r="B4" s="4" t="inlineStr">
        <is>
          <t>Компания</t>
        </is>
      </c>
      <c r="C4" s="4" t="inlineStr">
        <is>
          <t>Модель дистрибуции</t>
        </is>
      </c>
      <c r="D4" s="4" t="inlineStr">
        <is>
          <t>Годовое привлечение $млн (оценка)</t>
        </is>
      </c>
      <c r="E4" s="4" t="inlineStr">
        <is>
          <t>Ставка от, %</t>
        </is>
      </c>
      <c r="F4" s="4" t="inlineStr">
        <is>
          <t>Ставка до, %</t>
        </is>
      </c>
      <c r="G4" s="4" t="inlineStr">
        <is>
          <t>Бюджет от $млн</t>
        </is>
      </c>
      <c r="H4" s="4" t="inlineStr">
        <is>
          <t>Бюджет до $млн</t>
        </is>
      </c>
      <c r="I4" s="4" t="inlineStr">
        <is>
          <t>Бюджет средн. $млн</t>
        </is>
      </c>
      <c r="J4" s="4" t="inlineStr">
        <is>
          <t>в т.ч. платное медиа $млн</t>
        </is>
      </c>
      <c r="K4" s="4" t="inlineStr">
        <is>
          <t>Google-объявл. (факт)</t>
        </is>
      </c>
      <c r="L4" s="4" t="inlineStr">
        <is>
          <t>% 506(c) (факт)</t>
        </is>
      </c>
      <c r="M4" s="4" t="inlineStr">
        <is>
          <t>Инвесторов (факт)</t>
        </is>
      </c>
      <c r="N4" s="4" t="inlineStr">
        <is>
          <t>Обоснование</t>
        </is>
      </c>
    </row>
    <row r="5">
      <c r="D5" s="17" t="n"/>
      <c r="G5" s="17" t="n"/>
      <c r="H5" s="17" t="n"/>
      <c r="I5" s="17" t="n"/>
      <c r="J5" s="17" t="n"/>
      <c r="N5" s="2" t="n"/>
    </row>
    <row r="6">
      <c r="A6" t="inlineStr">
        <is>
          <t>1</t>
        </is>
      </c>
      <c r="B6" t="inlineStr">
        <is>
          <t>Walton Global</t>
        </is>
      </c>
      <c r="C6" t="inlineStr">
        <is>
          <t>Дистрибьюторская сеть (BD/RIA/агенты)</t>
        </is>
      </c>
      <c r="D6" s="17" t="n">
        <v>400</v>
      </c>
      <c r="E6" t="n">
        <v>5</v>
      </c>
      <c r="F6" t="n">
        <v>8</v>
      </c>
      <c r="G6" s="17" t="n">
        <v>20</v>
      </c>
      <c r="H6" s="17" t="n">
        <v>32</v>
      </c>
      <c r="I6" s="17" t="n">
        <v>26</v>
      </c>
      <c r="J6" s="17" t="n">
        <v>0.26</v>
      </c>
      <c r="K6" t="inlineStr">
        <is>
          <t>0</t>
        </is>
      </c>
      <c r="L6" t="inlineStr">
        <is>
          <t>0.0</t>
        </is>
      </c>
      <c r="M6" t="inlineStr">
        <is>
          <t>89000</t>
        </is>
      </c>
      <c r="N6" s="2" t="inlineStr">
        <is>
          <t>$3,14 млрд распределено за историю; 89 000 инвесторов; 300+ каналов; 0% 506(c)</t>
        </is>
      </c>
    </row>
    <row r="7">
      <c r="A7" t="inlineStr">
        <is>
          <t>3</t>
        </is>
      </c>
      <c r="B7" t="inlineStr">
        <is>
          <t>DLP Capital</t>
        </is>
      </c>
      <c r="C7" t="inlineStr">
        <is>
          <t>Прямая цифровая воронка 506(c)</t>
        </is>
      </c>
      <c r="D7" s="17" t="n">
        <v>500</v>
      </c>
      <c r="E7" t="n">
        <v>1.5</v>
      </c>
      <c r="F7" t="n">
        <v>3</v>
      </c>
      <c r="G7" s="17" t="n">
        <v>7.5</v>
      </c>
      <c r="H7" s="17" t="n">
        <v>15</v>
      </c>
      <c r="I7" s="17" t="n">
        <v>11.25</v>
      </c>
      <c r="J7" s="17" t="n">
        <v>4.725</v>
      </c>
      <c r="K7" t="inlineStr">
        <is>
          <t>16</t>
        </is>
      </c>
      <c r="L7" t="inlineStr">
        <is>
          <t>73.8</t>
        </is>
      </c>
      <c r="M7" t="inlineStr">
        <is>
          <t>11550</t>
        </is>
      </c>
      <c r="N7" s="2" t="inlineStr">
        <is>
          <t>$4,21 млрд продано по формам D; 11 550 инвесторов; 74% 506(c); 16 объявлений</t>
        </is>
      </c>
    </row>
    <row r="8">
      <c r="A8" t="inlineStr">
        <is>
          <t>12</t>
        </is>
      </c>
      <c r="B8" t="inlineStr">
        <is>
          <t>Domain Real Estate Partners</t>
        </is>
      </c>
      <c r="C8" t="inlineStr">
        <is>
          <t>Институциональные LP / placement agents</t>
        </is>
      </c>
      <c r="D8" s="17" t="n">
        <v>1500</v>
      </c>
      <c r="E8" t="n">
        <v>0.3</v>
      </c>
      <c r="F8" t="n">
        <v>1</v>
      </c>
      <c r="G8" s="17" t="n">
        <v>4.5</v>
      </c>
      <c r="H8" s="17" t="n">
        <v>15</v>
      </c>
      <c r="I8" s="17" t="n">
        <v>9.75</v>
      </c>
      <c r="J8" s="17" t="n">
        <v>0.195</v>
      </c>
      <c r="K8" t="inlineStr">
        <is>
          <t>0</t>
        </is>
      </c>
      <c r="L8" t="inlineStr"/>
      <c r="M8" t="inlineStr"/>
      <c r="N8" s="2" t="inlineStr">
        <is>
          <t>$6 млрд развёрнуто; партнёрство с PGIM; 0 объявлений</t>
        </is>
      </c>
    </row>
    <row r="9">
      <c r="A9" t="inlineStr">
        <is>
          <t>5</t>
        </is>
      </c>
      <c r="B9" t="inlineStr">
        <is>
          <t>MLG Capital</t>
        </is>
      </c>
      <c r="C9" t="inlineStr">
        <is>
          <t>Прямая цифровая воронка 506(c)</t>
        </is>
      </c>
      <c r="D9" s="17" t="n">
        <v>250</v>
      </c>
      <c r="E9" t="n">
        <v>1.5</v>
      </c>
      <c r="F9" t="n">
        <v>3</v>
      </c>
      <c r="G9" s="17" t="n">
        <v>3.75</v>
      </c>
      <c r="H9" s="17" t="n">
        <v>7.5</v>
      </c>
      <c r="I9" s="17" t="n">
        <v>5.62</v>
      </c>
      <c r="J9" s="17" t="n">
        <v>2.362</v>
      </c>
      <c r="K9" t="inlineStr">
        <is>
          <t>22</t>
        </is>
      </c>
      <c r="L9" t="inlineStr">
        <is>
          <t>82.4</t>
        </is>
      </c>
      <c r="M9" t="inlineStr">
        <is>
          <t>4879</t>
        </is>
      </c>
      <c r="N9" s="2" t="inlineStr">
        <is>
          <t>Fund VI таргет $400 млн; 22 объявления; дистрибуция через advisors</t>
        </is>
      </c>
    </row>
    <row r="10">
      <c r="A10" t="inlineStr">
        <is>
          <t>13</t>
        </is>
      </c>
      <c r="B10" t="inlineStr">
        <is>
          <t>Crow Holdings</t>
        </is>
      </c>
      <c r="C10" t="inlineStr">
        <is>
          <t>Институциональные LP / placement agents</t>
        </is>
      </c>
      <c r="D10" s="17" t="n">
        <v>800</v>
      </c>
      <c r="E10" t="n">
        <v>0.3</v>
      </c>
      <c r="F10" t="n">
        <v>1</v>
      </c>
      <c r="G10" s="17" t="n">
        <v>2.4</v>
      </c>
      <c r="H10" s="17" t="n">
        <v>8</v>
      </c>
      <c r="I10" s="17" t="n">
        <v>5.2</v>
      </c>
      <c r="J10" s="17" t="n">
        <v>0.104</v>
      </c>
      <c r="K10" t="inlineStr">
        <is>
          <t>0</t>
        </is>
      </c>
      <c r="L10" t="inlineStr">
        <is>
          <t>0.0</t>
        </is>
      </c>
      <c r="M10" t="inlineStr">
        <is>
          <t>2350</t>
        </is>
      </c>
      <c r="N10" s="2" t="inlineStr">
        <is>
          <t>44 Reg D-эмитента; AUM ~$33 млрд; институциональные LP</t>
        </is>
      </c>
    </row>
    <row r="11">
      <c r="A11" t="inlineStr">
        <is>
          <t>20</t>
        </is>
      </c>
      <c r="B11" t="inlineStr">
        <is>
          <t>Bedrock Land Finance (TWG Global)</t>
        </is>
      </c>
      <c r="C11" t="inlineStr">
        <is>
          <t>Институциональные LP / placement agents</t>
        </is>
      </c>
      <c r="D11" s="17" t="n">
        <v>800</v>
      </c>
      <c r="E11" t="n">
        <v>0.3</v>
      </c>
      <c r="F11" t="n">
        <v>1</v>
      </c>
      <c r="G11" s="17" t="n">
        <v>2.4</v>
      </c>
      <c r="H11" s="17" t="n">
        <v>8</v>
      </c>
      <c r="I11" s="17" t="n">
        <v>5.2</v>
      </c>
      <c r="J11" s="17" t="n">
        <v>0.104</v>
      </c>
      <c r="K11" t="inlineStr">
        <is>
          <t>0</t>
        </is>
      </c>
      <c r="L11" t="inlineStr"/>
      <c r="M11" t="inlineStr"/>
      <c r="N11" s="2" t="inlineStr">
        <is>
          <t>Цель $5 млрд; эксклюзивный партнёр Guggenheim</t>
        </is>
      </c>
    </row>
    <row r="12">
      <c r="A12" t="inlineStr">
        <is>
          <t>2</t>
        </is>
      </c>
      <c r="B12" t="inlineStr">
        <is>
          <t>Millrose Properties (NYSE: MRP)</t>
        </is>
      </c>
      <c r="C12" t="inlineStr">
        <is>
          <t>Публичный рынок (IR, не маркетинг)</t>
        </is>
      </c>
      <c r="D12" s="17" t="n">
        <v>1500</v>
      </c>
      <c r="E12" t="n">
        <v>0.1</v>
      </c>
      <c r="F12" t="n">
        <v>0.5</v>
      </c>
      <c r="G12" s="17" t="n">
        <v>1.5</v>
      </c>
      <c r="H12" s="17" t="n">
        <v>7.5</v>
      </c>
      <c r="I12" s="17" t="n">
        <v>4.5</v>
      </c>
      <c r="J12" s="17" t="n">
        <v>0.585</v>
      </c>
      <c r="K12" t="inlineStr">
        <is>
          <t>0</t>
        </is>
      </c>
      <c r="L12" t="inlineStr"/>
      <c r="M12" t="inlineStr"/>
      <c r="N12" s="2" t="inlineStr">
        <is>
          <t>Публичный REIT, активы $9,7 млрд; капитал с рынка, не из рекламы</t>
        </is>
      </c>
    </row>
    <row r="13">
      <c r="A13" t="inlineStr">
        <is>
          <t>4</t>
        </is>
      </c>
      <c r="B13" t="inlineStr">
        <is>
          <t>Caliber (NASDAQ: CWD)</t>
        </is>
      </c>
      <c r="C13" t="inlineStr">
        <is>
          <t>Прямая цифровая воронка 506(c)</t>
        </is>
      </c>
      <c r="D13" s="17" t="n">
        <v>150</v>
      </c>
      <c r="E13" t="n">
        <v>1.5</v>
      </c>
      <c r="F13" t="n">
        <v>3</v>
      </c>
      <c r="G13" s="17" t="n">
        <v>2.25</v>
      </c>
      <c r="H13" s="17" t="n">
        <v>4.5</v>
      </c>
      <c r="I13" s="17" t="n">
        <v>3.38</v>
      </c>
      <c r="J13" s="17" t="n">
        <v>1.417</v>
      </c>
      <c r="K13" t="inlineStr">
        <is>
          <t>24</t>
        </is>
      </c>
      <c r="L13" t="inlineStr">
        <is>
          <t>57.7</t>
        </is>
      </c>
      <c r="M13" t="inlineStr">
        <is>
          <t>4547</t>
        </is>
      </c>
      <c r="N13" s="2" t="inlineStr">
        <is>
          <t>$1,32 млрд продано; 4 547 инвесторов; 58% 506(c); 24 объявления</t>
        </is>
      </c>
    </row>
    <row r="14">
      <c r="A14" t="inlineStr">
        <is>
          <t>17</t>
        </is>
      </c>
      <c r="B14" t="inlineStr">
        <is>
          <t>13th Floor Investments</t>
        </is>
      </c>
      <c r="C14" t="inlineStr">
        <is>
          <t>Институциональные LP / placement agents</t>
        </is>
      </c>
      <c r="D14" s="17" t="n">
        <v>300</v>
      </c>
      <c r="E14" t="n">
        <v>0.3</v>
      </c>
      <c r="F14" t="n">
        <v>1</v>
      </c>
      <c r="G14" s="17" t="n">
        <v>0.9</v>
      </c>
      <c r="H14" s="17" t="n">
        <v>3</v>
      </c>
      <c r="I14" s="17" t="n">
        <v>1.95</v>
      </c>
      <c r="J14" s="17" t="n">
        <v>0.039</v>
      </c>
      <c r="K14" t="inlineStr">
        <is>
          <t>0</t>
        </is>
      </c>
      <c r="L14" t="inlineStr"/>
      <c r="M14" t="inlineStr"/>
      <c r="N14" s="2" t="inlineStr">
        <is>
          <t>$5 млрд под управлением; 70+ сделок; JV с институционалами</t>
        </is>
      </c>
    </row>
    <row r="15">
      <c r="A15" t="inlineStr">
        <is>
          <t>8</t>
        </is>
      </c>
      <c r="B15" t="inlineStr">
        <is>
          <t>Howard Hughes Holdings (NYSE: HHH)</t>
        </is>
      </c>
      <c r="C15" t="inlineStr">
        <is>
          <t>Публичный рынок (IR, не маркетинг)</t>
        </is>
      </c>
      <c r="D15" s="17" t="n">
        <v>500</v>
      </c>
      <c r="E15" t="n">
        <v>0.1</v>
      </c>
      <c r="F15" t="n">
        <v>0.5</v>
      </c>
      <c r="G15" s="17" t="n">
        <v>0.5</v>
      </c>
      <c r="H15" s="17" t="n">
        <v>2.5</v>
      </c>
      <c r="I15" s="17" t="n">
        <v>1.5</v>
      </c>
      <c r="J15" s="17" t="n">
        <v>0.195</v>
      </c>
      <c r="K15" t="inlineStr">
        <is>
          <t>0</t>
        </is>
      </c>
      <c r="L15" t="inlineStr"/>
      <c r="M15" t="inlineStr"/>
      <c r="N15" s="2" t="inlineStr">
        <is>
          <t>Публичная; потребительская реклама на уровне комьюнити</t>
        </is>
      </c>
    </row>
    <row r="16">
      <c r="A16" t="inlineStr">
        <is>
          <t>11</t>
        </is>
      </c>
      <c r="B16" t="inlineStr">
        <is>
          <t>GSP REI</t>
        </is>
      </c>
      <c r="C16" t="inlineStr">
        <is>
          <t>Прямая цифровая воронка 506(c)</t>
        </is>
      </c>
      <c r="D16" s="17" t="n">
        <v>60</v>
      </c>
      <c r="E16" t="n">
        <v>1.5</v>
      </c>
      <c r="F16" t="n">
        <v>3</v>
      </c>
      <c r="G16" s="17" t="n">
        <v>0.9</v>
      </c>
      <c r="H16" s="17" t="n">
        <v>1.8</v>
      </c>
      <c r="I16" s="17" t="n">
        <v>1.35</v>
      </c>
      <c r="J16" s="17" t="n">
        <v>0.5669999999999999</v>
      </c>
      <c r="K16" t="inlineStr">
        <is>
          <t>0</t>
        </is>
      </c>
      <c r="L16" t="inlineStr">
        <is>
          <t>9.2</t>
        </is>
      </c>
      <c r="M16" t="inlineStr">
        <is>
          <t>1647</t>
        </is>
      </c>
      <c r="N16" s="2" t="inlineStr">
        <is>
          <t>57 Reg D-эмитентов, 38 форм с 2024; минимум $100K; 0 объявлений</t>
        </is>
      </c>
    </row>
    <row r="17">
      <c r="A17" t="inlineStr">
        <is>
          <t>14</t>
        </is>
      </c>
      <c r="B17" t="inlineStr">
        <is>
          <t>BTI Partners</t>
        </is>
      </c>
      <c r="C17" t="inlineStr">
        <is>
          <t>Институциональные LP / placement agents</t>
        </is>
      </c>
      <c r="D17" s="17" t="n">
        <v>200</v>
      </c>
      <c r="E17" t="n">
        <v>0.3</v>
      </c>
      <c r="F17" t="n">
        <v>1</v>
      </c>
      <c r="G17" s="17" t="n">
        <v>0.6</v>
      </c>
      <c r="H17" s="17" t="n">
        <v>2</v>
      </c>
      <c r="I17" s="17" t="n">
        <v>1.3</v>
      </c>
      <c r="J17" s="17" t="n">
        <v>0.026</v>
      </c>
      <c r="K17" t="inlineStr">
        <is>
          <t>0</t>
        </is>
      </c>
      <c r="L17" t="inlineStr"/>
      <c r="M17" t="inlineStr"/>
      <c r="N17" s="2" t="inlineStr">
        <is>
          <t>$3,6 млрд сделок; институциональные партнёры; 0 объявлений</t>
        </is>
      </c>
    </row>
    <row r="18">
      <c r="A18" t="inlineStr">
        <is>
          <t>10</t>
        </is>
      </c>
      <c r="B18" t="inlineStr">
        <is>
          <t>FarmTogether</t>
        </is>
      </c>
      <c r="C18" t="inlineStr">
        <is>
          <t>Прямая цифровая воронка 506(c)</t>
        </is>
      </c>
      <c r="D18" s="17" t="n">
        <v>50</v>
      </c>
      <c r="E18" t="n">
        <v>1.5</v>
      </c>
      <c r="F18" t="n">
        <v>3</v>
      </c>
      <c r="G18" s="17" t="n">
        <v>0.75</v>
      </c>
      <c r="H18" s="17" t="n">
        <v>1.5</v>
      </c>
      <c r="I18" s="17" t="n">
        <v>1.12</v>
      </c>
      <c r="J18" s="17" t="n">
        <v>0.472</v>
      </c>
      <c r="K18" t="inlineStr">
        <is>
          <t>24</t>
        </is>
      </c>
      <c r="L18" t="inlineStr">
        <is>
          <t>93.3</t>
        </is>
      </c>
      <c r="M18" t="inlineStr">
        <is>
          <t>5891</t>
        </is>
      </c>
      <c r="N18" s="2" t="inlineStr">
        <is>
          <t>$260 млн продано; 5 891 инвестор; 93% 506(c); 24 объявления</t>
        </is>
      </c>
    </row>
    <row r="19">
      <c r="A19" t="inlineStr">
        <is>
          <t>6</t>
        </is>
      </c>
      <c r="B19" t="inlineStr">
        <is>
          <t>AcreTrader</t>
        </is>
      </c>
      <c r="C19" t="inlineStr">
        <is>
          <t>Прямая цифровая воронка 506(c)</t>
        </is>
      </c>
      <c r="D19" s="17" t="n">
        <v>40</v>
      </c>
      <c r="E19" t="n">
        <v>1.5</v>
      </c>
      <c r="F19" t="n">
        <v>3</v>
      </c>
      <c r="G19" s="17" t="n">
        <v>0.6</v>
      </c>
      <c r="H19" s="17" t="n">
        <v>1.2</v>
      </c>
      <c r="I19" s="17" t="n">
        <v>0.9</v>
      </c>
      <c r="J19" s="17" t="n">
        <v>0.378</v>
      </c>
      <c r="K19" t="inlineStr">
        <is>
          <t>3</t>
        </is>
      </c>
      <c r="L19" t="inlineStr">
        <is>
          <t>100.0</t>
        </is>
      </c>
      <c r="M19" t="inlineStr">
        <is>
          <t>7035</t>
        </is>
      </c>
      <c r="N19" s="2" t="inlineStr">
        <is>
          <t>$186 млн продано; 7 035 инвесторов; 100% 506(c), но лишь 3 объявления</t>
        </is>
      </c>
    </row>
    <row r="20">
      <c r="A20" t="inlineStr">
        <is>
          <t>7</t>
        </is>
      </c>
      <c r="B20" t="inlineStr">
        <is>
          <t>Forestar Group (NYSE: FOR)</t>
        </is>
      </c>
      <c r="C20" t="inlineStr">
        <is>
          <t>Публичный рынок (IR, не маркетинг)</t>
        </is>
      </c>
      <c r="D20" s="17" t="n">
        <v>300</v>
      </c>
      <c r="E20" t="n">
        <v>0.1</v>
      </c>
      <c r="F20" t="n">
        <v>0.5</v>
      </c>
      <c r="G20" s="17" t="n">
        <v>0.3</v>
      </c>
      <c r="H20" s="17" t="n">
        <v>1.5</v>
      </c>
      <c r="I20" s="17" t="n">
        <v>0.9</v>
      </c>
      <c r="J20" s="17" t="n">
        <v>0.117</v>
      </c>
      <c r="K20" t="inlineStr">
        <is>
          <t>60</t>
        </is>
      </c>
      <c r="L20" t="inlineStr"/>
      <c r="M20" t="inlineStr"/>
      <c r="N20" s="2" t="inlineStr">
        <is>
          <t>Публичная, контроль D.R. Horton; 60 объявлений — B2B/HR, не инвесторы</t>
        </is>
      </c>
    </row>
    <row r="21">
      <c r="A21" t="inlineStr">
        <is>
          <t>18</t>
        </is>
      </c>
      <c r="B21" t="inlineStr">
        <is>
          <t>Urban Catalyst</t>
        </is>
      </c>
      <c r="C21" t="inlineStr">
        <is>
          <t>Прямая цифровая воронка 506(c)</t>
        </is>
      </c>
      <c r="D21" s="17" t="n">
        <v>30</v>
      </c>
      <c r="E21" t="n">
        <v>1.5</v>
      </c>
      <c r="F21" t="n">
        <v>3</v>
      </c>
      <c r="G21" s="17" t="n">
        <v>0.45</v>
      </c>
      <c r="H21" s="17" t="n">
        <v>0.9</v>
      </c>
      <c r="I21" s="17" t="n">
        <v>0.67</v>
      </c>
      <c r="J21" s="17" t="n">
        <v>0.283</v>
      </c>
      <c r="K21" t="inlineStr">
        <is>
          <t>2</t>
        </is>
      </c>
      <c r="L21" t="inlineStr">
        <is>
          <t>66.7</t>
        </is>
      </c>
      <c r="M21" t="inlineStr">
        <is>
          <t>356</t>
        </is>
      </c>
      <c r="N21" s="2" t="inlineStr">
        <is>
          <t>Fund I $131 млн / 356 инвесторов; 67% 506(c); 2 объявления</t>
        </is>
      </c>
    </row>
    <row r="22">
      <c r="A22" t="inlineStr">
        <is>
          <t>9</t>
        </is>
      </c>
      <c r="B22" t="inlineStr">
        <is>
          <t>The St. Joe Company (NYSE: JOE)</t>
        </is>
      </c>
      <c r="C22" t="inlineStr">
        <is>
          <t>Публичный рынок (IR, не маркетинг)</t>
        </is>
      </c>
      <c r="D22" s="17" t="n">
        <v>200</v>
      </c>
      <c r="E22" t="n">
        <v>0.1</v>
      </c>
      <c r="F22" t="n">
        <v>0.5</v>
      </c>
      <c r="G22" s="17" t="n">
        <v>0.2</v>
      </c>
      <c r="H22" s="17" t="n">
        <v>1</v>
      </c>
      <c r="I22" s="17" t="n">
        <v>0.6</v>
      </c>
      <c r="J22" s="17" t="n">
        <v>0.078</v>
      </c>
      <c r="K22" t="inlineStr">
        <is>
          <t>0</t>
        </is>
      </c>
      <c r="L22" t="inlineStr"/>
      <c r="M22" t="inlineStr"/>
      <c r="N22" s="2" t="inlineStr">
        <is>
          <t>Публичная; JV с операторами</t>
        </is>
      </c>
    </row>
    <row r="23">
      <c r="A23" t="inlineStr">
        <is>
          <t>16</t>
        </is>
      </c>
      <c r="B23" t="inlineStr">
        <is>
          <t>Allied Development</t>
        </is>
      </c>
      <c r="C23" t="inlineStr">
        <is>
          <t>Прямая цифровая воронка 506(c)</t>
        </is>
      </c>
      <c r="D23" s="17" t="n">
        <v>25</v>
      </c>
      <c r="E23" t="n">
        <v>1.5</v>
      </c>
      <c r="F23" t="n">
        <v>3</v>
      </c>
      <c r="G23" s="17" t="n">
        <v>0.38</v>
      </c>
      <c r="H23" s="17" t="n">
        <v>0.75</v>
      </c>
      <c r="I23" s="17" t="n">
        <v>0.5600000000000001</v>
      </c>
      <c r="J23" s="17" t="n">
        <v>0.236</v>
      </c>
      <c r="K23" t="inlineStr">
        <is>
          <t>5</t>
        </is>
      </c>
      <c r="L23" t="inlineStr"/>
      <c r="M23" t="inlineStr"/>
      <c r="N23" s="2" t="inlineStr">
        <is>
          <t>30+ entitlement-проектов; воронка Book a Clarity Call; 5 объявлений</t>
        </is>
      </c>
    </row>
    <row r="24">
      <c r="A24" t="inlineStr">
        <is>
          <t>19</t>
        </is>
      </c>
      <c r="B24" t="inlineStr">
        <is>
          <t>Five Point Holdings (NYSE: FPH)</t>
        </is>
      </c>
      <c r="C24" t="inlineStr">
        <is>
          <t>Публичный рынок (IR, не маркетинг)</t>
        </is>
      </c>
      <c r="D24" s="17" t="n">
        <v>150</v>
      </c>
      <c r="E24" t="n">
        <v>0.1</v>
      </c>
      <c r="F24" t="n">
        <v>0.5</v>
      </c>
      <c r="G24" s="17" t="n">
        <v>0.15</v>
      </c>
      <c r="H24" s="17" t="n">
        <v>0.75</v>
      </c>
      <c r="I24" s="17" t="n">
        <v>0.45</v>
      </c>
      <c r="J24" s="17" t="n">
        <v>0.059</v>
      </c>
      <c r="K24" t="inlineStr">
        <is>
          <t>0</t>
        </is>
      </c>
      <c r="L24" t="inlineStr"/>
      <c r="M24" t="inlineStr"/>
      <c r="N24" s="2" t="inlineStr">
        <is>
          <t>Публичная; JV с домостроителями; Hearthstone</t>
        </is>
      </c>
    </row>
    <row r="25">
      <c r="A25" t="inlineStr">
        <is>
          <t>15</t>
        </is>
      </c>
      <c r="B25" t="inlineStr">
        <is>
          <t>Tejon Ranch Co (NYSE: TRC)</t>
        </is>
      </c>
      <c r="C25" t="inlineStr">
        <is>
          <t>Публичный рынок (IR, не маркетинг)</t>
        </is>
      </c>
      <c r="D25" s="17" t="n">
        <v>50</v>
      </c>
      <c r="E25" t="n">
        <v>0.1</v>
      </c>
      <c r="F25" t="n">
        <v>0.5</v>
      </c>
      <c r="G25" s="17" t="n">
        <v>0.05</v>
      </c>
      <c r="H25" s="17" t="n">
        <v>0.25</v>
      </c>
      <c r="I25" s="17" t="n">
        <v>0.15</v>
      </c>
      <c r="J25" s="17" t="n">
        <v>0.019</v>
      </c>
      <c r="K25" t="inlineStr">
        <is>
          <t>0</t>
        </is>
      </c>
      <c r="L25" t="inlineStr"/>
      <c r="M25" t="inlineStr"/>
      <c r="N25" s="2" t="inlineStr">
        <is>
          <t>Публичная; развитие через JV; 1 видео на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pane="bottomLeft" activeCell="A1" sqref="A1"/>
    </sheetView>
  </sheetViews>
  <sheetFormatPr baseColWidth="8" defaultRowHeight="15"/>
  <cols>
    <col width="48" customWidth="1" min="1" max="1"/>
    <col width="41" customWidth="1" min="2" max="2"/>
    <col width="44" customWidth="1" min="3" max="3"/>
    <col width="9" customWidth="1" min="4" max="4"/>
    <col width="19" customWidth="1" min="5" max="5"/>
  </cols>
  <sheetData>
    <row r="1">
      <c r="A1" s="1" t="inlineStr">
        <is>
          <t>Распределение бюджета по каналам — модельная оценка на основе наблюдаемых сигналов</t>
        </is>
      </c>
    </row>
    <row r="2"/>
    <row r="3">
      <c r="A3" s="3" t="inlineStr">
        <is>
          <t>СВОДКА ПО 20 КОМПАНИЯМ</t>
        </is>
      </c>
    </row>
    <row r="4" ht="42" customHeight="1">
      <c r="A4" s="4" t="inlineStr">
        <is>
          <t>Канал</t>
        </is>
      </c>
      <c r="B4" s="4" t="inlineStr">
        <is>
          <t>$млн/год (оценка)</t>
        </is>
      </c>
      <c r="C4" s="4" t="inlineStr">
        <is>
          <t>Доля бюджета, %</t>
        </is>
      </c>
    </row>
    <row r="5"/>
    <row r="6">
      <c r="A6" t="inlineStr">
        <is>
          <t>Комиссии дистрибьюторам и агентам</t>
        </is>
      </c>
      <c r="B6" t="n">
        <v>31.64</v>
      </c>
      <c r="C6" t="n">
        <v>38.4</v>
      </c>
    </row>
    <row r="7">
      <c r="A7" t="inlineStr">
        <is>
          <t>События, роудшоу, конференции</t>
        </is>
      </c>
      <c r="B7" t="n">
        <v>13.24</v>
      </c>
      <c r="C7" t="n">
        <v>16.1</v>
      </c>
    </row>
    <row r="8">
      <c r="A8" t="inlineStr">
        <is>
          <t>Контент, печать, презентационные материалы</t>
        </is>
      </c>
      <c r="B8" t="n">
        <v>11.72</v>
      </c>
      <c r="C8" t="n">
        <v>14.2</v>
      </c>
    </row>
    <row r="9">
      <c r="A9" t="inlineStr">
        <is>
          <t>PR и отраслевые медиа</t>
        </is>
      </c>
      <c r="B9" t="n">
        <v>8.67</v>
      </c>
      <c r="C9" t="n">
        <v>10.5</v>
      </c>
    </row>
    <row r="10">
      <c r="A10" t="inlineStr">
        <is>
          <t>Платный поиск и YouTube</t>
        </is>
      </c>
      <c r="B10" t="n">
        <v>6.61</v>
      </c>
      <c r="C10" t="n">
        <v>8</v>
      </c>
    </row>
    <row r="11">
      <c r="A11" t="inlineStr">
        <is>
          <t>Платные соцсети</t>
        </is>
      </c>
      <c r="B11" t="n">
        <v>5.61</v>
      </c>
      <c r="C11" t="n">
        <v>6.8</v>
      </c>
    </row>
    <row r="12">
      <c r="A12" t="inlineStr">
        <is>
          <t>Email и CRM</t>
        </is>
      </c>
      <c r="B12" t="n">
        <v>4.87</v>
      </c>
      <c r="C12" t="n">
        <v>5.9</v>
      </c>
    </row>
    <row r="13">
      <c r="A13" s="18" t="inlineStr">
        <is>
          <t>ИТОГО</t>
        </is>
      </c>
      <c r="B13" s="18" t="n">
        <v>82.40000000000001</v>
      </c>
      <c r="C13" s="18" t="n">
        <v>100</v>
      </c>
    </row>
    <row r="14">
      <c r="A14" s="3" t="inlineStr">
        <is>
          <t>ПО КОМПАНИЯМ</t>
        </is>
      </c>
    </row>
    <row r="15" ht="42" customHeight="1">
      <c r="A15" s="4" t="n"/>
      <c r="B15" s="4" t="n"/>
      <c r="C15" s="4" t="n"/>
      <c r="D15" s="4" t="n"/>
      <c r="E15" s="4" t="n"/>
    </row>
    <row r="16">
      <c r="A16" t="inlineStr">
        <is>
          <t>Компания</t>
        </is>
      </c>
      <c r="B16" t="inlineStr">
        <is>
          <t>Модель дистрибуции</t>
        </is>
      </c>
      <c r="C16" t="inlineStr">
        <is>
          <t>Канал</t>
        </is>
      </c>
      <c r="D16" t="inlineStr">
        <is>
          <t>Доля, %</t>
        </is>
      </c>
      <c r="E16" t="inlineStr">
        <is>
          <t>$млн/год (оценка)</t>
        </is>
      </c>
    </row>
    <row r="17">
      <c r="A17" t="inlineStr">
        <is>
          <t>Walton Global</t>
        </is>
      </c>
      <c r="B17" t="inlineStr">
        <is>
          <t>Дистрибьюторская сеть (BD/RIA/агенты)</t>
        </is>
      </c>
      <c r="C17" t="inlineStr">
        <is>
          <t>Комиссии дистрибьюторам и агентам</t>
        </is>
      </c>
      <c r="D17" t="n">
        <v>72</v>
      </c>
      <c r="E17" t="n">
        <v>18.72</v>
      </c>
    </row>
    <row r="18">
      <c r="A18" t="inlineStr">
        <is>
          <t>Walton Global</t>
        </is>
      </c>
      <c r="B18" t="inlineStr">
        <is>
          <t>Дистрибьюторская сеть (BD/RIA/агенты)</t>
        </is>
      </c>
      <c r="C18" t="inlineStr">
        <is>
          <t>События, роудшоу, конференции</t>
        </is>
      </c>
      <c r="D18" t="n">
        <v>12</v>
      </c>
      <c r="E18" t="n">
        <v>3.12</v>
      </c>
    </row>
    <row r="19">
      <c r="A19" t="inlineStr">
        <is>
          <t>Walton Global</t>
        </is>
      </c>
      <c r="B19" t="inlineStr">
        <is>
          <t>Дистрибьюторская сеть (BD/RIA/агенты)</t>
        </is>
      </c>
      <c r="C19" t="inlineStr">
        <is>
          <t>Контент, печать, презентационные материалы</t>
        </is>
      </c>
      <c r="D19" t="n">
        <v>7</v>
      </c>
      <c r="E19" t="n">
        <v>1.82</v>
      </c>
    </row>
    <row r="20">
      <c r="A20" t="inlineStr">
        <is>
          <t>Walton Global</t>
        </is>
      </c>
      <c r="B20" t="inlineStr">
        <is>
          <t>Дистрибьюторская сеть (BD/RIA/агенты)</t>
        </is>
      </c>
      <c r="C20" t="inlineStr">
        <is>
          <t>PR и отраслевые медиа</t>
        </is>
      </c>
      <c r="D20" t="n">
        <v>5</v>
      </c>
      <c r="E20" t="n">
        <v>1.3</v>
      </c>
    </row>
    <row r="21">
      <c r="A21" t="inlineStr">
        <is>
          <t>Walton Global</t>
        </is>
      </c>
      <c r="B21" t="inlineStr">
        <is>
          <t>Дистрибьюторская сеть (BD/RIA/агенты)</t>
        </is>
      </c>
      <c r="C21" t="inlineStr">
        <is>
          <t>Платный поиск и YouTube</t>
        </is>
      </c>
      <c r="D21" t="n">
        <v>0</v>
      </c>
      <c r="E21" t="n">
        <v>0</v>
      </c>
    </row>
    <row r="22">
      <c r="A22" t="inlineStr">
        <is>
          <t>Walton Global</t>
        </is>
      </c>
      <c r="B22" t="inlineStr">
        <is>
          <t>Дистрибьюторская сеть (BD/RIA/агенты)</t>
        </is>
      </c>
      <c r="C22" t="inlineStr">
        <is>
          <t>Платные соцсети</t>
        </is>
      </c>
      <c r="D22" t="n">
        <v>1</v>
      </c>
      <c r="E22" t="n">
        <v>0.26</v>
      </c>
    </row>
    <row r="23">
      <c r="A23" t="inlineStr">
        <is>
          <t>Walton Global</t>
        </is>
      </c>
      <c r="B23" t="inlineStr">
        <is>
          <t>Дистрибьюторская сеть (BD/RIA/агенты)</t>
        </is>
      </c>
      <c r="C23" t="inlineStr">
        <is>
          <t>Email и CRM</t>
        </is>
      </c>
      <c r="D23" t="n">
        <v>3</v>
      </c>
      <c r="E23" t="n">
        <v>0.78</v>
      </c>
    </row>
    <row r="24">
      <c r="A24" t="inlineStr">
        <is>
          <t>Millrose Properties (NYSE: MRP)</t>
        </is>
      </c>
      <c r="B24" t="inlineStr">
        <is>
          <t>Публичный рынок (IR, не маркетинг)</t>
        </is>
      </c>
      <c r="C24" t="inlineStr">
        <is>
          <t>Комиссии дистрибьюторам и агентам</t>
        </is>
      </c>
      <c r="D24" t="n">
        <v>5</v>
      </c>
      <c r="E24" t="n">
        <v>0.225</v>
      </c>
    </row>
    <row r="25">
      <c r="A25" t="inlineStr">
        <is>
          <t>Millrose Properties (NYSE: MRP)</t>
        </is>
      </c>
      <c r="B25" t="inlineStr">
        <is>
          <t>Публичный рынок (IR, не маркетинг)</t>
        </is>
      </c>
      <c r="C25" t="inlineStr">
        <is>
          <t>События, роудшоу, конференции</t>
        </is>
      </c>
      <c r="D25" t="n">
        <v>22</v>
      </c>
      <c r="E25" t="n">
        <v>0.99</v>
      </c>
    </row>
    <row r="26">
      <c r="A26" t="inlineStr">
        <is>
          <t>Millrose Properties (NYSE: MRP)</t>
        </is>
      </c>
      <c r="B26" t="inlineStr">
        <is>
          <t>Публичный рынок (IR, не маркетинг)</t>
        </is>
      </c>
      <c r="C26" t="inlineStr">
        <is>
          <t>Контент, печать, презентационные материалы</t>
        </is>
      </c>
      <c r="D26" t="n">
        <v>20</v>
      </c>
      <c r="E26" t="n">
        <v>0.9</v>
      </c>
    </row>
    <row r="27">
      <c r="A27" t="inlineStr">
        <is>
          <t>Millrose Properties (NYSE: MRP)</t>
        </is>
      </c>
      <c r="B27" t="inlineStr">
        <is>
          <t>Публичный рынок (IR, не маркетинг)</t>
        </is>
      </c>
      <c r="C27" t="inlineStr">
        <is>
          <t>PR и отраслевые медиа</t>
        </is>
      </c>
      <c r="D27" t="n">
        <v>35</v>
      </c>
      <c r="E27" t="n">
        <v>1.575</v>
      </c>
    </row>
    <row r="28">
      <c r="A28" t="inlineStr">
        <is>
          <t>Millrose Properties (NYSE: MRP)</t>
        </is>
      </c>
      <c r="B28" t="inlineStr">
        <is>
          <t>Публичный рынок (IR, не маркетинг)</t>
        </is>
      </c>
      <c r="C28" t="inlineStr">
        <is>
          <t>Платный поиск и YouTube</t>
        </is>
      </c>
      <c r="D28" t="n">
        <v>8</v>
      </c>
      <c r="E28" t="n">
        <v>0.36</v>
      </c>
    </row>
    <row r="29">
      <c r="A29" t="inlineStr">
        <is>
          <t>Millrose Properties (NYSE: MRP)</t>
        </is>
      </c>
      <c r="B29" t="inlineStr">
        <is>
          <t>Публичный рынок (IR, не маркетинг)</t>
        </is>
      </c>
      <c r="C29" t="inlineStr">
        <is>
          <t>Платные соцсети</t>
        </is>
      </c>
      <c r="D29" t="n">
        <v>5</v>
      </c>
      <c r="E29" t="n">
        <v>0.225</v>
      </c>
    </row>
    <row r="30">
      <c r="A30" t="inlineStr">
        <is>
          <t>Millrose Properties (NYSE: MRP)</t>
        </is>
      </c>
      <c r="B30" t="inlineStr">
        <is>
          <t>Публичный рынок (IR, не маркетинг)</t>
        </is>
      </c>
      <c r="C30" t="inlineStr">
        <is>
          <t>Email и CRM</t>
        </is>
      </c>
      <c r="D30" t="n">
        <v>5</v>
      </c>
      <c r="E30" t="n">
        <v>0.225</v>
      </c>
    </row>
    <row r="31">
      <c r="A31" t="inlineStr">
        <is>
          <t>DLP Capital</t>
        </is>
      </c>
      <c r="B31" t="inlineStr">
        <is>
          <t>Прямая цифровая воронка 506(c)</t>
        </is>
      </c>
      <c r="C31" t="inlineStr">
        <is>
          <t>Комиссии дистрибьюторам и агентам</t>
        </is>
      </c>
      <c r="D31" t="n">
        <v>8</v>
      </c>
      <c r="E31" t="n">
        <v>0.9</v>
      </c>
    </row>
    <row r="32">
      <c r="A32" t="inlineStr">
        <is>
          <t>DLP Capital</t>
        </is>
      </c>
      <c r="B32" t="inlineStr">
        <is>
          <t>Прямая цифровая воронка 506(c)</t>
        </is>
      </c>
      <c r="C32" t="inlineStr">
        <is>
          <t>События, роудшоу, конференции</t>
        </is>
      </c>
      <c r="D32" t="n">
        <v>10</v>
      </c>
      <c r="E32" t="n">
        <v>1.125</v>
      </c>
    </row>
    <row r="33">
      <c r="A33" t="inlineStr">
        <is>
          <t>DLP Capital</t>
        </is>
      </c>
      <c r="B33" t="inlineStr">
        <is>
          <t>Прямая цифровая воронка 506(c)</t>
        </is>
      </c>
      <c r="C33" t="inlineStr">
        <is>
          <t>Контент, печать, презентационные материалы</t>
        </is>
      </c>
      <c r="D33" t="n">
        <v>22</v>
      </c>
      <c r="E33" t="n">
        <v>2.475</v>
      </c>
    </row>
    <row r="34">
      <c r="A34" t="inlineStr">
        <is>
          <t>DLP Capital</t>
        </is>
      </c>
      <c r="B34" t="inlineStr">
        <is>
          <t>Прямая цифровая воронка 506(c)</t>
        </is>
      </c>
      <c r="C34" t="inlineStr">
        <is>
          <t>PR и отраслевые медиа</t>
        </is>
      </c>
      <c r="D34" t="n">
        <v>6</v>
      </c>
      <c r="E34" t="n">
        <v>0.675</v>
      </c>
    </row>
    <row r="35">
      <c r="A35" t="inlineStr">
        <is>
          <t>DLP Capital</t>
        </is>
      </c>
      <c r="B35" t="inlineStr">
        <is>
          <t>Прямая цифровая воронка 506(c)</t>
        </is>
      </c>
      <c r="C35" t="inlineStr">
        <is>
          <t>Платный поиск и YouTube</t>
        </is>
      </c>
      <c r="D35" t="n">
        <v>24</v>
      </c>
      <c r="E35" t="n">
        <v>2.7</v>
      </c>
    </row>
    <row r="36">
      <c r="A36" t="inlineStr">
        <is>
          <t>DLP Capital</t>
        </is>
      </c>
      <c r="B36" t="inlineStr">
        <is>
          <t>Прямая цифровая воронка 506(c)</t>
        </is>
      </c>
      <c r="C36" t="inlineStr">
        <is>
          <t>Платные соцсети</t>
        </is>
      </c>
      <c r="D36" t="n">
        <v>18</v>
      </c>
      <c r="E36" t="n">
        <v>2.025</v>
      </c>
    </row>
    <row r="37">
      <c r="A37" t="inlineStr">
        <is>
          <t>DLP Capital</t>
        </is>
      </c>
      <c r="B37" t="inlineStr">
        <is>
          <t>Прямая цифровая воронка 506(c)</t>
        </is>
      </c>
      <c r="C37" t="inlineStr">
        <is>
          <t>Email и CRM</t>
        </is>
      </c>
      <c r="D37" t="n">
        <v>12</v>
      </c>
      <c r="E37" t="n">
        <v>1.35</v>
      </c>
    </row>
    <row r="38">
      <c r="A38" t="inlineStr">
        <is>
          <t>Caliber (NASDAQ: CWD)</t>
        </is>
      </c>
      <c r="B38" t="inlineStr">
        <is>
          <t>Прямая цифровая воронка 506(c)</t>
        </is>
      </c>
      <c r="C38" t="inlineStr">
        <is>
          <t>Комиссии дистрибьюторам и агентам</t>
        </is>
      </c>
      <c r="D38" t="n">
        <v>8</v>
      </c>
      <c r="E38" t="n">
        <v>0.27</v>
      </c>
    </row>
    <row r="39">
      <c r="A39" t="inlineStr">
        <is>
          <t>Caliber (NASDAQ: CWD)</t>
        </is>
      </c>
      <c r="B39" t="inlineStr">
        <is>
          <t>Прямая цифровая воронка 506(c)</t>
        </is>
      </c>
      <c r="C39" t="inlineStr">
        <is>
          <t>События, роудшоу, конференции</t>
        </is>
      </c>
      <c r="D39" t="n">
        <v>10</v>
      </c>
      <c r="E39" t="n">
        <v>0.338</v>
      </c>
    </row>
    <row r="40">
      <c r="A40" t="inlineStr">
        <is>
          <t>Caliber (NASDAQ: CWD)</t>
        </is>
      </c>
      <c r="B40" t="inlineStr">
        <is>
          <t>Прямая цифровая воронка 506(c)</t>
        </is>
      </c>
      <c r="C40" t="inlineStr">
        <is>
          <t>Контент, печать, презентационные материалы</t>
        </is>
      </c>
      <c r="D40" t="n">
        <v>22</v>
      </c>
      <c r="E40" t="n">
        <v>0.743</v>
      </c>
    </row>
    <row r="41">
      <c r="A41" t="inlineStr">
        <is>
          <t>Caliber (NASDAQ: CWD)</t>
        </is>
      </c>
      <c r="B41" t="inlineStr">
        <is>
          <t>Прямая цифровая воронка 506(c)</t>
        </is>
      </c>
      <c r="C41" t="inlineStr">
        <is>
          <t>PR и отраслевые медиа</t>
        </is>
      </c>
      <c r="D41" t="n">
        <v>6</v>
      </c>
      <c r="E41" t="n">
        <v>0.203</v>
      </c>
    </row>
    <row r="42">
      <c r="A42" t="inlineStr">
        <is>
          <t>Caliber (NASDAQ: CWD)</t>
        </is>
      </c>
      <c r="B42" t="inlineStr">
        <is>
          <t>Прямая цифровая воронка 506(c)</t>
        </is>
      </c>
      <c r="C42" t="inlineStr">
        <is>
          <t>Платный поиск и YouTube</t>
        </is>
      </c>
      <c r="D42" t="n">
        <v>24</v>
      </c>
      <c r="E42" t="n">
        <v>0.8100000000000001</v>
      </c>
    </row>
    <row r="43">
      <c r="A43" t="inlineStr">
        <is>
          <t>Caliber (NASDAQ: CWD)</t>
        </is>
      </c>
      <c r="B43" t="inlineStr">
        <is>
          <t>Прямая цифровая воронка 506(c)</t>
        </is>
      </c>
      <c r="C43" t="inlineStr">
        <is>
          <t>Платные соцсети</t>
        </is>
      </c>
      <c r="D43" t="n">
        <v>18</v>
      </c>
      <c r="E43" t="n">
        <v>0.608</v>
      </c>
    </row>
    <row r="44">
      <c r="A44" t="inlineStr">
        <is>
          <t>Caliber (NASDAQ: CWD)</t>
        </is>
      </c>
      <c r="B44" t="inlineStr">
        <is>
          <t>Прямая цифровая воронка 506(c)</t>
        </is>
      </c>
      <c r="C44" t="inlineStr">
        <is>
          <t>Email и CRM</t>
        </is>
      </c>
      <c r="D44" t="n">
        <v>12</v>
      </c>
      <c r="E44" t="n">
        <v>0.405</v>
      </c>
    </row>
    <row r="45">
      <c r="A45" t="inlineStr">
        <is>
          <t>AcreTrader</t>
        </is>
      </c>
      <c r="B45" t="inlineStr">
        <is>
          <t>Прямая цифровая воронка 506(c)</t>
        </is>
      </c>
      <c r="C45" t="inlineStr">
        <is>
          <t>Комиссии дистрибьюторам и агентам</t>
        </is>
      </c>
      <c r="D45" t="n">
        <v>8</v>
      </c>
      <c r="E45" t="n">
        <v>0.07199999999999999</v>
      </c>
    </row>
    <row r="46">
      <c r="A46" t="inlineStr">
        <is>
          <t>AcreTrader</t>
        </is>
      </c>
      <c r="B46" t="inlineStr">
        <is>
          <t>Прямая цифровая воронка 506(c)</t>
        </is>
      </c>
      <c r="C46" t="inlineStr">
        <is>
          <t>События, роудшоу, конференции</t>
        </is>
      </c>
      <c r="D46" t="n">
        <v>10</v>
      </c>
      <c r="E46" t="n">
        <v>0.09</v>
      </c>
    </row>
    <row r="47">
      <c r="A47" t="inlineStr">
        <is>
          <t>AcreTrader</t>
        </is>
      </c>
      <c r="B47" t="inlineStr">
        <is>
          <t>Прямая цифровая воронка 506(c)</t>
        </is>
      </c>
      <c r="C47" t="inlineStr">
        <is>
          <t>Контент, печать, презентационные материалы</t>
        </is>
      </c>
      <c r="D47" t="n">
        <v>22</v>
      </c>
      <c r="E47" t="n">
        <v>0.198</v>
      </c>
    </row>
    <row r="48">
      <c r="A48" t="inlineStr">
        <is>
          <t>AcreTrader</t>
        </is>
      </c>
      <c r="B48" t="inlineStr">
        <is>
          <t>Прямая цифровая воронка 506(c)</t>
        </is>
      </c>
      <c r="C48" t="inlineStr">
        <is>
          <t>PR и отраслевые медиа</t>
        </is>
      </c>
      <c r="D48" t="n">
        <v>6</v>
      </c>
      <c r="E48" t="n">
        <v>0.054</v>
      </c>
    </row>
    <row r="49">
      <c r="A49" t="inlineStr">
        <is>
          <t>AcreTrader</t>
        </is>
      </c>
      <c r="B49" t="inlineStr">
        <is>
          <t>Прямая цифровая воронка 506(c)</t>
        </is>
      </c>
      <c r="C49" t="inlineStr">
        <is>
          <t>Платный поиск и YouTube</t>
        </is>
      </c>
      <c r="D49" t="n">
        <v>24</v>
      </c>
      <c r="E49" t="n">
        <v>0.216</v>
      </c>
    </row>
    <row r="50">
      <c r="A50" t="inlineStr">
        <is>
          <t>AcreTrader</t>
        </is>
      </c>
      <c r="B50" t="inlineStr">
        <is>
          <t>Прямая цифровая воронка 506(c)</t>
        </is>
      </c>
      <c r="C50" t="inlineStr">
        <is>
          <t>Платные соцсети</t>
        </is>
      </c>
      <c r="D50" t="n">
        <v>18</v>
      </c>
      <c r="E50" t="n">
        <v>0.162</v>
      </c>
    </row>
    <row r="51">
      <c r="A51" t="inlineStr">
        <is>
          <t>AcreTrader</t>
        </is>
      </c>
      <c r="B51" t="inlineStr">
        <is>
          <t>Прямая цифровая воронка 506(c)</t>
        </is>
      </c>
      <c r="C51" t="inlineStr">
        <is>
          <t>Email и CRM</t>
        </is>
      </c>
      <c r="D51" t="n">
        <v>12</v>
      </c>
      <c r="E51" t="n">
        <v>0.108</v>
      </c>
    </row>
    <row r="52">
      <c r="A52" t="inlineStr">
        <is>
          <t>MLG Capital</t>
        </is>
      </c>
      <c r="B52" t="inlineStr">
        <is>
          <t>Прямая цифровая воронка 506(c)</t>
        </is>
      </c>
      <c r="C52" t="inlineStr">
        <is>
          <t>Комиссии дистрибьюторам и агентам</t>
        </is>
      </c>
      <c r="D52" t="n">
        <v>8</v>
      </c>
      <c r="E52" t="n">
        <v>0.45</v>
      </c>
    </row>
    <row r="53">
      <c r="A53" t="inlineStr">
        <is>
          <t>MLG Capital</t>
        </is>
      </c>
      <c r="B53" t="inlineStr">
        <is>
          <t>Прямая цифровая воронка 506(c)</t>
        </is>
      </c>
      <c r="C53" t="inlineStr">
        <is>
          <t>События, роудшоу, конференции</t>
        </is>
      </c>
      <c r="D53" t="n">
        <v>10</v>
      </c>
      <c r="E53" t="n">
        <v>0.5620000000000001</v>
      </c>
    </row>
    <row r="54">
      <c r="A54" t="inlineStr">
        <is>
          <t>MLG Capital</t>
        </is>
      </c>
      <c r="B54" t="inlineStr">
        <is>
          <t>Прямая цифровая воронка 506(c)</t>
        </is>
      </c>
      <c r="C54" t="inlineStr">
        <is>
          <t>Контент, печать, презентационные материалы</t>
        </is>
      </c>
      <c r="D54" t="n">
        <v>22</v>
      </c>
      <c r="E54" t="n">
        <v>1.238</v>
      </c>
    </row>
    <row r="55">
      <c r="A55" t="inlineStr">
        <is>
          <t>MLG Capital</t>
        </is>
      </c>
      <c r="B55" t="inlineStr">
        <is>
          <t>Прямая цифровая воронка 506(c)</t>
        </is>
      </c>
      <c r="C55" t="inlineStr">
        <is>
          <t>PR и отраслевые медиа</t>
        </is>
      </c>
      <c r="D55" t="n">
        <v>6</v>
      </c>
      <c r="E55" t="n">
        <v>0.338</v>
      </c>
    </row>
    <row r="56">
      <c r="A56" t="inlineStr">
        <is>
          <t>MLG Capital</t>
        </is>
      </c>
      <c r="B56" t="inlineStr">
        <is>
          <t>Прямая цифровая воронка 506(c)</t>
        </is>
      </c>
      <c r="C56" t="inlineStr">
        <is>
          <t>Платный поиск и YouTube</t>
        </is>
      </c>
      <c r="D56" t="n">
        <v>24</v>
      </c>
      <c r="E56" t="n">
        <v>1.35</v>
      </c>
    </row>
    <row r="57">
      <c r="A57" t="inlineStr">
        <is>
          <t>MLG Capital</t>
        </is>
      </c>
      <c r="B57" t="inlineStr">
        <is>
          <t>Прямая цифровая воронка 506(c)</t>
        </is>
      </c>
      <c r="C57" t="inlineStr">
        <is>
          <t>Платные соцсети</t>
        </is>
      </c>
      <c r="D57" t="n">
        <v>18</v>
      </c>
      <c r="E57" t="n">
        <v>1.012</v>
      </c>
    </row>
    <row r="58">
      <c r="A58" t="inlineStr">
        <is>
          <t>MLG Capital</t>
        </is>
      </c>
      <c r="B58" t="inlineStr">
        <is>
          <t>Прямая цифровая воронка 506(c)</t>
        </is>
      </c>
      <c r="C58" t="inlineStr">
        <is>
          <t>Email и CRM</t>
        </is>
      </c>
      <c r="D58" t="n">
        <v>12</v>
      </c>
      <c r="E58" t="n">
        <v>0.675</v>
      </c>
    </row>
    <row r="59">
      <c r="A59" t="inlineStr">
        <is>
          <t>Forestar Group (NYSE: FOR)</t>
        </is>
      </c>
      <c r="B59" t="inlineStr">
        <is>
          <t>Публичный рынок (IR, не маркетинг)</t>
        </is>
      </c>
      <c r="C59" t="inlineStr">
        <is>
          <t>Комиссии дистрибьюторам и агентам</t>
        </is>
      </c>
      <c r="D59" t="n">
        <v>5</v>
      </c>
      <c r="E59" t="n">
        <v>0.045</v>
      </c>
    </row>
    <row r="60">
      <c r="A60" t="inlineStr">
        <is>
          <t>Forestar Group (NYSE: FOR)</t>
        </is>
      </c>
      <c r="B60" t="inlineStr">
        <is>
          <t>Публичный рынок (IR, не маркетинг)</t>
        </is>
      </c>
      <c r="C60" t="inlineStr">
        <is>
          <t>События, роудшоу, конференции</t>
        </is>
      </c>
      <c r="D60" t="n">
        <v>22</v>
      </c>
      <c r="E60" t="n">
        <v>0.198</v>
      </c>
    </row>
    <row r="61">
      <c r="A61" t="inlineStr">
        <is>
          <t>Forestar Group (NYSE: FOR)</t>
        </is>
      </c>
      <c r="B61" t="inlineStr">
        <is>
          <t>Публичный рынок (IR, не маркетинг)</t>
        </is>
      </c>
      <c r="C61" t="inlineStr">
        <is>
          <t>Контент, печать, презентационные материалы</t>
        </is>
      </c>
      <c r="D61" t="n">
        <v>20</v>
      </c>
      <c r="E61" t="n">
        <v>0.18</v>
      </c>
    </row>
    <row r="62">
      <c r="A62" t="inlineStr">
        <is>
          <t>Forestar Group (NYSE: FOR)</t>
        </is>
      </c>
      <c r="B62" t="inlineStr">
        <is>
          <t>Публичный рынок (IR, не маркетинг)</t>
        </is>
      </c>
      <c r="C62" t="inlineStr">
        <is>
          <t>PR и отраслевые медиа</t>
        </is>
      </c>
      <c r="D62" t="n">
        <v>35</v>
      </c>
      <c r="E62" t="n">
        <v>0.315</v>
      </c>
    </row>
    <row r="63">
      <c r="A63" t="inlineStr">
        <is>
          <t>Forestar Group (NYSE: FOR)</t>
        </is>
      </c>
      <c r="B63" t="inlineStr">
        <is>
          <t>Публичный рынок (IR, не маркетинг)</t>
        </is>
      </c>
      <c r="C63" t="inlineStr">
        <is>
          <t>Платный поиск и YouTube</t>
        </is>
      </c>
      <c r="D63" t="n">
        <v>8</v>
      </c>
      <c r="E63" t="n">
        <v>0.07199999999999999</v>
      </c>
    </row>
    <row r="64">
      <c r="A64" t="inlineStr">
        <is>
          <t>Forestar Group (NYSE: FOR)</t>
        </is>
      </c>
      <c r="B64" t="inlineStr">
        <is>
          <t>Публичный рынок (IR, не маркетинг)</t>
        </is>
      </c>
      <c r="C64" t="inlineStr">
        <is>
          <t>Платные соцсети</t>
        </is>
      </c>
      <c r="D64" t="n">
        <v>5</v>
      </c>
      <c r="E64" t="n">
        <v>0.045</v>
      </c>
    </row>
    <row r="65">
      <c r="A65" t="inlineStr">
        <is>
          <t>Forestar Group (NYSE: FOR)</t>
        </is>
      </c>
      <c r="B65" t="inlineStr">
        <is>
          <t>Публичный рынок (IR, не маркетинг)</t>
        </is>
      </c>
      <c r="C65" t="inlineStr">
        <is>
          <t>Email и CRM</t>
        </is>
      </c>
      <c r="D65" t="n">
        <v>5</v>
      </c>
      <c r="E65" t="n">
        <v>0.045</v>
      </c>
    </row>
    <row r="66">
      <c r="A66" t="inlineStr">
        <is>
          <t>Howard Hughes Holdings (NYSE: HHH)</t>
        </is>
      </c>
      <c r="B66" t="inlineStr">
        <is>
          <t>Публичный рынок (IR, не маркетинг)</t>
        </is>
      </c>
      <c r="C66" t="inlineStr">
        <is>
          <t>Комиссии дистрибьюторам и агентам</t>
        </is>
      </c>
      <c r="D66" t="n">
        <v>5</v>
      </c>
      <c r="E66" t="n">
        <v>0.075</v>
      </c>
    </row>
    <row r="67">
      <c r="A67" t="inlineStr">
        <is>
          <t>Howard Hughes Holdings (NYSE: HHH)</t>
        </is>
      </c>
      <c r="B67" t="inlineStr">
        <is>
          <t>Публичный рынок (IR, не маркетинг)</t>
        </is>
      </c>
      <c r="C67" t="inlineStr">
        <is>
          <t>События, роудшоу, конференции</t>
        </is>
      </c>
      <c r="D67" t="n">
        <v>22</v>
      </c>
      <c r="E67" t="n">
        <v>0.33</v>
      </c>
    </row>
    <row r="68">
      <c r="A68" t="inlineStr">
        <is>
          <t>Howard Hughes Holdings (NYSE: HHH)</t>
        </is>
      </c>
      <c r="B68" t="inlineStr">
        <is>
          <t>Публичный рынок (IR, не маркетинг)</t>
        </is>
      </c>
      <c r="C68" t="inlineStr">
        <is>
          <t>Контент, печать, презентационные материалы</t>
        </is>
      </c>
      <c r="D68" t="n">
        <v>20</v>
      </c>
      <c r="E68" t="n">
        <v>0.3</v>
      </c>
    </row>
    <row r="69">
      <c r="A69" t="inlineStr">
        <is>
          <t>Howard Hughes Holdings (NYSE: HHH)</t>
        </is>
      </c>
      <c r="B69" t="inlineStr">
        <is>
          <t>Публичный рынок (IR, не маркетинг)</t>
        </is>
      </c>
      <c r="C69" t="inlineStr">
        <is>
          <t>PR и отраслевые медиа</t>
        </is>
      </c>
      <c r="D69" t="n">
        <v>35</v>
      </c>
      <c r="E69" t="n">
        <v>0.525</v>
      </c>
    </row>
    <row r="70">
      <c r="A70" t="inlineStr">
        <is>
          <t>Howard Hughes Holdings (NYSE: HHH)</t>
        </is>
      </c>
      <c r="B70" t="inlineStr">
        <is>
          <t>Публичный рынок (IR, не маркетинг)</t>
        </is>
      </c>
      <c r="C70" t="inlineStr">
        <is>
          <t>Платный поиск и YouTube</t>
        </is>
      </c>
      <c r="D70" t="n">
        <v>8</v>
      </c>
      <c r="E70" t="n">
        <v>0.12</v>
      </c>
    </row>
    <row r="71">
      <c r="A71" t="inlineStr">
        <is>
          <t>Howard Hughes Holdings (NYSE: HHH)</t>
        </is>
      </c>
      <c r="B71" t="inlineStr">
        <is>
          <t>Публичный рынок (IR, не маркетинг)</t>
        </is>
      </c>
      <c r="C71" t="inlineStr">
        <is>
          <t>Платные соцсети</t>
        </is>
      </c>
      <c r="D71" t="n">
        <v>5</v>
      </c>
      <c r="E71" t="n">
        <v>0.075</v>
      </c>
    </row>
    <row r="72">
      <c r="A72" t="inlineStr">
        <is>
          <t>Howard Hughes Holdings (NYSE: HHH)</t>
        </is>
      </c>
      <c r="B72" t="inlineStr">
        <is>
          <t>Публичный рынок (IR, не маркетинг)</t>
        </is>
      </c>
      <c r="C72" t="inlineStr">
        <is>
          <t>Email и CRM</t>
        </is>
      </c>
      <c r="D72" t="n">
        <v>5</v>
      </c>
      <c r="E72" t="n">
        <v>0.075</v>
      </c>
    </row>
    <row r="73">
      <c r="A73" t="inlineStr">
        <is>
          <t>The St. Joe Company (NYSE: JOE)</t>
        </is>
      </c>
      <c r="B73" t="inlineStr">
        <is>
          <t>Публичный рынок (IR, не маркетинг)</t>
        </is>
      </c>
      <c r="C73" t="inlineStr">
        <is>
          <t>Комиссии дистрибьюторам и агентам</t>
        </is>
      </c>
      <c r="D73" t="n">
        <v>5</v>
      </c>
      <c r="E73" t="n">
        <v>0.03</v>
      </c>
    </row>
    <row r="74">
      <c r="A74" t="inlineStr">
        <is>
          <t>The St. Joe Company (NYSE: JOE)</t>
        </is>
      </c>
      <c r="B74" t="inlineStr">
        <is>
          <t>Публичный рынок (IR, не маркетинг)</t>
        </is>
      </c>
      <c r="C74" t="inlineStr">
        <is>
          <t>События, роудшоу, конференции</t>
        </is>
      </c>
      <c r="D74" t="n">
        <v>22</v>
      </c>
      <c r="E74" t="n">
        <v>0.132</v>
      </c>
    </row>
    <row r="75">
      <c r="A75" t="inlineStr">
        <is>
          <t>The St. Joe Company (NYSE: JOE)</t>
        </is>
      </c>
      <c r="B75" t="inlineStr">
        <is>
          <t>Публичный рынок (IR, не маркетинг)</t>
        </is>
      </c>
      <c r="C75" t="inlineStr">
        <is>
          <t>Контент, печать, презентационные материалы</t>
        </is>
      </c>
      <c r="D75" t="n">
        <v>20</v>
      </c>
      <c r="E75" t="n">
        <v>0.12</v>
      </c>
    </row>
    <row r="76">
      <c r="A76" t="inlineStr">
        <is>
          <t>The St. Joe Company (NYSE: JOE)</t>
        </is>
      </c>
      <c r="B76" t="inlineStr">
        <is>
          <t>Публичный рынок (IR, не маркетинг)</t>
        </is>
      </c>
      <c r="C76" t="inlineStr">
        <is>
          <t>PR и отраслевые медиа</t>
        </is>
      </c>
      <c r="D76" t="n">
        <v>35</v>
      </c>
      <c r="E76" t="n">
        <v>0.21</v>
      </c>
    </row>
    <row r="77">
      <c r="A77" t="inlineStr">
        <is>
          <t>The St. Joe Company (NYSE: JOE)</t>
        </is>
      </c>
      <c r="B77" t="inlineStr">
        <is>
          <t>Публичный рынок (IR, не маркетинг)</t>
        </is>
      </c>
      <c r="C77" t="inlineStr">
        <is>
          <t>Платный поиск и YouTube</t>
        </is>
      </c>
      <c r="D77" t="n">
        <v>8</v>
      </c>
      <c r="E77" t="n">
        <v>0.048</v>
      </c>
    </row>
    <row r="78">
      <c r="A78" t="inlineStr">
        <is>
          <t>The St. Joe Company (NYSE: JOE)</t>
        </is>
      </c>
      <c r="B78" t="inlineStr">
        <is>
          <t>Публичный рынок (IR, не маркетинг)</t>
        </is>
      </c>
      <c r="C78" t="inlineStr">
        <is>
          <t>Платные соцсети</t>
        </is>
      </c>
      <c r="D78" t="n">
        <v>5</v>
      </c>
      <c r="E78" t="n">
        <v>0.03</v>
      </c>
    </row>
    <row r="79">
      <c r="A79" t="inlineStr">
        <is>
          <t>The St. Joe Company (NYSE: JOE)</t>
        </is>
      </c>
      <c r="B79" t="inlineStr">
        <is>
          <t>Публичный рынок (IR, не маркетинг)</t>
        </is>
      </c>
      <c r="C79" t="inlineStr">
        <is>
          <t>Email и CRM</t>
        </is>
      </c>
      <c r="D79" t="n">
        <v>5</v>
      </c>
      <c r="E79" t="n">
        <v>0.03</v>
      </c>
    </row>
    <row r="80">
      <c r="A80" t="inlineStr">
        <is>
          <t>FarmTogether</t>
        </is>
      </c>
      <c r="B80" t="inlineStr">
        <is>
          <t>Прямая цифровая воронка 506(c)</t>
        </is>
      </c>
      <c r="C80" t="inlineStr">
        <is>
          <t>Комиссии дистрибьюторам и агентам</t>
        </is>
      </c>
      <c r="D80" t="n">
        <v>8</v>
      </c>
      <c r="E80" t="n">
        <v>0.09</v>
      </c>
    </row>
    <row r="81">
      <c r="A81" t="inlineStr">
        <is>
          <t>FarmTogether</t>
        </is>
      </c>
      <c r="B81" t="inlineStr">
        <is>
          <t>Прямая цифровая воронка 506(c)</t>
        </is>
      </c>
      <c r="C81" t="inlineStr">
        <is>
          <t>События, роудшоу, конференции</t>
        </is>
      </c>
      <c r="D81" t="n">
        <v>10</v>
      </c>
      <c r="E81" t="n">
        <v>0.113</v>
      </c>
    </row>
    <row r="82">
      <c r="A82" t="inlineStr">
        <is>
          <t>FarmTogether</t>
        </is>
      </c>
      <c r="B82" t="inlineStr">
        <is>
          <t>Прямая цифровая воронка 506(c)</t>
        </is>
      </c>
      <c r="C82" t="inlineStr">
        <is>
          <t>Контент, печать, презентационные материалы</t>
        </is>
      </c>
      <c r="D82" t="n">
        <v>22</v>
      </c>
      <c r="E82" t="n">
        <v>0.247</v>
      </c>
    </row>
    <row r="83">
      <c r="A83" t="inlineStr">
        <is>
          <t>FarmTogether</t>
        </is>
      </c>
      <c r="B83" t="inlineStr">
        <is>
          <t>Прямая цифровая воронка 506(c)</t>
        </is>
      </c>
      <c r="C83" t="inlineStr">
        <is>
          <t>PR и отраслевые медиа</t>
        </is>
      </c>
      <c r="D83" t="n">
        <v>6</v>
      </c>
      <c r="E83" t="n">
        <v>0.068</v>
      </c>
    </row>
    <row r="84">
      <c r="A84" t="inlineStr">
        <is>
          <t>FarmTogether</t>
        </is>
      </c>
      <c r="B84" t="inlineStr">
        <is>
          <t>Прямая цифровая воронка 506(c)</t>
        </is>
      </c>
      <c r="C84" t="inlineStr">
        <is>
          <t>Платный поиск и YouTube</t>
        </is>
      </c>
      <c r="D84" t="n">
        <v>24</v>
      </c>
      <c r="E84" t="n">
        <v>0.27</v>
      </c>
    </row>
    <row r="85">
      <c r="A85" t="inlineStr">
        <is>
          <t>FarmTogether</t>
        </is>
      </c>
      <c r="B85" t="inlineStr">
        <is>
          <t>Прямая цифровая воронка 506(c)</t>
        </is>
      </c>
      <c r="C85" t="inlineStr">
        <is>
          <t>Платные соцсети</t>
        </is>
      </c>
      <c r="D85" t="n">
        <v>18</v>
      </c>
      <c r="E85" t="n">
        <v>0.203</v>
      </c>
    </row>
    <row r="86">
      <c r="A86" t="inlineStr">
        <is>
          <t>FarmTogether</t>
        </is>
      </c>
      <c r="B86" t="inlineStr">
        <is>
          <t>Прямая цифровая воронка 506(c)</t>
        </is>
      </c>
      <c r="C86" t="inlineStr">
        <is>
          <t>Email и CRM</t>
        </is>
      </c>
      <c r="D86" t="n">
        <v>12</v>
      </c>
      <c r="E86" t="n">
        <v>0.135</v>
      </c>
    </row>
    <row r="87">
      <c r="A87" t="inlineStr">
        <is>
          <t>Domain Real Estate Partners</t>
        </is>
      </c>
      <c r="B87" t="inlineStr">
        <is>
          <t>Институциональные LP / placement agents</t>
        </is>
      </c>
      <c r="C87" t="inlineStr">
        <is>
          <t>Комиссии дистрибьюторам и агентам</t>
        </is>
      </c>
      <c r="D87" t="n">
        <v>45</v>
      </c>
      <c r="E87" t="n">
        <v>4.388</v>
      </c>
    </row>
    <row r="88">
      <c r="A88" t="inlineStr">
        <is>
          <t>Domain Real Estate Partners</t>
        </is>
      </c>
      <c r="B88" t="inlineStr">
        <is>
          <t>Институциональные LP / placement agents</t>
        </is>
      </c>
      <c r="C88" t="inlineStr">
        <is>
          <t>События, роудшоу, конференции</t>
        </is>
      </c>
      <c r="D88" t="n">
        <v>25</v>
      </c>
      <c r="E88" t="n">
        <v>2.438</v>
      </c>
    </row>
    <row r="89">
      <c r="A89" t="inlineStr">
        <is>
          <t>Domain Real Estate Partners</t>
        </is>
      </c>
      <c r="B89" t="inlineStr">
        <is>
          <t>Институциональные LP / placement agents</t>
        </is>
      </c>
      <c r="C89" t="inlineStr">
        <is>
          <t>Контент, печать, презентационные материалы</t>
        </is>
      </c>
      <c r="D89" t="n">
        <v>12</v>
      </c>
      <c r="E89" t="n">
        <v>1.17</v>
      </c>
    </row>
    <row r="90">
      <c r="A90" t="inlineStr">
        <is>
          <t>Domain Real Estate Partners</t>
        </is>
      </c>
      <c r="B90" t="inlineStr">
        <is>
          <t>Институциональные LP / placement agents</t>
        </is>
      </c>
      <c r="C90" t="inlineStr">
        <is>
          <t>PR и отраслевые медиа</t>
        </is>
      </c>
      <c r="D90" t="n">
        <v>13</v>
      </c>
      <c r="E90" t="n">
        <v>1.268</v>
      </c>
    </row>
    <row r="91">
      <c r="A91" t="inlineStr">
        <is>
          <t>Domain Real Estate Partners</t>
        </is>
      </c>
      <c r="B91" t="inlineStr">
        <is>
          <t>Институциональные LP / placement agents</t>
        </is>
      </c>
      <c r="C91" t="inlineStr">
        <is>
          <t>Платный поиск и YouTube</t>
        </is>
      </c>
      <c r="D91" t="n">
        <v>0</v>
      </c>
      <c r="E91" t="n">
        <v>0</v>
      </c>
    </row>
    <row r="92">
      <c r="A92" t="inlineStr">
        <is>
          <t>Domain Real Estate Partners</t>
        </is>
      </c>
      <c r="B92" t="inlineStr">
        <is>
          <t>Институциональные LP / placement agents</t>
        </is>
      </c>
      <c r="C92" t="inlineStr">
        <is>
          <t>Платные соцсети</t>
        </is>
      </c>
      <c r="D92" t="n">
        <v>2</v>
      </c>
      <c r="E92" t="n">
        <v>0.195</v>
      </c>
    </row>
    <row r="93">
      <c r="A93" t="inlineStr">
        <is>
          <t>Domain Real Estate Partners</t>
        </is>
      </c>
      <c r="B93" t="inlineStr">
        <is>
          <t>Институциональные LP / placement agents</t>
        </is>
      </c>
      <c r="C93" t="inlineStr">
        <is>
          <t>Email и CRM</t>
        </is>
      </c>
      <c r="D93" t="n">
        <v>3</v>
      </c>
      <c r="E93" t="n">
        <v>0.292</v>
      </c>
    </row>
    <row r="94">
      <c r="A94" t="inlineStr">
        <is>
          <t>BTI Partners</t>
        </is>
      </c>
      <c r="B94" t="inlineStr">
        <is>
          <t>Институциональные LP / placement agents</t>
        </is>
      </c>
      <c r="C94" t="inlineStr">
        <is>
          <t>Комиссии дистрибьюторам и агентам</t>
        </is>
      </c>
      <c r="D94" t="n">
        <v>45</v>
      </c>
      <c r="E94" t="n">
        <v>0.585</v>
      </c>
    </row>
    <row r="95">
      <c r="A95" t="inlineStr">
        <is>
          <t>BTI Partners</t>
        </is>
      </c>
      <c r="B95" t="inlineStr">
        <is>
          <t>Институциональные LP / placement agents</t>
        </is>
      </c>
      <c r="C95" t="inlineStr">
        <is>
          <t>События, роудшоу, конференции</t>
        </is>
      </c>
      <c r="D95" t="n">
        <v>25</v>
      </c>
      <c r="E95" t="n">
        <v>0.325</v>
      </c>
    </row>
    <row r="96">
      <c r="A96" t="inlineStr">
        <is>
          <t>BTI Partners</t>
        </is>
      </c>
      <c r="B96" t="inlineStr">
        <is>
          <t>Институциональные LP / placement agents</t>
        </is>
      </c>
      <c r="C96" t="inlineStr">
        <is>
          <t>Контент, печать, презентационные материалы</t>
        </is>
      </c>
      <c r="D96" t="n">
        <v>12</v>
      </c>
      <c r="E96" t="n">
        <v>0.156</v>
      </c>
    </row>
    <row r="97">
      <c r="A97" t="inlineStr">
        <is>
          <t>BTI Partners</t>
        </is>
      </c>
      <c r="B97" t="inlineStr">
        <is>
          <t>Институциональные LP / placement agents</t>
        </is>
      </c>
      <c r="C97" t="inlineStr">
        <is>
          <t>PR и отраслевые медиа</t>
        </is>
      </c>
      <c r="D97" t="n">
        <v>13</v>
      </c>
      <c r="E97" t="n">
        <v>0.169</v>
      </c>
    </row>
    <row r="98">
      <c r="A98" t="inlineStr">
        <is>
          <t>BTI Partners</t>
        </is>
      </c>
      <c r="B98" t="inlineStr">
        <is>
          <t>Институциональные LP / placement agents</t>
        </is>
      </c>
      <c r="C98" t="inlineStr">
        <is>
          <t>Платный поиск и YouTube</t>
        </is>
      </c>
      <c r="D98" t="n">
        <v>0</v>
      </c>
      <c r="E98" t="n">
        <v>0</v>
      </c>
    </row>
    <row r="99">
      <c r="A99" t="inlineStr">
        <is>
          <t>BTI Partners</t>
        </is>
      </c>
      <c r="B99" t="inlineStr">
        <is>
          <t>Институциональные LP / placement agents</t>
        </is>
      </c>
      <c r="C99" t="inlineStr">
        <is>
          <t>Платные соцсети</t>
        </is>
      </c>
      <c r="D99" t="n">
        <v>2</v>
      </c>
      <c r="E99" t="n">
        <v>0.026</v>
      </c>
    </row>
    <row r="100">
      <c r="A100" t="inlineStr">
        <is>
          <t>BTI Partners</t>
        </is>
      </c>
      <c r="B100" t="inlineStr">
        <is>
          <t>Институциональные LP / placement agents</t>
        </is>
      </c>
      <c r="C100" t="inlineStr">
        <is>
          <t>Email и CRM</t>
        </is>
      </c>
      <c r="D100" t="n">
        <v>3</v>
      </c>
      <c r="E100" t="n">
        <v>0.039</v>
      </c>
    </row>
    <row r="101">
      <c r="A101" t="inlineStr">
        <is>
          <t>GSP REI</t>
        </is>
      </c>
      <c r="B101" t="inlineStr">
        <is>
          <t>Прямая цифровая воронка 506(c)</t>
        </is>
      </c>
      <c r="C101" t="inlineStr">
        <is>
          <t>Комиссии дистрибьюторам и агентам</t>
        </is>
      </c>
      <c r="D101" t="n">
        <v>8</v>
      </c>
      <c r="E101" t="n">
        <v>0.108</v>
      </c>
    </row>
    <row r="102">
      <c r="A102" t="inlineStr">
        <is>
          <t>GSP REI</t>
        </is>
      </c>
      <c r="B102" t="inlineStr">
        <is>
          <t>Прямая цифровая воронка 506(c)</t>
        </is>
      </c>
      <c r="C102" t="inlineStr">
        <is>
          <t>События, роудшоу, конференции</t>
        </is>
      </c>
      <c r="D102" t="n">
        <v>10</v>
      </c>
      <c r="E102" t="n">
        <v>0.135</v>
      </c>
    </row>
    <row r="103">
      <c r="A103" t="inlineStr">
        <is>
          <t>GSP REI</t>
        </is>
      </c>
      <c r="B103" t="inlineStr">
        <is>
          <t>Прямая цифровая воронка 506(c)</t>
        </is>
      </c>
      <c r="C103" t="inlineStr">
        <is>
          <t>Контент, печать, презентационные материалы</t>
        </is>
      </c>
      <c r="D103" t="n">
        <v>22</v>
      </c>
      <c r="E103" t="n">
        <v>0.297</v>
      </c>
    </row>
    <row r="104">
      <c r="A104" t="inlineStr">
        <is>
          <t>GSP REI</t>
        </is>
      </c>
      <c r="B104" t="inlineStr">
        <is>
          <t>Прямая цифровая воронка 506(c)</t>
        </is>
      </c>
      <c r="C104" t="inlineStr">
        <is>
          <t>PR и отраслевые медиа</t>
        </is>
      </c>
      <c r="D104" t="n">
        <v>6</v>
      </c>
      <c r="E104" t="n">
        <v>0.081</v>
      </c>
    </row>
    <row r="105">
      <c r="A105" t="inlineStr">
        <is>
          <t>GSP REI</t>
        </is>
      </c>
      <c r="B105" t="inlineStr">
        <is>
          <t>Прямая цифровая воронка 506(c)</t>
        </is>
      </c>
      <c r="C105" t="inlineStr">
        <is>
          <t>Платный поиск и YouTube</t>
        </is>
      </c>
      <c r="D105" t="n">
        <v>24</v>
      </c>
      <c r="E105" t="n">
        <v>0.324</v>
      </c>
    </row>
    <row r="106">
      <c r="A106" t="inlineStr">
        <is>
          <t>GSP REI</t>
        </is>
      </c>
      <c r="B106" t="inlineStr">
        <is>
          <t>Прямая цифровая воронка 506(c)</t>
        </is>
      </c>
      <c r="C106" t="inlineStr">
        <is>
          <t>Платные соцсети</t>
        </is>
      </c>
      <c r="D106" t="n">
        <v>18</v>
      </c>
      <c r="E106" t="n">
        <v>0.243</v>
      </c>
    </row>
    <row r="107">
      <c r="A107" t="inlineStr">
        <is>
          <t>GSP REI</t>
        </is>
      </c>
      <c r="B107" t="inlineStr">
        <is>
          <t>Прямая цифровая воронка 506(c)</t>
        </is>
      </c>
      <c r="C107" t="inlineStr">
        <is>
          <t>Email и CRM</t>
        </is>
      </c>
      <c r="D107" t="n">
        <v>12</v>
      </c>
      <c r="E107" t="n">
        <v>0.162</v>
      </c>
    </row>
    <row r="108">
      <c r="A108" t="inlineStr">
        <is>
          <t>Tejon Ranch Co (NYSE: TRC)</t>
        </is>
      </c>
      <c r="B108" t="inlineStr">
        <is>
          <t>Публичный рынок (IR, не маркетинг)</t>
        </is>
      </c>
      <c r="C108" t="inlineStr">
        <is>
          <t>Комиссии дистрибьюторам и агентам</t>
        </is>
      </c>
      <c r="D108" t="n">
        <v>5</v>
      </c>
      <c r="E108" t="n">
        <v>0.007</v>
      </c>
    </row>
    <row r="109">
      <c r="A109" t="inlineStr">
        <is>
          <t>Tejon Ranch Co (NYSE: TRC)</t>
        </is>
      </c>
      <c r="B109" t="inlineStr">
        <is>
          <t>Публичный рынок (IR, не маркетинг)</t>
        </is>
      </c>
      <c r="C109" t="inlineStr">
        <is>
          <t>События, роудшоу, конференции</t>
        </is>
      </c>
      <c r="D109" t="n">
        <v>22</v>
      </c>
      <c r="E109" t="n">
        <v>0.033</v>
      </c>
    </row>
    <row r="110">
      <c r="A110" t="inlineStr">
        <is>
          <t>Tejon Ranch Co (NYSE: TRC)</t>
        </is>
      </c>
      <c r="B110" t="inlineStr">
        <is>
          <t>Публичный рынок (IR, не маркетинг)</t>
        </is>
      </c>
      <c r="C110" t="inlineStr">
        <is>
          <t>Контент, печать, презентационные материалы</t>
        </is>
      </c>
      <c r="D110" t="n">
        <v>20</v>
      </c>
      <c r="E110" t="n">
        <v>0.03</v>
      </c>
    </row>
    <row r="111">
      <c r="A111" t="inlineStr">
        <is>
          <t>Tejon Ranch Co (NYSE: TRC)</t>
        </is>
      </c>
      <c r="B111" t="inlineStr">
        <is>
          <t>Публичный рынок (IR, не маркетинг)</t>
        </is>
      </c>
      <c r="C111" t="inlineStr">
        <is>
          <t>PR и отраслевые медиа</t>
        </is>
      </c>
      <c r="D111" t="n">
        <v>35</v>
      </c>
      <c r="E111" t="n">
        <v>0.052</v>
      </c>
    </row>
    <row r="112">
      <c r="A112" t="inlineStr">
        <is>
          <t>Tejon Ranch Co (NYSE: TRC)</t>
        </is>
      </c>
      <c r="B112" t="inlineStr">
        <is>
          <t>Публичный рынок (IR, не маркетинг)</t>
        </is>
      </c>
      <c r="C112" t="inlineStr">
        <is>
          <t>Платный поиск и YouTube</t>
        </is>
      </c>
      <c r="D112" t="n">
        <v>8</v>
      </c>
      <c r="E112" t="n">
        <v>0.012</v>
      </c>
    </row>
    <row r="113">
      <c r="A113" t="inlineStr">
        <is>
          <t>Tejon Ranch Co (NYSE: TRC)</t>
        </is>
      </c>
      <c r="B113" t="inlineStr">
        <is>
          <t>Публичный рынок (IR, не маркетинг)</t>
        </is>
      </c>
      <c r="C113" t="inlineStr">
        <is>
          <t>Платные соцсети</t>
        </is>
      </c>
      <c r="D113" t="n">
        <v>5</v>
      </c>
      <c r="E113" t="n">
        <v>0.007</v>
      </c>
    </row>
    <row r="114">
      <c r="A114" t="inlineStr">
        <is>
          <t>Tejon Ranch Co (NYSE: TRC)</t>
        </is>
      </c>
      <c r="B114" t="inlineStr">
        <is>
          <t>Публичный рынок (IR, не маркетинг)</t>
        </is>
      </c>
      <c r="C114" t="inlineStr">
        <is>
          <t>Email и CRM</t>
        </is>
      </c>
      <c r="D114" t="n">
        <v>5</v>
      </c>
      <c r="E114" t="n">
        <v>0.007</v>
      </c>
    </row>
    <row r="115">
      <c r="A115" t="inlineStr">
        <is>
          <t>Allied Development</t>
        </is>
      </c>
      <c r="B115" t="inlineStr">
        <is>
          <t>Прямая цифровая воронка 506(c)</t>
        </is>
      </c>
      <c r="C115" t="inlineStr">
        <is>
          <t>Комиссии дистрибьюторам и агентам</t>
        </is>
      </c>
      <c r="D115" t="n">
        <v>8</v>
      </c>
      <c r="E115" t="n">
        <v>0.045</v>
      </c>
    </row>
    <row r="116">
      <c r="A116" t="inlineStr">
        <is>
          <t>Allied Development</t>
        </is>
      </c>
      <c r="B116" t="inlineStr">
        <is>
          <t>Прямая цифровая воронка 506(c)</t>
        </is>
      </c>
      <c r="C116" t="inlineStr">
        <is>
          <t>События, роудшоу, конференции</t>
        </is>
      </c>
      <c r="D116" t="n">
        <v>10</v>
      </c>
      <c r="E116" t="n">
        <v>0.056</v>
      </c>
    </row>
    <row r="117">
      <c r="A117" t="inlineStr">
        <is>
          <t>Allied Development</t>
        </is>
      </c>
      <c r="B117" t="inlineStr">
        <is>
          <t>Прямая цифровая воронка 506(c)</t>
        </is>
      </c>
      <c r="C117" t="inlineStr">
        <is>
          <t>Контент, печать, презентационные материалы</t>
        </is>
      </c>
      <c r="D117" t="n">
        <v>22</v>
      </c>
      <c r="E117" t="n">
        <v>0.124</v>
      </c>
    </row>
    <row r="118">
      <c r="A118" t="inlineStr">
        <is>
          <t>Allied Development</t>
        </is>
      </c>
      <c r="B118" t="inlineStr">
        <is>
          <t>Прямая цифровая воронка 506(c)</t>
        </is>
      </c>
      <c r="C118" t="inlineStr">
        <is>
          <t>PR и отраслевые медиа</t>
        </is>
      </c>
      <c r="D118" t="n">
        <v>6</v>
      </c>
      <c r="E118" t="n">
        <v>0.034</v>
      </c>
    </row>
    <row r="119">
      <c r="A119" t="inlineStr">
        <is>
          <t>Allied Development</t>
        </is>
      </c>
      <c r="B119" t="inlineStr">
        <is>
          <t>Прямая цифровая воронка 506(c)</t>
        </is>
      </c>
      <c r="C119" t="inlineStr">
        <is>
          <t>Платный поиск и YouTube</t>
        </is>
      </c>
      <c r="D119" t="n">
        <v>24</v>
      </c>
      <c r="E119" t="n">
        <v>0.135</v>
      </c>
    </row>
    <row r="120">
      <c r="A120" t="inlineStr">
        <is>
          <t>Allied Development</t>
        </is>
      </c>
      <c r="B120" t="inlineStr">
        <is>
          <t>Прямая цифровая воронка 506(c)</t>
        </is>
      </c>
      <c r="C120" t="inlineStr">
        <is>
          <t>Платные соцсети</t>
        </is>
      </c>
      <c r="D120" t="n">
        <v>18</v>
      </c>
      <c r="E120" t="n">
        <v>0.101</v>
      </c>
    </row>
    <row r="121">
      <c r="A121" t="inlineStr">
        <is>
          <t>Allied Development</t>
        </is>
      </c>
      <c r="B121" t="inlineStr">
        <is>
          <t>Прямая цифровая воронка 506(c)</t>
        </is>
      </c>
      <c r="C121" t="inlineStr">
        <is>
          <t>Email и CRM</t>
        </is>
      </c>
      <c r="D121" t="n">
        <v>12</v>
      </c>
      <c r="E121" t="n">
        <v>0.068</v>
      </c>
    </row>
    <row r="122">
      <c r="A122" t="inlineStr">
        <is>
          <t>13th Floor Investments</t>
        </is>
      </c>
      <c r="B122" t="inlineStr">
        <is>
          <t>Институциональные LP / placement agents</t>
        </is>
      </c>
      <c r="C122" t="inlineStr">
        <is>
          <t>Комиссии дистрибьюторам и агентам</t>
        </is>
      </c>
      <c r="D122" t="n">
        <v>45</v>
      </c>
      <c r="E122" t="n">
        <v>0.877</v>
      </c>
    </row>
    <row r="123">
      <c r="A123" t="inlineStr">
        <is>
          <t>13th Floor Investments</t>
        </is>
      </c>
      <c r="B123" t="inlineStr">
        <is>
          <t>Институциональные LP / placement agents</t>
        </is>
      </c>
      <c r="C123" t="inlineStr">
        <is>
          <t>События, роудшоу, конференции</t>
        </is>
      </c>
      <c r="D123" t="n">
        <v>25</v>
      </c>
      <c r="E123" t="n">
        <v>0.487</v>
      </c>
    </row>
    <row r="124">
      <c r="A124" t="inlineStr">
        <is>
          <t>13th Floor Investments</t>
        </is>
      </c>
      <c r="B124" t="inlineStr">
        <is>
          <t>Институциональные LP / placement agents</t>
        </is>
      </c>
      <c r="C124" t="inlineStr">
        <is>
          <t>Контент, печать, презентационные материалы</t>
        </is>
      </c>
      <c r="D124" t="n">
        <v>12</v>
      </c>
      <c r="E124" t="n">
        <v>0.234</v>
      </c>
    </row>
    <row r="125">
      <c r="A125" t="inlineStr">
        <is>
          <t>13th Floor Investments</t>
        </is>
      </c>
      <c r="B125" t="inlineStr">
        <is>
          <t>Институциональные LP / placement agents</t>
        </is>
      </c>
      <c r="C125" t="inlineStr">
        <is>
          <t>PR и отраслевые медиа</t>
        </is>
      </c>
      <c r="D125" t="n">
        <v>13</v>
      </c>
      <c r="E125" t="n">
        <v>0.254</v>
      </c>
    </row>
    <row r="126">
      <c r="A126" t="inlineStr">
        <is>
          <t>13th Floor Investments</t>
        </is>
      </c>
      <c r="B126" t="inlineStr">
        <is>
          <t>Институциональные LP / placement agents</t>
        </is>
      </c>
      <c r="C126" t="inlineStr">
        <is>
          <t>Платный поиск и YouTube</t>
        </is>
      </c>
      <c r="D126" t="n">
        <v>0</v>
      </c>
      <c r="E126" t="n">
        <v>0</v>
      </c>
    </row>
    <row r="127">
      <c r="A127" t="inlineStr">
        <is>
          <t>13th Floor Investments</t>
        </is>
      </c>
      <c r="B127" t="inlineStr">
        <is>
          <t>Институциональные LP / placement agents</t>
        </is>
      </c>
      <c r="C127" t="inlineStr">
        <is>
          <t>Платные соцсети</t>
        </is>
      </c>
      <c r="D127" t="n">
        <v>2</v>
      </c>
      <c r="E127" t="n">
        <v>0.039</v>
      </c>
    </row>
    <row r="128">
      <c r="A128" t="inlineStr">
        <is>
          <t>13th Floor Investments</t>
        </is>
      </c>
      <c r="B128" t="inlineStr">
        <is>
          <t>Институциональные LP / placement agents</t>
        </is>
      </c>
      <c r="C128" t="inlineStr">
        <is>
          <t>Email и CRM</t>
        </is>
      </c>
      <c r="D128" t="n">
        <v>3</v>
      </c>
      <c r="E128" t="n">
        <v>0.058</v>
      </c>
    </row>
    <row r="129">
      <c r="A129" t="inlineStr">
        <is>
          <t>Urban Catalyst</t>
        </is>
      </c>
      <c r="B129" t="inlineStr">
        <is>
          <t>Прямая цифровая воронка 506(c)</t>
        </is>
      </c>
      <c r="C129" t="inlineStr">
        <is>
          <t>Комиссии дистрибьюторам и агентам</t>
        </is>
      </c>
      <c r="D129" t="n">
        <v>8</v>
      </c>
      <c r="E129" t="n">
        <v>0.054</v>
      </c>
    </row>
    <row r="130">
      <c r="A130" t="inlineStr">
        <is>
          <t>Urban Catalyst</t>
        </is>
      </c>
      <c r="B130" t="inlineStr">
        <is>
          <t>Прямая цифровая воронка 506(c)</t>
        </is>
      </c>
      <c r="C130" t="inlineStr">
        <is>
          <t>События, роудшоу, конференции</t>
        </is>
      </c>
      <c r="D130" t="n">
        <v>10</v>
      </c>
      <c r="E130" t="n">
        <v>0.067</v>
      </c>
    </row>
    <row r="131">
      <c r="A131" t="inlineStr">
        <is>
          <t>Urban Catalyst</t>
        </is>
      </c>
      <c r="B131" t="inlineStr">
        <is>
          <t>Прямая цифровая воронка 506(c)</t>
        </is>
      </c>
      <c r="C131" t="inlineStr">
        <is>
          <t>Контент, печать, презентационные материалы</t>
        </is>
      </c>
      <c r="D131" t="n">
        <v>22</v>
      </c>
      <c r="E131" t="n">
        <v>0.148</v>
      </c>
    </row>
    <row r="132">
      <c r="A132" t="inlineStr">
        <is>
          <t>Urban Catalyst</t>
        </is>
      </c>
      <c r="B132" t="inlineStr">
        <is>
          <t>Прямая цифровая воронка 506(c)</t>
        </is>
      </c>
      <c r="C132" t="inlineStr">
        <is>
          <t>PR и отраслевые медиа</t>
        </is>
      </c>
      <c r="D132" t="n">
        <v>6</v>
      </c>
      <c r="E132" t="n">
        <v>0.041</v>
      </c>
    </row>
    <row r="133">
      <c r="A133" t="inlineStr">
        <is>
          <t>Urban Catalyst</t>
        </is>
      </c>
      <c r="B133" t="inlineStr">
        <is>
          <t>Прямая цифровая воронка 506(c)</t>
        </is>
      </c>
      <c r="C133" t="inlineStr">
        <is>
          <t>Платный поиск и YouTube</t>
        </is>
      </c>
      <c r="D133" t="n">
        <v>24</v>
      </c>
      <c r="E133" t="n">
        <v>0.162</v>
      </c>
    </row>
    <row r="134">
      <c r="A134" t="inlineStr">
        <is>
          <t>Urban Catalyst</t>
        </is>
      </c>
      <c r="B134" t="inlineStr">
        <is>
          <t>Прямая цифровая воронка 506(c)</t>
        </is>
      </c>
      <c r="C134" t="inlineStr">
        <is>
          <t>Платные соцсети</t>
        </is>
      </c>
      <c r="D134" t="n">
        <v>18</v>
      </c>
      <c r="E134" t="n">
        <v>0.121</v>
      </c>
    </row>
    <row r="135">
      <c r="A135" t="inlineStr">
        <is>
          <t>Urban Catalyst</t>
        </is>
      </c>
      <c r="B135" t="inlineStr">
        <is>
          <t>Прямая цифровая воронка 506(c)</t>
        </is>
      </c>
      <c r="C135" t="inlineStr">
        <is>
          <t>Email и CRM</t>
        </is>
      </c>
      <c r="D135" t="n">
        <v>12</v>
      </c>
      <c r="E135" t="n">
        <v>0.081</v>
      </c>
    </row>
    <row r="136">
      <c r="A136" t="inlineStr">
        <is>
          <t>Five Point Holdings (NYSE: FPH)</t>
        </is>
      </c>
      <c r="B136" t="inlineStr">
        <is>
          <t>Публичный рынок (IR, не маркетинг)</t>
        </is>
      </c>
      <c r="C136" t="inlineStr">
        <is>
          <t>Комиссии дистрибьюторам и агентам</t>
        </is>
      </c>
      <c r="D136" t="n">
        <v>5</v>
      </c>
      <c r="E136" t="n">
        <v>0.022</v>
      </c>
    </row>
    <row r="137">
      <c r="A137" t="inlineStr">
        <is>
          <t>Five Point Holdings (NYSE: FPH)</t>
        </is>
      </c>
      <c r="B137" t="inlineStr">
        <is>
          <t>Публичный рынок (IR, не маркетинг)</t>
        </is>
      </c>
      <c r="C137" t="inlineStr">
        <is>
          <t>События, роудшоу, конференции</t>
        </is>
      </c>
      <c r="D137" t="n">
        <v>22</v>
      </c>
      <c r="E137" t="n">
        <v>0.099</v>
      </c>
    </row>
    <row r="138">
      <c r="A138" t="inlineStr">
        <is>
          <t>Five Point Holdings (NYSE: FPH)</t>
        </is>
      </c>
      <c r="B138" t="inlineStr">
        <is>
          <t>Публичный рынок (IR, не маркетинг)</t>
        </is>
      </c>
      <c r="C138" t="inlineStr">
        <is>
          <t>Контент, печать, презентационные материалы</t>
        </is>
      </c>
      <c r="D138" t="n">
        <v>20</v>
      </c>
      <c r="E138" t="n">
        <v>0.09</v>
      </c>
    </row>
    <row r="139">
      <c r="A139" t="inlineStr">
        <is>
          <t>Five Point Holdings (NYSE: FPH)</t>
        </is>
      </c>
      <c r="B139" t="inlineStr">
        <is>
          <t>Публичный рынок (IR, не маркетинг)</t>
        </is>
      </c>
      <c r="C139" t="inlineStr">
        <is>
          <t>PR и отраслевые медиа</t>
        </is>
      </c>
      <c r="D139" t="n">
        <v>35</v>
      </c>
      <c r="E139" t="n">
        <v>0.158</v>
      </c>
    </row>
    <row r="140">
      <c r="A140" t="inlineStr">
        <is>
          <t>Five Point Holdings (NYSE: FPH)</t>
        </is>
      </c>
      <c r="B140" t="inlineStr">
        <is>
          <t>Публичный рынок (IR, не маркетинг)</t>
        </is>
      </c>
      <c r="C140" t="inlineStr">
        <is>
          <t>Платный поиск и YouTube</t>
        </is>
      </c>
      <c r="D140" t="n">
        <v>8</v>
      </c>
      <c r="E140" t="n">
        <v>0.036</v>
      </c>
    </row>
    <row r="141">
      <c r="A141" t="inlineStr">
        <is>
          <t>Five Point Holdings (NYSE: FPH)</t>
        </is>
      </c>
      <c r="B141" t="inlineStr">
        <is>
          <t>Публичный рынок (IR, не маркетинг)</t>
        </is>
      </c>
      <c r="C141" t="inlineStr">
        <is>
          <t>Платные соцсети</t>
        </is>
      </c>
      <c r="D141" t="n">
        <v>5</v>
      </c>
      <c r="E141" t="n">
        <v>0.022</v>
      </c>
    </row>
    <row r="142">
      <c r="A142" t="inlineStr">
        <is>
          <t>Five Point Holdings (NYSE: FPH)</t>
        </is>
      </c>
      <c r="B142" t="inlineStr">
        <is>
          <t>Публичный рынок (IR, не маркетинг)</t>
        </is>
      </c>
      <c r="C142" t="inlineStr">
        <is>
          <t>Email и CRM</t>
        </is>
      </c>
      <c r="D142" t="n">
        <v>5</v>
      </c>
      <c r="E142" t="n">
        <v>0.022</v>
      </c>
    </row>
    <row r="143">
      <c r="A143" t="inlineStr">
        <is>
          <t>Crow Holdings</t>
        </is>
      </c>
      <c r="B143" t="inlineStr">
        <is>
          <t>Институциональные LP / placement agents</t>
        </is>
      </c>
      <c r="C143" t="inlineStr">
        <is>
          <t>Комиссии дистрибьюторам и агентам</t>
        </is>
      </c>
      <c r="D143" t="n">
        <v>45</v>
      </c>
      <c r="E143" t="n">
        <v>2.34</v>
      </c>
    </row>
    <row r="144">
      <c r="A144" t="inlineStr">
        <is>
          <t>Crow Holdings</t>
        </is>
      </c>
      <c r="B144" t="inlineStr">
        <is>
          <t>Институциональные LP / placement agents</t>
        </is>
      </c>
      <c r="C144" t="inlineStr">
        <is>
          <t>События, роудшоу, конференции</t>
        </is>
      </c>
      <c r="D144" t="n">
        <v>25</v>
      </c>
      <c r="E144" t="n">
        <v>1.3</v>
      </c>
    </row>
    <row r="145">
      <c r="A145" t="inlineStr">
        <is>
          <t>Crow Holdings</t>
        </is>
      </c>
      <c r="B145" t="inlineStr">
        <is>
          <t>Институциональные LP / placement agents</t>
        </is>
      </c>
      <c r="C145" t="inlineStr">
        <is>
          <t>Контент, печать, презентационные материалы</t>
        </is>
      </c>
      <c r="D145" t="n">
        <v>12</v>
      </c>
      <c r="E145" t="n">
        <v>0.624</v>
      </c>
    </row>
    <row r="146">
      <c r="A146" t="inlineStr">
        <is>
          <t>Crow Holdings</t>
        </is>
      </c>
      <c r="B146" t="inlineStr">
        <is>
          <t>Институциональные LP / placement agents</t>
        </is>
      </c>
      <c r="C146" t="inlineStr">
        <is>
          <t>PR и отраслевые медиа</t>
        </is>
      </c>
      <c r="D146" t="n">
        <v>13</v>
      </c>
      <c r="E146" t="n">
        <v>0.676</v>
      </c>
    </row>
    <row r="147">
      <c r="A147" t="inlineStr">
        <is>
          <t>Crow Holdings</t>
        </is>
      </c>
      <c r="B147" t="inlineStr">
        <is>
          <t>Институциональные LP / placement agents</t>
        </is>
      </c>
      <c r="C147" t="inlineStr">
        <is>
          <t>Платный поиск и YouTube</t>
        </is>
      </c>
      <c r="D147" t="n">
        <v>0</v>
      </c>
      <c r="E147" t="n">
        <v>0</v>
      </c>
    </row>
    <row r="148">
      <c r="A148" t="inlineStr">
        <is>
          <t>Crow Holdings</t>
        </is>
      </c>
      <c r="B148" t="inlineStr">
        <is>
          <t>Институциональные LP / placement agents</t>
        </is>
      </c>
      <c r="C148" t="inlineStr">
        <is>
          <t>Платные соцсети</t>
        </is>
      </c>
      <c r="D148" t="n">
        <v>2</v>
      </c>
      <c r="E148" t="n">
        <v>0.104</v>
      </c>
    </row>
    <row r="149">
      <c r="A149" t="inlineStr">
        <is>
          <t>Crow Holdings</t>
        </is>
      </c>
      <c r="B149" t="inlineStr">
        <is>
          <t>Институциональные LP / placement agents</t>
        </is>
      </c>
      <c r="C149" t="inlineStr">
        <is>
          <t>Email и CRM</t>
        </is>
      </c>
      <c r="D149" t="n">
        <v>3</v>
      </c>
      <c r="E149" t="n">
        <v>0.156</v>
      </c>
    </row>
    <row r="150">
      <c r="A150" t="inlineStr">
        <is>
          <t>Bedrock Land Finance (TWG Global)</t>
        </is>
      </c>
      <c r="B150" t="inlineStr">
        <is>
          <t>Институциональные LP / placement agents</t>
        </is>
      </c>
      <c r="C150" t="inlineStr">
        <is>
          <t>Комиссии дистрибьюторам и агентам</t>
        </is>
      </c>
      <c r="D150" t="n">
        <v>45</v>
      </c>
      <c r="E150" t="n">
        <v>2.34</v>
      </c>
    </row>
    <row r="151">
      <c r="A151" t="inlineStr">
        <is>
          <t>Bedrock Land Finance (TWG Global)</t>
        </is>
      </c>
      <c r="B151" t="inlineStr">
        <is>
          <t>Институциональные LP / placement agents</t>
        </is>
      </c>
      <c r="C151" t="inlineStr">
        <is>
          <t>События, роудшоу, конференции</t>
        </is>
      </c>
      <c r="D151" t="n">
        <v>25</v>
      </c>
      <c r="E151" t="n">
        <v>1.3</v>
      </c>
    </row>
    <row r="152">
      <c r="A152" t="inlineStr">
        <is>
          <t>Bedrock Land Finance (TWG Global)</t>
        </is>
      </c>
      <c r="B152" t="inlineStr">
        <is>
          <t>Институциональные LP / placement agents</t>
        </is>
      </c>
      <c r="C152" t="inlineStr">
        <is>
          <t>Контент, печать, презентационные материалы</t>
        </is>
      </c>
      <c r="D152" t="n">
        <v>12</v>
      </c>
      <c r="E152" t="n">
        <v>0.624</v>
      </c>
    </row>
    <row r="153">
      <c r="A153" t="inlineStr">
        <is>
          <t>Bedrock Land Finance (TWG Global)</t>
        </is>
      </c>
      <c r="B153" t="inlineStr">
        <is>
          <t>Институциональные LP / placement agents</t>
        </is>
      </c>
      <c r="C153" t="inlineStr">
        <is>
          <t>PR и отраслевые медиа</t>
        </is>
      </c>
      <c r="D153" t="n">
        <v>13</v>
      </c>
      <c r="E153" t="n">
        <v>0.676</v>
      </c>
    </row>
    <row r="154">
      <c r="A154" t="inlineStr">
        <is>
          <t>Bedrock Land Finance (TWG Global)</t>
        </is>
      </c>
      <c r="B154" t="inlineStr">
        <is>
          <t>Институциональные LP / placement agents</t>
        </is>
      </c>
      <c r="C154" t="inlineStr">
        <is>
          <t>Платный поиск и YouTube</t>
        </is>
      </c>
      <c r="D154" t="n">
        <v>0</v>
      </c>
      <c r="E154" t="n">
        <v>0</v>
      </c>
    </row>
    <row r="155">
      <c r="A155" t="inlineStr">
        <is>
          <t>Bedrock Land Finance (TWG Global)</t>
        </is>
      </c>
      <c r="B155" t="inlineStr">
        <is>
          <t>Институциональные LP / placement agents</t>
        </is>
      </c>
      <c r="C155" t="inlineStr">
        <is>
          <t>Платные соцсети</t>
        </is>
      </c>
      <c r="D155" t="n">
        <v>2</v>
      </c>
      <c r="E155" t="n">
        <v>0.104</v>
      </c>
    </row>
    <row r="156">
      <c r="A156" t="inlineStr">
        <is>
          <t>Bedrock Land Finance (TWG Global)</t>
        </is>
      </c>
      <c r="B156" t="inlineStr">
        <is>
          <t>Институциональные LP / placement agents</t>
        </is>
      </c>
      <c r="C156" t="inlineStr">
        <is>
          <t>Email и CRM</t>
        </is>
      </c>
      <c r="D156" t="n">
        <v>3</v>
      </c>
      <c r="E156" t="n">
        <v>0.156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6" customWidth="1" min="2" max="2"/>
    <col width="11" customWidth="1" min="3" max="3"/>
    <col width="9" customWidth="1" min="4" max="4"/>
    <col width="62" customWidth="1" min="5" max="5"/>
    <col width="56" customWidth="1" min="6" max="6"/>
  </cols>
  <sheetData>
    <row r="1" ht="42" customHeight="1">
      <c r="A1" s="4" t="inlineStr">
        <is>
          <t>Компания</t>
        </is>
      </c>
      <c r="B1" s="4" t="inlineStr">
        <is>
          <t>Показатель</t>
        </is>
      </c>
      <c r="C1" s="4" t="inlineStr">
        <is>
          <t>Значение</t>
        </is>
      </c>
      <c r="D1" s="4" t="inlineStr">
        <is>
          <t>Статус</t>
        </is>
      </c>
      <c r="E1" s="4" t="inlineStr">
        <is>
          <t>Источник</t>
        </is>
      </c>
      <c r="F1" s="4" t="inlineStr">
        <is>
          <t>Примечание</t>
        </is>
      </c>
    </row>
    <row r="2">
      <c r="D2" s="19" t="n"/>
      <c r="F2" s="2" t="n"/>
    </row>
    <row r="3">
      <c r="A3" t="inlineStr">
        <is>
          <t>Walton Global</t>
        </is>
      </c>
      <c r="B3" t="inlineStr">
        <is>
          <t>Активных объявлений Google/YouTube (США)</t>
        </is>
      </c>
      <c r="C3" t="inlineStr">
        <is>
          <t>0</t>
        </is>
      </c>
      <c r="D3" s="13" t="inlineStr">
        <is>
          <t>FACT-M</t>
        </is>
      </c>
      <c r="E3" t="inlineStr">
        <is>
          <t>https://adstransparency.google.com/?region=US&amp;domain=walton.com</t>
        </is>
      </c>
      <c r="F3" s="2" t="inlineStr">
        <is>
          <t>Прямое измерение Google Ads Transparency Center, 05.10.2026. ATC не раскрывает суммы — только наличие и количество.</t>
        </is>
      </c>
    </row>
    <row r="4">
      <c r="A4" t="inlineStr">
        <is>
          <t>Millrose Properties</t>
        </is>
      </c>
      <c r="B4" t="inlineStr">
        <is>
          <t>Активных объявлений Google/YouTube (США)</t>
        </is>
      </c>
      <c r="C4" t="inlineStr">
        <is>
          <t>0</t>
        </is>
      </c>
      <c r="D4" s="13" t="inlineStr">
        <is>
          <t>FACT-M</t>
        </is>
      </c>
      <c r="E4" t="inlineStr">
        <is>
          <t>https://adstransparency.google.com/?region=US&amp;domain=millroseproperties.com</t>
        </is>
      </c>
      <c r="F4" s="2" t="inlineStr">
        <is>
          <t>Прямое измерение Google Ads Transparency Center, 05.10.2026. ATC не раскрывает суммы — только наличие и количество.</t>
        </is>
      </c>
    </row>
    <row r="5">
      <c r="A5" t="inlineStr">
        <is>
          <t>DLP Capital</t>
        </is>
      </c>
      <c r="B5" t="inlineStr">
        <is>
          <t>Активных объявлений Google/YouTube (США)</t>
        </is>
      </c>
      <c r="C5" t="inlineStr">
        <is>
          <t>16</t>
        </is>
      </c>
      <c r="D5" s="13" t="inlineStr">
        <is>
          <t>FACT-M</t>
        </is>
      </c>
      <c r="E5" t="inlineStr">
        <is>
          <t>https://adstransparency.google.com/?region=US&amp;domain=dlpcapital.com</t>
        </is>
      </c>
      <c r="F5" s="2" t="inlineStr">
        <is>
          <t>Прямое измерение Google Ads Transparency Center, 05.10.2026. ATC не раскрывает суммы — только наличие и количество.</t>
        </is>
      </c>
    </row>
    <row r="6">
      <c r="A6" t="inlineStr">
        <is>
          <t>Caliber</t>
        </is>
      </c>
      <c r="B6" t="inlineStr">
        <is>
          <t>Активных объявлений Google/YouTube (США)</t>
        </is>
      </c>
      <c r="C6" t="inlineStr">
        <is>
          <t>24</t>
        </is>
      </c>
      <c r="D6" s="13" t="inlineStr">
        <is>
          <t>FACT-M</t>
        </is>
      </c>
      <c r="E6" t="inlineStr">
        <is>
          <t>https://adstransparency.google.com/?region=US&amp;domain=caliberco.com</t>
        </is>
      </c>
      <c r="F6" s="2" t="inlineStr">
        <is>
          <t>Прямое измерение Google Ads Transparency Center, 05.10.2026. ATC не раскрывает суммы — только наличие и количество.</t>
        </is>
      </c>
    </row>
    <row r="7">
      <c r="A7" t="inlineStr">
        <is>
          <t>MLG Capital</t>
        </is>
      </c>
      <c r="B7" t="inlineStr">
        <is>
          <t>Активных объявлений Google/YouTube (США)</t>
        </is>
      </c>
      <c r="C7" t="inlineStr">
        <is>
          <t>22</t>
        </is>
      </c>
      <c r="D7" s="13" t="inlineStr">
        <is>
          <t>FACT-M</t>
        </is>
      </c>
      <c r="E7" t="inlineStr">
        <is>
          <t>https://adstransparency.google.com/?region=US&amp;domain=mlgcapital.com</t>
        </is>
      </c>
      <c r="F7" s="2" t="inlineStr">
        <is>
          <t>Прямое измерение Google Ads Transparency Center, 05.10.2026. ATC не раскрывает суммы — только наличие и количество.</t>
        </is>
      </c>
    </row>
    <row r="8">
      <c r="A8" t="inlineStr">
        <is>
          <t>AcreTrader</t>
        </is>
      </c>
      <c r="B8" t="inlineStr">
        <is>
          <t>Активных объявлений Google/YouTube (США)</t>
        </is>
      </c>
      <c r="C8" t="inlineStr">
        <is>
          <t>3</t>
        </is>
      </c>
      <c r="D8" s="13" t="inlineStr">
        <is>
          <t>FACT-M</t>
        </is>
      </c>
      <c r="E8" t="inlineStr">
        <is>
          <t>https://adstransparency.google.com/?region=US&amp;domain=acretrader.com</t>
        </is>
      </c>
      <c r="F8" s="2" t="inlineStr">
        <is>
          <t>Прямое измерение Google Ads Transparency Center, 05.10.2026. ATC не раскрывает суммы — только наличие и количество.</t>
        </is>
      </c>
    </row>
    <row r="9">
      <c r="A9" t="inlineStr">
        <is>
          <t>Forestar Group</t>
        </is>
      </c>
      <c r="B9" t="inlineStr">
        <is>
          <t>Активных объявлений Google/YouTube (США)</t>
        </is>
      </c>
      <c r="C9" t="inlineStr">
        <is>
          <t>60</t>
        </is>
      </c>
      <c r="D9" s="13" t="inlineStr">
        <is>
          <t>FACT-M</t>
        </is>
      </c>
      <c r="E9" t="inlineStr">
        <is>
          <t>https://adstransparency.google.com/?region=US&amp;domain=forestar.com</t>
        </is>
      </c>
      <c r="F9" s="2" t="inlineStr">
        <is>
          <t>Прямое измерение Google Ads Transparency Center, 05.10.2026. ATC не раскрывает суммы — только наличие и количество.</t>
        </is>
      </c>
    </row>
    <row r="10">
      <c r="A10" t="inlineStr">
        <is>
          <t>Howard Hughes Holdings</t>
        </is>
      </c>
      <c r="B10" t="inlineStr">
        <is>
          <t>Активных объявлений Google/YouTube (США)</t>
        </is>
      </c>
      <c r="C10" t="inlineStr">
        <is>
          <t>0</t>
        </is>
      </c>
      <c r="D10" s="13" t="inlineStr">
        <is>
          <t>FACT-M</t>
        </is>
      </c>
      <c r="E10" t="inlineStr">
        <is>
          <t>https://adstransparency.google.com/?region=US&amp;domain=howardhughes.com</t>
        </is>
      </c>
      <c r="F10" s="2" t="inlineStr">
        <is>
          <t>Прямое измерение Google Ads Transparency Center, 05.10.2026. ATC не раскрывает суммы — только наличие и количество.</t>
        </is>
      </c>
    </row>
    <row r="11">
      <c r="A11" t="inlineStr">
        <is>
          <t>The St. Joe Company</t>
        </is>
      </c>
      <c r="B11" t="inlineStr">
        <is>
          <t>Активных объявлений Google/YouTube (США)</t>
        </is>
      </c>
      <c r="C11" t="inlineStr">
        <is>
          <t>0</t>
        </is>
      </c>
      <c r="D11" s="13" t="inlineStr">
        <is>
          <t>FACT-M</t>
        </is>
      </c>
      <c r="E11" t="inlineStr">
        <is>
          <t>https://adstransparency.google.com/?region=US&amp;domain=joe.com</t>
        </is>
      </c>
      <c r="F11" s="2" t="inlineStr">
        <is>
          <t>Прямое измерение Google Ads Transparency Center, 05.10.2026. ATC не раскрывает суммы — только наличие и количество.</t>
        </is>
      </c>
    </row>
    <row r="12">
      <c r="A12" t="inlineStr">
        <is>
          <t>FarmTogether</t>
        </is>
      </c>
      <c r="B12" t="inlineStr">
        <is>
          <t>Активных объявлений Google/YouTube (США)</t>
        </is>
      </c>
      <c r="C12" t="inlineStr">
        <is>
          <t>24</t>
        </is>
      </c>
      <c r="D12" s="13" t="inlineStr">
        <is>
          <t>FACT-M</t>
        </is>
      </c>
      <c r="E12" t="inlineStr">
        <is>
          <t>https://adstransparency.google.com/?region=US&amp;domain=farmtogether.com</t>
        </is>
      </c>
      <c r="F12" s="2" t="inlineStr">
        <is>
          <t>Прямое измерение Google Ads Transparency Center, 05.10.2026. ATC не раскрывает суммы — только наличие и количество.</t>
        </is>
      </c>
    </row>
    <row r="13">
      <c r="A13" t="inlineStr">
        <is>
          <t>GSP REI</t>
        </is>
      </c>
      <c r="B13" t="inlineStr">
        <is>
          <t>Активных объявлений Google/YouTube (США)</t>
        </is>
      </c>
      <c r="C13" t="inlineStr">
        <is>
          <t>0</t>
        </is>
      </c>
      <c r="D13" s="13" t="inlineStr">
        <is>
          <t>FACT-M</t>
        </is>
      </c>
      <c r="E13" t="inlineStr">
        <is>
          <t>https://adstransparency.google.com/?region=US&amp;domain=gsprei.com</t>
        </is>
      </c>
      <c r="F13" s="2" t="inlineStr">
        <is>
          <t>Прямое измерение Google Ads Transparency Center, 05.10.2026. ATC не раскрывает суммы — только наличие и количество.</t>
        </is>
      </c>
    </row>
    <row r="14">
      <c r="A14" t="inlineStr">
        <is>
          <t>Domain Real Estate Partners</t>
        </is>
      </c>
      <c r="B14" t="inlineStr">
        <is>
          <t>Активных объявлений Google/YouTube (США)</t>
        </is>
      </c>
      <c r="C14" t="inlineStr">
        <is>
          <t>0</t>
        </is>
      </c>
      <c r="D14" s="13" t="inlineStr">
        <is>
          <t>FACT-M</t>
        </is>
      </c>
      <c r="E14" t="inlineStr">
        <is>
          <t>https://adstransparency.google.com/?region=US&amp;domain=domainrep.com</t>
        </is>
      </c>
      <c r="F14" s="2" t="inlineStr">
        <is>
          <t>Прямое измерение Google Ads Transparency Center, 05.10.2026. ATC не раскрывает суммы — только наличие и количество.</t>
        </is>
      </c>
    </row>
    <row r="15">
      <c r="A15" t="inlineStr">
        <is>
          <t>Crow Holdings</t>
        </is>
      </c>
      <c r="B15" t="inlineStr">
        <is>
          <t>Активных объявлений Google/YouTube (США)</t>
        </is>
      </c>
      <c r="C15" t="inlineStr">
        <is>
          <t>0</t>
        </is>
      </c>
      <c r="D15" s="13" t="inlineStr">
        <is>
          <t>FACT-M</t>
        </is>
      </c>
      <c r="E15" t="inlineStr">
        <is>
          <t>https://adstransparency.google.com/?region=US&amp;domain=crowholdings.com</t>
        </is>
      </c>
      <c r="F15" s="2" t="inlineStr">
        <is>
          <t>Прямое измерение Google Ads Transparency Center, 05.10.2026. ATC не раскрывает суммы — только наличие и количество.</t>
        </is>
      </c>
    </row>
    <row r="16">
      <c r="A16" t="inlineStr">
        <is>
          <t>BTI Partners</t>
        </is>
      </c>
      <c r="B16" t="inlineStr">
        <is>
          <t>Активных объявлений Google/YouTube (США)</t>
        </is>
      </c>
      <c r="C16" t="inlineStr">
        <is>
          <t>0</t>
        </is>
      </c>
      <c r="D16" s="13" t="inlineStr">
        <is>
          <t>FACT-M</t>
        </is>
      </c>
      <c r="E16" t="inlineStr">
        <is>
          <t>https://adstransparency.google.com/?region=US&amp;domain=btipartners.com</t>
        </is>
      </c>
      <c r="F16" s="2" t="inlineStr">
        <is>
          <t>Прямое измерение Google Ads Transparency Center, 05.10.2026. ATC не раскрывает суммы — только наличие и количество.</t>
        </is>
      </c>
    </row>
    <row r="17">
      <c r="A17" t="inlineStr">
        <is>
          <t>Tejon Ranch Co</t>
        </is>
      </c>
      <c r="B17" t="inlineStr">
        <is>
          <t>Активных объявлений Google/YouTube (США)</t>
        </is>
      </c>
      <c r="C17" t="inlineStr">
        <is>
          <t>0</t>
        </is>
      </c>
      <c r="D17" s="13" t="inlineStr">
        <is>
          <t>FACT-M</t>
        </is>
      </c>
      <c r="E17" t="inlineStr">
        <is>
          <t>https://adstransparency.google.com/?region=US&amp;domain=tejonranch.com</t>
        </is>
      </c>
      <c r="F17" s="2" t="inlineStr">
        <is>
          <t>Прямое измерение Google Ads Transparency Center, 05.10.2026. ATC не раскрывает суммы — только наличие и количество.</t>
        </is>
      </c>
    </row>
    <row r="18">
      <c r="A18" t="inlineStr">
        <is>
          <t>Allied Development</t>
        </is>
      </c>
      <c r="B18" t="inlineStr">
        <is>
          <t>Активных объявлений Google/YouTube (США)</t>
        </is>
      </c>
      <c r="C18" t="inlineStr">
        <is>
          <t>5</t>
        </is>
      </c>
      <c r="D18" s="13" t="inlineStr">
        <is>
          <t>FACT-M</t>
        </is>
      </c>
      <c r="E18" t="inlineStr">
        <is>
          <t>https://adstransparency.google.com/?region=US&amp;domain=alliedlandfund.com</t>
        </is>
      </c>
      <c r="F18" s="2" t="inlineStr">
        <is>
          <t>Прямое измерение Google Ads Transparency Center, 05.10.2026. ATC не раскрывает суммы — только наличие и количество.</t>
        </is>
      </c>
    </row>
    <row r="19">
      <c r="A19" t="inlineStr">
        <is>
          <t>13th Floor Investments</t>
        </is>
      </c>
      <c r="B19" t="inlineStr">
        <is>
          <t>Активных объявлений Google/YouTube (США)</t>
        </is>
      </c>
      <c r="C19" t="inlineStr">
        <is>
          <t>0</t>
        </is>
      </c>
      <c r="D19" s="13" t="inlineStr">
        <is>
          <t>FACT-M</t>
        </is>
      </c>
      <c r="E19" t="inlineStr">
        <is>
          <t>https://adstransparency.google.com/?region=US&amp;domain=13fi.com</t>
        </is>
      </c>
      <c r="F19" s="2" t="inlineStr">
        <is>
          <t>Прямое измерение Google Ads Transparency Center, 05.10.2026. ATC не раскрывает суммы — только наличие и количество.</t>
        </is>
      </c>
    </row>
    <row r="20">
      <c r="A20" t="inlineStr">
        <is>
          <t>Urban Catalyst</t>
        </is>
      </c>
      <c r="B20" t="inlineStr">
        <is>
          <t>Активных объявлений Google/YouTube (США)</t>
        </is>
      </c>
      <c r="C20" t="inlineStr">
        <is>
          <t>2</t>
        </is>
      </c>
      <c r="D20" s="13" t="inlineStr">
        <is>
          <t>FACT-M</t>
        </is>
      </c>
      <c r="E20" t="inlineStr">
        <is>
          <t>https://adstransparency.google.com/?region=US&amp;domain=urbancatalyst.com</t>
        </is>
      </c>
      <c r="F20" s="2" t="inlineStr">
        <is>
          <t>Прямое измерение Google Ads Transparency Center, 05.10.2026. ATC не раскрывает суммы — только наличие и количество.</t>
        </is>
      </c>
    </row>
    <row r="21">
      <c r="A21" t="inlineStr">
        <is>
          <t>Five Point Holdings</t>
        </is>
      </c>
      <c r="B21" t="inlineStr">
        <is>
          <t>Активных объявлений Google/YouTube (США)</t>
        </is>
      </c>
      <c r="C21" t="inlineStr">
        <is>
          <t>0</t>
        </is>
      </c>
      <c r="D21" s="13" t="inlineStr">
        <is>
          <t>FACT-M</t>
        </is>
      </c>
      <c r="E21" t="inlineStr">
        <is>
          <t>https://adstransparency.google.com/?region=US&amp;domain=fivepoint.com</t>
        </is>
      </c>
      <c r="F21" s="2" t="inlineStr">
        <is>
          <t>Прямое измерение Google Ads Transparency Center, 05.10.2026. ATC не раскрывает суммы — только наличие и количество.</t>
        </is>
      </c>
    </row>
    <row r="22">
      <c r="A22" t="inlineStr">
        <is>
          <t>Bedrock Land Finance</t>
        </is>
      </c>
      <c r="B22" t="inlineStr">
        <is>
          <t>Активных объявлений Google/YouTube (США)</t>
        </is>
      </c>
      <c r="C22" t="inlineStr">
        <is>
          <t>0</t>
        </is>
      </c>
      <c r="D22" s="13" t="inlineStr">
        <is>
          <t>FACT-M</t>
        </is>
      </c>
      <c r="E22" t="inlineStr">
        <is>
          <t>https://adstransparency.google.com/?region=US&amp;domain=bedrocklandfinance.com</t>
        </is>
      </c>
      <c r="F22" s="2" t="inlineStr">
        <is>
          <t>Прямое измерение Google Ads Transparency Center, 05.10.2026. ATC не раскрывает суммы — только наличие и количество.</t>
        </is>
      </c>
    </row>
    <row r="23">
      <c r="A23" t="inlineStr">
        <is>
          <t>Fundrise [бенчмарк]</t>
        </is>
      </c>
      <c r="B23" t="inlineStr">
        <is>
          <t>Активных объявлений Google/YouTube (США)</t>
        </is>
      </c>
      <c r="C23" t="inlineStr">
        <is>
          <t>200</t>
        </is>
      </c>
      <c r="D23" s="13" t="inlineStr">
        <is>
          <t>FACT-M</t>
        </is>
      </c>
      <c r="E23" t="inlineStr">
        <is>
          <t>https://adstransparency.google.com/?region=US&amp;domain=fundrise.com</t>
        </is>
      </c>
      <c r="F23" s="2" t="inlineStr">
        <is>
          <t>Прямое измерение Google Ads Transparency Center, 05.10.2026. ATC не раскрывает суммы — только наличие и количество.</t>
        </is>
      </c>
    </row>
    <row r="24">
      <c r="A24" t="inlineStr">
        <is>
          <t>Cardone Capital [бенчмарк]</t>
        </is>
      </c>
      <c r="B24" t="inlineStr">
        <is>
          <t>Активных объявлений Google/YouTube (США)</t>
        </is>
      </c>
      <c r="C24" t="inlineStr">
        <is>
          <t>69</t>
        </is>
      </c>
      <c r="D24" s="13" t="inlineStr">
        <is>
          <t>FACT-M</t>
        </is>
      </c>
      <c r="E24" t="inlineStr">
        <is>
          <t>https://adstransparency.google.com/?region=US&amp;domain=cardonecapital.com</t>
        </is>
      </c>
      <c r="F24" s="2" t="inlineStr">
        <is>
          <t>Прямое измерение Google Ads Transparency Center, 05.10.2026. ATC не раскрывает суммы — только наличие и количество.</t>
        </is>
      </c>
    </row>
    <row r="25">
      <c r="A25" t="inlineStr">
        <is>
          <t>Origin Investments [бенчмарк]</t>
        </is>
      </c>
      <c r="B25" t="inlineStr">
        <is>
          <t>Активных объявлений Google/YouTube (США)</t>
        </is>
      </c>
      <c r="C25" t="inlineStr">
        <is>
          <t>51</t>
        </is>
      </c>
      <c r="D25" s="13" t="inlineStr">
        <is>
          <t>FACT-M</t>
        </is>
      </c>
      <c r="E25" t="inlineStr">
        <is>
          <t>https://adstransparency.google.com/?region=US&amp;domain=origininvestments.com</t>
        </is>
      </c>
      <c r="F25" s="2" t="inlineStr">
        <is>
          <t>Прямое измерение Google Ads Transparency Center, 05.10.2026. ATC не раскрывает суммы — только наличие и количество.</t>
        </is>
      </c>
    </row>
    <row r="26">
      <c r="A26" t="inlineStr">
        <is>
          <t>CrowdStreet [бенчмарк]</t>
        </is>
      </c>
      <c r="B26" t="inlineStr">
        <is>
          <t>Активных объявлений Google/YouTube (США)</t>
        </is>
      </c>
      <c r="C26" t="inlineStr">
        <is>
          <t>32</t>
        </is>
      </c>
      <c r="D26" s="13" t="inlineStr">
        <is>
          <t>FACT-M</t>
        </is>
      </c>
      <c r="E26" t="inlineStr">
        <is>
          <t>https://adstransparency.google.com/?region=US&amp;domain=crowdstreet.com</t>
        </is>
      </c>
      <c r="F26" s="2" t="inlineStr">
        <is>
          <t>Прямое измерение Google Ads Transparency Center, 05.10.2026. ATC не раскрывает суммы — только наличие и количество.</t>
        </is>
      </c>
    </row>
    <row r="27">
      <c r="A27" t="inlineStr">
        <is>
          <t>RealtyMogul [бенчмарк]</t>
        </is>
      </c>
      <c r="B27" t="inlineStr">
        <is>
          <t>Активных объявлений Google/YouTube (США)</t>
        </is>
      </c>
      <c r="C27" t="inlineStr">
        <is>
          <t>29</t>
        </is>
      </c>
      <c r="D27" s="13" t="inlineStr">
        <is>
          <t>FACT-M</t>
        </is>
      </c>
      <c r="E27" t="inlineStr">
        <is>
          <t>https://adstransparency.google.com/?region=US&amp;domain=realtymogul.com</t>
        </is>
      </c>
      <c r="F27" s="2" t="inlineStr">
        <is>
          <t>Прямое измерение Google Ads Transparency Center, 05.10.2026. ATC не раскрывает суммы — только наличие и количество.</t>
        </is>
      </c>
    </row>
    <row r="28">
      <c r="A28" t="inlineStr">
        <is>
          <t>New Western [бенчмарк]</t>
        </is>
      </c>
      <c r="B28" t="inlineStr">
        <is>
          <t>Активных объявлений Google/YouTube (США)</t>
        </is>
      </c>
      <c r="C28" t="inlineStr">
        <is>
          <t>200</t>
        </is>
      </c>
      <c r="D28" s="13" t="inlineStr">
        <is>
          <t>FACT-M</t>
        </is>
      </c>
      <c r="E28" t="inlineStr">
        <is>
          <t>https://adstransparency.google.com/?region=US&amp;domain=newwestern.com</t>
        </is>
      </c>
      <c r="F28" s="2" t="inlineStr">
        <is>
          <t>Прямое измерение Google Ads Transparency Center, 05.10.2026. ATC не раскрывает суммы — только наличие и количество.</t>
        </is>
      </c>
    </row>
    <row r="29">
      <c r="A29" t="inlineStr">
        <is>
          <t>Brookfield Residential [бенчмарк]</t>
        </is>
      </c>
      <c r="B29" t="inlineStr">
        <is>
          <t>Активных объявлений Google/YouTube (США)</t>
        </is>
      </c>
      <c r="C29" t="inlineStr">
        <is>
          <t>700</t>
        </is>
      </c>
      <c r="D29" s="13" t="inlineStr">
        <is>
          <t>FACT-M</t>
        </is>
      </c>
      <c r="E29" t="inlineStr">
        <is>
          <t>https://adstransparency.google.com/?region=US&amp;domain=brookfieldresidential.com</t>
        </is>
      </c>
      <c r="F29" s="2" t="inlineStr">
        <is>
          <t>Прямое измерение Google Ads Transparency Center, 05.10.2026. ATC не раскрывает суммы — только наличие и количество.</t>
        </is>
      </c>
    </row>
    <row r="30">
      <c r="A30" t="inlineStr">
        <is>
          <t>Land Advisors [бенчмарк]</t>
        </is>
      </c>
      <c r="B30" t="inlineStr">
        <is>
          <t>Активных объявлений Google/YouTube (США)</t>
        </is>
      </c>
      <c r="C30" t="inlineStr">
        <is>
          <t>16</t>
        </is>
      </c>
      <c r="D30" s="13" t="inlineStr">
        <is>
          <t>FACT-M</t>
        </is>
      </c>
      <c r="E30" t="inlineStr">
        <is>
          <t>https://adstransparency.google.com/?region=US&amp;domain=landadvisors.com</t>
        </is>
      </c>
      <c r="F30" s="2" t="inlineStr">
        <is>
          <t>Прямое измерение Google Ads Transparency Center, 05.10.2026. ATC не раскрывает суммы — только наличие и количество.</t>
        </is>
      </c>
    </row>
    <row r="31">
      <c r="A31" t="inlineStr">
        <is>
          <t>LandGate [бенчмарк]</t>
        </is>
      </c>
      <c r="B31" t="inlineStr">
        <is>
          <t>Активных объявлений Google/YouTube (США)</t>
        </is>
      </c>
      <c r="C31" t="inlineStr">
        <is>
          <t>53</t>
        </is>
      </c>
      <c r="D31" s="13" t="inlineStr">
        <is>
          <t>FACT-M</t>
        </is>
      </c>
      <c r="E31" t="inlineStr">
        <is>
          <t>https://adstransparency.google.com/?region=US&amp;domain=landgate.com</t>
        </is>
      </c>
      <c r="F31" s="2" t="inlineStr">
        <is>
          <t>Прямое измерение Google Ads Transparency Center, 05.10.2026. ATC не раскрывает суммы — только наличие и количество.</t>
        </is>
      </c>
    </row>
    <row r="32">
      <c r="A32" t="inlineStr">
        <is>
          <t>EquityMultiple [бенчмарк]</t>
        </is>
      </c>
      <c r="B32" t="inlineStr">
        <is>
          <t>Активных объявлений Google/YouTube (США)</t>
        </is>
      </c>
      <c r="C32" t="inlineStr">
        <is>
          <t>7</t>
        </is>
      </c>
      <c r="D32" s="13" t="inlineStr">
        <is>
          <t>FACT-M</t>
        </is>
      </c>
      <c r="E32" t="inlineStr">
        <is>
          <t>https://adstransparency.google.com/?region=US&amp;domain=equitymultiple.com</t>
        </is>
      </c>
      <c r="F32" s="2" t="inlineStr">
        <is>
          <t>Прямое измерение Google Ads Transparency Center, 05.10.2026. ATC не раскрывает суммы — только наличие и количество.</t>
        </is>
      </c>
    </row>
    <row r="33">
      <c r="A33" t="inlineStr">
        <is>
          <t>Yieldstreet [бенчмарк]</t>
        </is>
      </c>
      <c r="B33" t="inlineStr">
        <is>
          <t>Активных объявлений Google/YouTube (США)</t>
        </is>
      </c>
      <c r="C33" t="inlineStr">
        <is>
          <t>2</t>
        </is>
      </c>
      <c r="D33" s="13" t="inlineStr">
        <is>
          <t>FACT-M</t>
        </is>
      </c>
      <c r="E33" t="inlineStr">
        <is>
          <t>https://adstransparency.google.com/?region=US&amp;domain=yieldstreet.com</t>
        </is>
      </c>
      <c r="F33" s="2" t="inlineStr">
        <is>
          <t>Прямое измерение Google Ads Transparency Center, 05.10.2026. ATC не раскрывает суммы — только наличие и количество.</t>
        </is>
      </c>
    </row>
    <row r="34">
      <c r="A34" t="inlineStr">
        <is>
          <t>Belpointe OZ</t>
        </is>
      </c>
      <c r="B34" t="inlineStr">
        <is>
          <t>Активных объявлений Google/YouTube (США)</t>
        </is>
      </c>
      <c r="C34" t="inlineStr">
        <is>
          <t>0</t>
        </is>
      </c>
      <c r="D34" s="13" t="inlineStr">
        <is>
          <t>FACT-M</t>
        </is>
      </c>
      <c r="E34" t="inlineStr">
        <is>
          <t>https://adstransparency.google.com/?region=US&amp;domain=belpointeoz.com</t>
        </is>
      </c>
      <c r="F34" s="2" t="inlineStr">
        <is>
          <t>Прямое измерение Google Ads Transparency Center, 05.10.2026. ATC не раскрывает суммы — только наличие и количество.</t>
        </is>
      </c>
    </row>
    <row r="35">
      <c r="A35" t="inlineStr">
        <is>
          <t>NexMetro</t>
        </is>
      </c>
      <c r="B35" t="inlineStr">
        <is>
          <t>Активных объявлений Google/YouTube (США)</t>
        </is>
      </c>
      <c r="C35" t="inlineStr">
        <is>
          <t>0</t>
        </is>
      </c>
      <c r="D35" s="13" t="inlineStr">
        <is>
          <t>FACT-M</t>
        </is>
      </c>
      <c r="E35" t="inlineStr">
        <is>
          <t>https://adstransparency.google.com/?region=US&amp;domain=nexmetro.com</t>
        </is>
      </c>
      <c r="F35" s="2" t="inlineStr">
        <is>
          <t>Прямое измерение Google Ads Transparency Center, 05.10.2026. ATC не раскрывает суммы — только наличие и количество.</t>
        </is>
      </c>
    </row>
    <row r="36">
      <c r="A36" t="inlineStr">
        <is>
          <t>GTIS Partners</t>
        </is>
      </c>
      <c r="B36" t="inlineStr">
        <is>
          <t>Активных объявлений Google/YouTube (США)</t>
        </is>
      </c>
      <c r="C36" t="inlineStr">
        <is>
          <t>0</t>
        </is>
      </c>
      <c r="D36" s="13" t="inlineStr">
        <is>
          <t>FACT-M</t>
        </is>
      </c>
      <c r="E36" t="inlineStr">
        <is>
          <t>https://adstransparency.google.com/?region=US&amp;domain=gtispartners.com</t>
        </is>
      </c>
      <c r="F36" s="2" t="inlineStr">
        <is>
          <t>Прямое измерение Google Ads Transparency Center, 05.10.2026. ATC не раскрывает суммы — только наличие и количество.</t>
        </is>
      </c>
    </row>
    <row r="37">
      <c r="A37" t="inlineStr">
        <is>
          <t>Promised Land OZ</t>
        </is>
      </c>
      <c r="B37" t="inlineStr">
        <is>
          <t>Активных объявлений Google/YouTube (США)</t>
        </is>
      </c>
      <c r="C37" t="inlineStr">
        <is>
          <t>0</t>
        </is>
      </c>
      <c r="D37" s="13" t="inlineStr">
        <is>
          <t>FACT-M</t>
        </is>
      </c>
      <c r="E37" t="inlineStr">
        <is>
          <t>https://adstransparency.google.com/?region=US&amp;domain=promisedland.fund</t>
        </is>
      </c>
      <c r="F37" s="2" t="inlineStr">
        <is>
          <t>Прямое измерение Google Ads Transparency Center, 05.10.2026. ATC не раскрывает суммы — только наличие и количество.</t>
        </is>
      </c>
    </row>
    <row r="38">
      <c r="A38" t="inlineStr">
        <is>
          <t>Hines</t>
        </is>
      </c>
      <c r="B38" t="inlineStr">
        <is>
          <t>Активных объявлений Google/YouTube (США)</t>
        </is>
      </c>
      <c r="C38" t="inlineStr">
        <is>
          <t>4</t>
        </is>
      </c>
      <c r="D38" s="13" t="inlineStr">
        <is>
          <t>FACT-M</t>
        </is>
      </c>
      <c r="E38" t="inlineStr">
        <is>
          <t>https://adstransparency.google.com/?region=US&amp;domain=hines.com</t>
        </is>
      </c>
      <c r="F38" s="2" t="inlineStr">
        <is>
          <t>Прямое измерение Google Ads Transparency Center, 05.10.2026. ATC не раскрывает суммы — только наличие и количество.</t>
        </is>
      </c>
    </row>
    <row r="39">
      <c r="A39" t="inlineStr">
        <is>
          <t>Walton Global</t>
        </is>
      </c>
      <c r="B39" t="inlineStr">
        <is>
          <t>Число отдельных Reg D-эмитентов (после очистки от однофамильцев)</t>
        </is>
      </c>
      <c r="C39" t="inlineStr">
        <is>
          <t>44</t>
        </is>
      </c>
      <c r="D39" s="13" t="inlineStr">
        <is>
          <t>FACT-M</t>
        </is>
      </c>
      <c r="E39" t="inlineStr">
        <is>
          <t>https://www.sec.gov/cgi-bin/browse-edgar?action=getcompany&amp;company=Walton+Global&amp;type=D&amp;dateb=&amp;owner=include&amp;count=100</t>
        </is>
      </c>
      <c r="F39" s="2" t="inlineStr">
        <is>
          <t>SEC EDGAR, выгрузка 05.10.2026. Имена эмитентов отфильтрованы по включающему/исключающему паттерну.</t>
        </is>
      </c>
    </row>
    <row r="40">
      <c r="A40" t="inlineStr">
        <is>
          <t>Walton Global</t>
        </is>
      </c>
      <c r="B40" t="inlineStr">
        <is>
          <t>Подано форм D (всего)</t>
        </is>
      </c>
      <c r="C40" t="inlineStr">
        <is>
          <t>118</t>
        </is>
      </c>
      <c r="D40" s="13" t="inlineStr">
        <is>
          <t>FACT-M</t>
        </is>
      </c>
      <c r="E40" t="inlineStr">
        <is>
          <t>https://www.sec.gov/cgi-bin/browse-edgar?action=getcompany&amp;company=Walton+Global&amp;type=D&amp;dateb=&amp;owner=include&amp;count=100</t>
        </is>
      </c>
      <c r="F40" s="2" t="inlineStr"/>
    </row>
    <row r="41">
      <c r="A41" t="inlineStr">
        <is>
          <t>Walton Global</t>
        </is>
      </c>
      <c r="B41" t="inlineStr">
        <is>
          <t>Подано форм D с 01.01.2024 (текущая активность)</t>
        </is>
      </c>
      <c r="C41" t="inlineStr">
        <is>
          <t>6</t>
        </is>
      </c>
      <c r="D41" s="13" t="inlineStr">
        <is>
          <t>FACT-M</t>
        </is>
      </c>
      <c r="E41" t="inlineStr">
        <is>
          <t>https://www.sec.gov/cgi-bin/browse-edgar?action=getcompany&amp;company=Walton+Global&amp;type=D&amp;dateb=&amp;owner=include&amp;count=100</t>
        </is>
      </c>
      <c r="F41" s="2" t="inlineStr"/>
    </row>
    <row r="42">
      <c r="A42" t="inlineStr">
        <is>
          <t>Walton Global</t>
        </is>
      </c>
      <c r="B42" t="inlineStr">
        <is>
          <t>Доля предложений 506(c), % — право на публичную рекламу</t>
        </is>
      </c>
      <c r="C42" t="inlineStr">
        <is>
          <t>0.0</t>
        </is>
      </c>
      <c r="D42" s="13" t="inlineStr">
        <is>
          <t>FACT-M</t>
        </is>
      </c>
      <c r="E42" t="inlineStr">
        <is>
          <t>https://www.sec.gov/cgi-bin/browse-edgar?action=getcompany&amp;company=Walton+Global&amp;type=D&amp;dateb=&amp;owner=include&amp;count=100</t>
        </is>
      </c>
      <c r="F42" s="2" t="inlineStr">
        <is>
          <t>Поле federalExemptionsExclusions в primary_doc.xml. 506(b) ЗАПРЕЩАЕТ general solicitation.</t>
        </is>
      </c>
    </row>
    <row r="43">
      <c r="A43" t="inlineStr">
        <is>
          <t>Walton Global</t>
        </is>
      </c>
      <c r="B43" t="inlineStr">
        <is>
          <t>Сумма продано по формам D, $млн</t>
        </is>
      </c>
      <c r="C43" t="inlineStr">
        <is>
          <t>8276</t>
        </is>
      </c>
      <c r="D43" s="13" t="inlineStr">
        <is>
          <t>FACT-M</t>
        </is>
      </c>
      <c r="E43" t="inlineStr">
        <is>
          <t>https://www.sec.gov/cgi-bin/browse-edgar?action=getcompany&amp;company=Walton+Global&amp;type=D&amp;dateb=&amp;owner=include&amp;count=100</t>
        </is>
      </c>
      <c r="F43" s="2" t="inlineStr">
        <is>
          <t>Сумма totalAmountSold по разобранным формам с 2019 г. Не равна AUM.</t>
        </is>
      </c>
    </row>
    <row r="44">
      <c r="A44" t="inlineStr">
        <is>
          <t>Walton Global</t>
        </is>
      </c>
      <c r="B44" t="inlineStr">
        <is>
          <t>Медианный минимальный чек по формам D, $</t>
        </is>
      </c>
      <c r="C44" t="inlineStr">
        <is>
          <t>500</t>
        </is>
      </c>
      <c r="D44" s="13" t="inlineStr">
        <is>
          <t>FACT-M</t>
        </is>
      </c>
      <c r="E44" t="inlineStr">
        <is>
          <t>https://www.sec.gov/cgi-bin/browse-edgar?action=getcompany&amp;company=Walton+Global&amp;type=D&amp;dateb=&amp;owner=include&amp;count=100</t>
        </is>
      </c>
      <c r="F44" s="2" t="inlineStr">
        <is>
          <t>Медиана minimumInvestmentAccepted по ненулевым значениям.</t>
        </is>
      </c>
    </row>
    <row r="45">
      <c r="A45" t="inlineStr">
        <is>
          <t>Walton Global</t>
        </is>
      </c>
      <c r="B45" t="inlineStr">
        <is>
          <t>Инвесторов по формам D (сумма totalNumberAlreadyInvested)</t>
        </is>
      </c>
      <c r="C45" t="inlineStr">
        <is>
          <t>516</t>
        </is>
      </c>
      <c r="D45" s="13" t="inlineStr">
        <is>
          <t>FACT-M</t>
        </is>
      </c>
      <c r="E45" t="inlineStr">
        <is>
          <t>https://www.sec.gov/cgi-bin/browse-edgar?action=getcompany&amp;company=Walton+Global&amp;type=D&amp;dateb=&amp;owner=include&amp;count=100</t>
        </is>
      </c>
      <c r="F45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46">
      <c r="A46" t="inlineStr">
        <is>
          <t>DLP Capital</t>
        </is>
      </c>
      <c r="B46" t="inlineStr">
        <is>
          <t>Число отдельных Reg D-эмитентов (после очистки от однофамильцев)</t>
        </is>
      </c>
      <c r="C46" t="inlineStr">
        <is>
          <t>22</t>
        </is>
      </c>
      <c r="D46" s="13" t="inlineStr">
        <is>
          <t>FACT-M</t>
        </is>
      </c>
      <c r="E46" t="inlineStr">
        <is>
          <t>https://www.sec.gov/cgi-bin/browse-edgar?action=getcompany&amp;company=DLP+Capital&amp;type=D&amp;dateb=&amp;owner=include&amp;count=100</t>
        </is>
      </c>
      <c r="F46" s="2" t="inlineStr">
        <is>
          <t>SEC EDGAR, выгрузка 05.10.2026. Имена эмитентов отфильтрованы по включающему/исключающему паттерну.</t>
        </is>
      </c>
    </row>
    <row r="47">
      <c r="A47" t="inlineStr">
        <is>
          <t>DLP Capital</t>
        </is>
      </c>
      <c r="B47" t="inlineStr">
        <is>
          <t>Подано форм D (всего)</t>
        </is>
      </c>
      <c r="C47" t="inlineStr">
        <is>
          <t>51</t>
        </is>
      </c>
      <c r="D47" s="13" t="inlineStr">
        <is>
          <t>FACT-M</t>
        </is>
      </c>
      <c r="E47" t="inlineStr">
        <is>
          <t>https://www.sec.gov/cgi-bin/browse-edgar?action=getcompany&amp;company=DLP+Capital&amp;type=D&amp;dateb=&amp;owner=include&amp;count=100</t>
        </is>
      </c>
      <c r="F47" s="2" t="inlineStr"/>
    </row>
    <row r="48">
      <c r="A48" t="inlineStr">
        <is>
          <t>DLP Capital</t>
        </is>
      </c>
      <c r="B48" t="inlineStr">
        <is>
          <t>Подано форм D с 01.01.2024 (текущая активность)</t>
        </is>
      </c>
      <c r="C48" t="inlineStr">
        <is>
          <t>21</t>
        </is>
      </c>
      <c r="D48" s="13" t="inlineStr">
        <is>
          <t>FACT-M</t>
        </is>
      </c>
      <c r="E48" t="inlineStr">
        <is>
          <t>https://www.sec.gov/cgi-bin/browse-edgar?action=getcompany&amp;company=DLP+Capital&amp;type=D&amp;dateb=&amp;owner=include&amp;count=100</t>
        </is>
      </c>
      <c r="F48" s="2" t="inlineStr"/>
    </row>
    <row r="49">
      <c r="A49" t="inlineStr">
        <is>
          <t>DLP Capital</t>
        </is>
      </c>
      <c r="B49" t="inlineStr">
        <is>
          <t>Доля предложений 506(c), % — право на публичную рекламу</t>
        </is>
      </c>
      <c r="C49" t="inlineStr">
        <is>
          <t>73.8</t>
        </is>
      </c>
      <c r="D49" s="13" t="inlineStr">
        <is>
          <t>FACT-M</t>
        </is>
      </c>
      <c r="E49" t="inlineStr">
        <is>
          <t>https://www.sec.gov/cgi-bin/browse-edgar?action=getcompany&amp;company=DLP+Capital&amp;type=D&amp;dateb=&amp;owner=include&amp;count=100</t>
        </is>
      </c>
      <c r="F49" s="2" t="inlineStr">
        <is>
          <t>Поле federalExemptionsExclusions в primary_doc.xml. 506(b) ЗАПРЕЩАЕТ general solicitation.</t>
        </is>
      </c>
    </row>
    <row r="50">
      <c r="A50" t="inlineStr">
        <is>
          <t>DLP Capital</t>
        </is>
      </c>
      <c r="B50" t="inlineStr">
        <is>
          <t>Сумма продано по формам D, $млн</t>
        </is>
      </c>
      <c r="C50" t="inlineStr">
        <is>
          <t>4206</t>
        </is>
      </c>
      <c r="D50" s="13" t="inlineStr">
        <is>
          <t>FACT-M</t>
        </is>
      </c>
      <c r="E50" t="inlineStr">
        <is>
          <t>https://www.sec.gov/cgi-bin/browse-edgar?action=getcompany&amp;company=DLP+Capital&amp;type=D&amp;dateb=&amp;owner=include&amp;count=100</t>
        </is>
      </c>
      <c r="F50" s="2" t="inlineStr">
        <is>
          <t>Сумма totalAmountSold по разобранным формам с 2019 г. Не равна AUM.</t>
        </is>
      </c>
    </row>
    <row r="51">
      <c r="A51" t="inlineStr">
        <is>
          <t>DLP Capital</t>
        </is>
      </c>
      <c r="B51" t="inlineStr">
        <is>
          <t>Медианный минимальный чек по формам D, $</t>
        </is>
      </c>
      <c r="C51" t="inlineStr">
        <is>
          <t>200000</t>
        </is>
      </c>
      <c r="D51" s="13" t="inlineStr">
        <is>
          <t>FACT-M</t>
        </is>
      </c>
      <c r="E51" t="inlineStr">
        <is>
          <t>https://www.sec.gov/cgi-bin/browse-edgar?action=getcompany&amp;company=DLP+Capital&amp;type=D&amp;dateb=&amp;owner=include&amp;count=100</t>
        </is>
      </c>
      <c r="F51" s="2" t="inlineStr">
        <is>
          <t>Медиана minimumInvestmentAccepted по ненулевым значениям.</t>
        </is>
      </c>
    </row>
    <row r="52">
      <c r="A52" t="inlineStr">
        <is>
          <t>DLP Capital</t>
        </is>
      </c>
      <c r="B52" t="inlineStr">
        <is>
          <t>Инвесторов по формам D (сумма totalNumberAlreadyInvested)</t>
        </is>
      </c>
      <c r="C52" t="inlineStr">
        <is>
          <t>11550</t>
        </is>
      </c>
      <c r="D52" s="13" t="inlineStr">
        <is>
          <t>FACT-M</t>
        </is>
      </c>
      <c r="E52" t="inlineStr">
        <is>
          <t>https://www.sec.gov/cgi-bin/browse-edgar?action=getcompany&amp;company=DLP+Capital&amp;type=D&amp;dateb=&amp;owner=include&amp;count=100</t>
        </is>
      </c>
      <c r="F52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53">
      <c r="A53" t="inlineStr">
        <is>
          <t>Caliber</t>
        </is>
      </c>
      <c r="B53" t="inlineStr">
        <is>
          <t>Число отдельных Reg D-эмитентов (после очистки от однофамильцев)</t>
        </is>
      </c>
      <c r="C53" t="inlineStr">
        <is>
          <t>29</t>
        </is>
      </c>
      <c r="D53" s="13" t="inlineStr">
        <is>
          <t>FACT-M</t>
        </is>
      </c>
      <c r="E53" t="inlineStr">
        <is>
          <t>https://www.sec.gov/cgi-bin/browse-edgar?action=getcompany&amp;company=Caliber&amp;type=D&amp;dateb=&amp;owner=include&amp;count=100</t>
        </is>
      </c>
      <c r="F53" s="2" t="inlineStr">
        <is>
          <t>SEC EDGAR, выгрузка 05.10.2026. Имена эмитентов отфильтрованы по включающему/исключающему паттерну.</t>
        </is>
      </c>
    </row>
    <row r="54">
      <c r="A54" t="inlineStr">
        <is>
          <t>Caliber</t>
        </is>
      </c>
      <c r="B54" t="inlineStr">
        <is>
          <t>Подано форм D (всего)</t>
        </is>
      </c>
      <c r="C54" t="inlineStr">
        <is>
          <t>106</t>
        </is>
      </c>
      <c r="D54" s="13" t="inlineStr">
        <is>
          <t>FACT-M</t>
        </is>
      </c>
      <c r="E54" t="inlineStr">
        <is>
          <t>https://www.sec.gov/cgi-bin/browse-edgar?action=getcompany&amp;company=Caliber&amp;type=D&amp;dateb=&amp;owner=include&amp;count=100</t>
        </is>
      </c>
      <c r="F54" s="2" t="inlineStr"/>
    </row>
    <row r="55">
      <c r="A55" t="inlineStr">
        <is>
          <t>Caliber</t>
        </is>
      </c>
      <c r="B55" t="inlineStr">
        <is>
          <t>Подано форм D с 01.01.2024 (текущая активность)</t>
        </is>
      </c>
      <c r="C55" t="inlineStr">
        <is>
          <t>39</t>
        </is>
      </c>
      <c r="D55" s="13" t="inlineStr">
        <is>
          <t>FACT-M</t>
        </is>
      </c>
      <c r="E55" t="inlineStr">
        <is>
          <t>https://www.sec.gov/cgi-bin/browse-edgar?action=getcompany&amp;company=Caliber&amp;type=D&amp;dateb=&amp;owner=include&amp;count=100</t>
        </is>
      </c>
      <c r="F55" s="2" t="inlineStr"/>
    </row>
    <row r="56">
      <c r="A56" t="inlineStr">
        <is>
          <t>Caliber</t>
        </is>
      </c>
      <c r="B56" t="inlineStr">
        <is>
          <t>Доля предложений 506(c), % — право на публичную рекламу</t>
        </is>
      </c>
      <c r="C56" t="inlineStr">
        <is>
          <t>57.7</t>
        </is>
      </c>
      <c r="D56" s="13" t="inlineStr">
        <is>
          <t>FACT-M</t>
        </is>
      </c>
      <c r="E56" t="inlineStr">
        <is>
          <t>https://www.sec.gov/cgi-bin/browse-edgar?action=getcompany&amp;company=Caliber&amp;type=D&amp;dateb=&amp;owner=include&amp;count=100</t>
        </is>
      </c>
      <c r="F56" s="2" t="inlineStr">
        <is>
          <t>Поле federalExemptionsExclusions в primary_doc.xml. 506(b) ЗАПРЕЩАЕТ general solicitation.</t>
        </is>
      </c>
    </row>
    <row r="57">
      <c r="A57" t="inlineStr">
        <is>
          <t>Caliber</t>
        </is>
      </c>
      <c r="B57" t="inlineStr">
        <is>
          <t>Сумма продано по формам D, $млн</t>
        </is>
      </c>
      <c r="C57" t="inlineStr">
        <is>
          <t>1321</t>
        </is>
      </c>
      <c r="D57" s="13" t="inlineStr">
        <is>
          <t>FACT-M</t>
        </is>
      </c>
      <c r="E57" t="inlineStr">
        <is>
          <t>https://www.sec.gov/cgi-bin/browse-edgar?action=getcompany&amp;company=Caliber&amp;type=D&amp;dateb=&amp;owner=include&amp;count=100</t>
        </is>
      </c>
      <c r="F57" s="2" t="inlineStr">
        <is>
          <t>Сумма totalAmountSold по разобранным формам с 2019 г. Не равна AUM.</t>
        </is>
      </c>
    </row>
    <row r="58">
      <c r="A58" t="inlineStr">
        <is>
          <t>Caliber</t>
        </is>
      </c>
      <c r="B58" t="inlineStr">
        <is>
          <t>Медианный минимальный чек по формам D, $</t>
        </is>
      </c>
      <c r="C58" t="inlineStr">
        <is>
          <t>20000</t>
        </is>
      </c>
      <c r="D58" s="13" t="inlineStr">
        <is>
          <t>FACT-M</t>
        </is>
      </c>
      <c r="E58" t="inlineStr">
        <is>
          <t>https://www.sec.gov/cgi-bin/browse-edgar?action=getcompany&amp;company=Caliber&amp;type=D&amp;dateb=&amp;owner=include&amp;count=100</t>
        </is>
      </c>
      <c r="F58" s="2" t="inlineStr">
        <is>
          <t>Медиана minimumInvestmentAccepted по ненулевым значениям.</t>
        </is>
      </c>
    </row>
    <row r="59">
      <c r="A59" t="inlineStr">
        <is>
          <t>Caliber</t>
        </is>
      </c>
      <c r="B59" t="inlineStr">
        <is>
          <t>Инвесторов по формам D (сумма totalNumberAlreadyInvested)</t>
        </is>
      </c>
      <c r="C59" t="inlineStr">
        <is>
          <t>4547</t>
        </is>
      </c>
      <c r="D59" s="13" t="inlineStr">
        <is>
          <t>FACT-M</t>
        </is>
      </c>
      <c r="E59" t="inlineStr">
        <is>
          <t>https://www.sec.gov/cgi-bin/browse-edgar?action=getcompany&amp;company=Caliber&amp;type=D&amp;dateb=&amp;owner=include&amp;count=100</t>
        </is>
      </c>
      <c r="F59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60">
      <c r="A60" t="inlineStr">
        <is>
          <t>MLG Capital</t>
        </is>
      </c>
      <c r="B60" t="inlineStr">
        <is>
          <t>Число отдельных Reg D-эмитентов (после очистки от однофамильцев)</t>
        </is>
      </c>
      <c r="C60" t="inlineStr">
        <is>
          <t>45</t>
        </is>
      </c>
      <c r="D60" s="13" t="inlineStr">
        <is>
          <t>FACT-M</t>
        </is>
      </c>
      <c r="E60" t="inlineStr">
        <is>
          <t>https://www.sec.gov/cgi-bin/browse-edgar?action=getcompany&amp;company=MLG+Capital&amp;type=D&amp;dateb=&amp;owner=include&amp;count=100</t>
        </is>
      </c>
      <c r="F60" s="2" t="inlineStr">
        <is>
          <t>SEC EDGAR, выгрузка 05.10.2026. Имена эмитентов отфильтрованы по включающему/исключающему паттерну.</t>
        </is>
      </c>
    </row>
    <row r="61">
      <c r="A61" t="inlineStr">
        <is>
          <t>MLG Capital</t>
        </is>
      </c>
      <c r="B61" t="inlineStr">
        <is>
          <t>Подано форм D (всего)</t>
        </is>
      </c>
      <c r="C61" t="inlineStr">
        <is>
          <t>87</t>
        </is>
      </c>
      <c r="D61" s="13" t="inlineStr">
        <is>
          <t>FACT-M</t>
        </is>
      </c>
      <c r="E61" t="inlineStr">
        <is>
          <t>https://www.sec.gov/cgi-bin/browse-edgar?action=getcompany&amp;company=MLG+Capital&amp;type=D&amp;dateb=&amp;owner=include&amp;count=100</t>
        </is>
      </c>
      <c r="F61" s="2" t="inlineStr"/>
    </row>
    <row r="62">
      <c r="A62" t="inlineStr">
        <is>
          <t>MLG Capital</t>
        </is>
      </c>
      <c r="B62" t="inlineStr">
        <is>
          <t>Подано форм D с 01.01.2024 (текущая активность)</t>
        </is>
      </c>
      <c r="C62" t="inlineStr">
        <is>
          <t>22</t>
        </is>
      </c>
      <c r="D62" s="13" t="inlineStr">
        <is>
          <t>FACT-M</t>
        </is>
      </c>
      <c r="E62" t="inlineStr">
        <is>
          <t>https://www.sec.gov/cgi-bin/browse-edgar?action=getcompany&amp;company=MLG+Capital&amp;type=D&amp;dateb=&amp;owner=include&amp;count=100</t>
        </is>
      </c>
      <c r="F62" s="2" t="inlineStr"/>
    </row>
    <row r="63">
      <c r="A63" t="inlineStr">
        <is>
          <t>MLG Capital</t>
        </is>
      </c>
      <c r="B63" t="inlineStr">
        <is>
          <t>Доля предложений 506(c), % — право на публичную рекламу</t>
        </is>
      </c>
      <c r="C63" t="inlineStr">
        <is>
          <t>82.4</t>
        </is>
      </c>
      <c r="D63" s="13" t="inlineStr">
        <is>
          <t>FACT-M</t>
        </is>
      </c>
      <c r="E63" t="inlineStr">
        <is>
          <t>https://www.sec.gov/cgi-bin/browse-edgar?action=getcompany&amp;company=MLG+Capital&amp;type=D&amp;dateb=&amp;owner=include&amp;count=100</t>
        </is>
      </c>
      <c r="F63" s="2" t="inlineStr">
        <is>
          <t>Поле federalExemptionsExclusions в primary_doc.xml. 506(b) ЗАПРЕЩАЕТ general solicitation.</t>
        </is>
      </c>
    </row>
    <row r="64">
      <c r="A64" t="inlineStr">
        <is>
          <t>MLG Capital</t>
        </is>
      </c>
      <c r="B64" t="inlineStr">
        <is>
          <t>Сумма продано по формам D, $млн</t>
        </is>
      </c>
      <c r="C64" t="inlineStr">
        <is>
          <t>8194</t>
        </is>
      </c>
      <c r="D64" s="13" t="inlineStr">
        <is>
          <t>FACT-M</t>
        </is>
      </c>
      <c r="E64" t="inlineStr">
        <is>
          <t>https://www.sec.gov/cgi-bin/browse-edgar?action=getcompany&amp;company=MLG+Capital&amp;type=D&amp;dateb=&amp;owner=include&amp;count=100</t>
        </is>
      </c>
      <c r="F64" s="2" t="inlineStr">
        <is>
          <t>Сумма totalAmountSold по разобранным формам с 2019 г. Не равна AUM.</t>
        </is>
      </c>
    </row>
    <row r="65">
      <c r="A65" t="inlineStr">
        <is>
          <t>MLG Capital</t>
        </is>
      </c>
      <c r="B65" t="inlineStr">
        <is>
          <t>Медианный минимальный чек по формам D, $</t>
        </is>
      </c>
      <c r="C65" t="inlineStr">
        <is>
          <t>50000</t>
        </is>
      </c>
      <c r="D65" s="13" t="inlineStr">
        <is>
          <t>FACT-M</t>
        </is>
      </c>
      <c r="E65" t="inlineStr">
        <is>
          <t>https://www.sec.gov/cgi-bin/browse-edgar?action=getcompany&amp;company=MLG+Capital&amp;type=D&amp;dateb=&amp;owner=include&amp;count=100</t>
        </is>
      </c>
      <c r="F65" s="2" t="inlineStr">
        <is>
          <t>Медиана minimumInvestmentAccepted по ненулевым значениям.</t>
        </is>
      </c>
    </row>
    <row r="66">
      <c r="A66" t="inlineStr">
        <is>
          <t>MLG Capital</t>
        </is>
      </c>
      <c r="B66" t="inlineStr">
        <is>
          <t>Инвесторов по формам D (сумма totalNumberAlreadyInvested)</t>
        </is>
      </c>
      <c r="C66" t="inlineStr">
        <is>
          <t>4879</t>
        </is>
      </c>
      <c r="D66" s="13" t="inlineStr">
        <is>
          <t>FACT-M</t>
        </is>
      </c>
      <c r="E66" t="inlineStr">
        <is>
          <t>https://www.sec.gov/cgi-bin/browse-edgar?action=getcompany&amp;company=MLG+Capital&amp;type=D&amp;dateb=&amp;owner=include&amp;count=100</t>
        </is>
      </c>
      <c r="F66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67">
      <c r="A67" t="inlineStr">
        <is>
          <t>GSP REI</t>
        </is>
      </c>
      <c r="B67" t="inlineStr">
        <is>
          <t>Число отдельных Reg D-эмитентов (после очистки от однофамильцев)</t>
        </is>
      </c>
      <c r="C67" t="inlineStr">
        <is>
          <t>57</t>
        </is>
      </c>
      <c r="D67" s="13" t="inlineStr">
        <is>
          <t>FACT-M</t>
        </is>
      </c>
      <c r="E67" t="inlineStr">
        <is>
          <t>https://www.sec.gov/cgi-bin/browse-edgar?action=getcompany&amp;company=GSP+REI&amp;type=D&amp;dateb=&amp;owner=include&amp;count=100</t>
        </is>
      </c>
      <c r="F67" s="2" t="inlineStr">
        <is>
          <t>SEC EDGAR, выгрузка 05.10.2026. Имена эмитентов отфильтрованы по включающему/исключающему паттерну.</t>
        </is>
      </c>
    </row>
    <row r="68">
      <c r="A68" t="inlineStr">
        <is>
          <t>GSP REI</t>
        </is>
      </c>
      <c r="B68" t="inlineStr">
        <is>
          <t>Подано форм D (всего)</t>
        </is>
      </c>
      <c r="C68" t="inlineStr">
        <is>
          <t>78</t>
        </is>
      </c>
      <c r="D68" s="13" t="inlineStr">
        <is>
          <t>FACT-M</t>
        </is>
      </c>
      <c r="E68" t="inlineStr">
        <is>
          <t>https://www.sec.gov/cgi-bin/browse-edgar?action=getcompany&amp;company=GSP+REI&amp;type=D&amp;dateb=&amp;owner=include&amp;count=100</t>
        </is>
      </c>
      <c r="F68" s="2" t="inlineStr"/>
    </row>
    <row r="69">
      <c r="A69" t="inlineStr">
        <is>
          <t>GSP REI</t>
        </is>
      </c>
      <c r="B69" t="inlineStr">
        <is>
          <t>Подано форм D с 01.01.2024 (текущая активность)</t>
        </is>
      </c>
      <c r="C69" t="inlineStr">
        <is>
          <t>38</t>
        </is>
      </c>
      <c r="D69" s="13" t="inlineStr">
        <is>
          <t>FACT-M</t>
        </is>
      </c>
      <c r="E69" t="inlineStr">
        <is>
          <t>https://www.sec.gov/cgi-bin/browse-edgar?action=getcompany&amp;company=GSP+REI&amp;type=D&amp;dateb=&amp;owner=include&amp;count=100</t>
        </is>
      </c>
      <c r="F69" s="2" t="inlineStr"/>
    </row>
    <row r="70">
      <c r="A70" t="inlineStr">
        <is>
          <t>GSP REI</t>
        </is>
      </c>
      <c r="B70" t="inlineStr">
        <is>
          <t>Доля предложений 506(c), % — право на публичную рекламу</t>
        </is>
      </c>
      <c r="C70" t="inlineStr">
        <is>
          <t>9.2</t>
        </is>
      </c>
      <c r="D70" s="13" t="inlineStr">
        <is>
          <t>FACT-M</t>
        </is>
      </c>
      <c r="E70" t="inlineStr">
        <is>
          <t>https://www.sec.gov/cgi-bin/browse-edgar?action=getcompany&amp;company=GSP+REI&amp;type=D&amp;dateb=&amp;owner=include&amp;count=100</t>
        </is>
      </c>
      <c r="F70" s="2" t="inlineStr">
        <is>
          <t>Поле federalExemptionsExclusions в primary_doc.xml. 506(b) ЗАПРЕЩАЕТ general solicitation.</t>
        </is>
      </c>
    </row>
    <row r="71">
      <c r="A71" t="inlineStr">
        <is>
          <t>GSP REI</t>
        </is>
      </c>
      <c r="B71" t="inlineStr">
        <is>
          <t>Сумма продано по формам D, $млн</t>
        </is>
      </c>
      <c r="C71" t="inlineStr">
        <is>
          <t>1698</t>
        </is>
      </c>
      <c r="D71" s="13" t="inlineStr">
        <is>
          <t>FACT-M</t>
        </is>
      </c>
      <c r="E71" t="inlineStr">
        <is>
          <t>https://www.sec.gov/cgi-bin/browse-edgar?action=getcompany&amp;company=GSP+REI&amp;type=D&amp;dateb=&amp;owner=include&amp;count=100</t>
        </is>
      </c>
      <c r="F71" s="2" t="inlineStr">
        <is>
          <t>Сумма totalAmountSold по разобранным формам с 2019 г. Не равна AUM.</t>
        </is>
      </c>
    </row>
    <row r="72">
      <c r="A72" t="inlineStr">
        <is>
          <t>GSP REI</t>
        </is>
      </c>
      <c r="B72" t="inlineStr">
        <is>
          <t>Медианный минимальный чек по формам D, $</t>
        </is>
      </c>
      <c r="C72" t="inlineStr">
        <is>
          <t>25000</t>
        </is>
      </c>
      <c r="D72" s="13" t="inlineStr">
        <is>
          <t>FACT-M</t>
        </is>
      </c>
      <c r="E72" t="inlineStr">
        <is>
          <t>https://www.sec.gov/cgi-bin/browse-edgar?action=getcompany&amp;company=GSP+REI&amp;type=D&amp;dateb=&amp;owner=include&amp;count=100</t>
        </is>
      </c>
      <c r="F72" s="2" t="inlineStr">
        <is>
          <t>Медиана minimumInvestmentAccepted по ненулевым значениям.</t>
        </is>
      </c>
    </row>
    <row r="73">
      <c r="A73" t="inlineStr">
        <is>
          <t>GSP REI</t>
        </is>
      </c>
      <c r="B73" t="inlineStr">
        <is>
          <t>Инвесторов по формам D (сумма totalNumberAlreadyInvested)</t>
        </is>
      </c>
      <c r="C73" t="inlineStr">
        <is>
          <t>1647</t>
        </is>
      </c>
      <c r="D73" s="13" t="inlineStr">
        <is>
          <t>FACT-M</t>
        </is>
      </c>
      <c r="E73" t="inlineStr">
        <is>
          <t>https://www.sec.gov/cgi-bin/browse-edgar?action=getcompany&amp;company=GSP+REI&amp;type=D&amp;dateb=&amp;owner=include&amp;count=100</t>
        </is>
      </c>
      <c r="F73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74">
      <c r="A74" t="inlineStr">
        <is>
          <t>Crow Holdings</t>
        </is>
      </c>
      <c r="B74" t="inlineStr">
        <is>
          <t>Число отдельных Reg D-эмитентов (после очистки от однофамильцев)</t>
        </is>
      </c>
      <c r="C74" t="inlineStr">
        <is>
          <t>44</t>
        </is>
      </c>
      <c r="D74" s="13" t="inlineStr">
        <is>
          <t>FACT-M</t>
        </is>
      </c>
      <c r="E74" t="inlineStr">
        <is>
          <t>https://www.sec.gov/cgi-bin/browse-edgar?action=getcompany&amp;company=Crow+Holdings&amp;type=D&amp;dateb=&amp;owner=include&amp;count=100</t>
        </is>
      </c>
      <c r="F74" s="2" t="inlineStr">
        <is>
          <t>SEC EDGAR, выгрузка 05.10.2026. Имена эмитентов отфильтрованы по включающему/исключающему паттерну.</t>
        </is>
      </c>
    </row>
    <row r="75">
      <c r="A75" t="inlineStr">
        <is>
          <t>Crow Holdings</t>
        </is>
      </c>
      <c r="B75" t="inlineStr">
        <is>
          <t>Подано форм D (всего)</t>
        </is>
      </c>
      <c r="C75" t="inlineStr">
        <is>
          <t>84</t>
        </is>
      </c>
      <c r="D75" s="13" t="inlineStr">
        <is>
          <t>FACT-M</t>
        </is>
      </c>
      <c r="E75" t="inlineStr">
        <is>
          <t>https://www.sec.gov/cgi-bin/browse-edgar?action=getcompany&amp;company=Crow+Holdings&amp;type=D&amp;dateb=&amp;owner=include&amp;count=100</t>
        </is>
      </c>
      <c r="F75" s="2" t="inlineStr"/>
    </row>
    <row r="76">
      <c r="A76" t="inlineStr">
        <is>
          <t>Crow Holdings</t>
        </is>
      </c>
      <c r="B76" t="inlineStr">
        <is>
          <t>Подано форм D с 01.01.2024 (текущая активность)</t>
        </is>
      </c>
      <c r="C76" t="inlineStr">
        <is>
          <t>17</t>
        </is>
      </c>
      <c r="D76" s="13" t="inlineStr">
        <is>
          <t>FACT-M</t>
        </is>
      </c>
      <c r="E76" t="inlineStr">
        <is>
          <t>https://www.sec.gov/cgi-bin/browse-edgar?action=getcompany&amp;company=Crow+Holdings&amp;type=D&amp;dateb=&amp;owner=include&amp;count=100</t>
        </is>
      </c>
      <c r="F76" s="2" t="inlineStr"/>
    </row>
    <row r="77">
      <c r="A77" t="inlineStr">
        <is>
          <t>Crow Holdings</t>
        </is>
      </c>
      <c r="B77" t="inlineStr">
        <is>
          <t>Доля предложений 506(c), % — право на публичную рекламу</t>
        </is>
      </c>
      <c r="C77" t="inlineStr">
        <is>
          <t>0.0</t>
        </is>
      </c>
      <c r="D77" s="13" t="inlineStr">
        <is>
          <t>FACT-M</t>
        </is>
      </c>
      <c r="E77" t="inlineStr">
        <is>
          <t>https://www.sec.gov/cgi-bin/browse-edgar?action=getcompany&amp;company=Crow+Holdings&amp;type=D&amp;dateb=&amp;owner=include&amp;count=100</t>
        </is>
      </c>
      <c r="F77" s="2" t="inlineStr">
        <is>
          <t>Поле federalExemptionsExclusions в primary_doc.xml. 506(b) ЗАПРЕЩАЕТ general solicitation.</t>
        </is>
      </c>
    </row>
    <row r="78">
      <c r="A78" t="inlineStr">
        <is>
          <t>Crow Holdings</t>
        </is>
      </c>
      <c r="B78" t="inlineStr">
        <is>
          <t>Сумма продано по формам D, $млн</t>
        </is>
      </c>
      <c r="C78" t="inlineStr">
        <is>
          <t>38235</t>
        </is>
      </c>
      <c r="D78" s="13" t="inlineStr">
        <is>
          <t>FACT-M</t>
        </is>
      </c>
      <c r="E78" t="inlineStr">
        <is>
          <t>https://www.sec.gov/cgi-bin/browse-edgar?action=getcompany&amp;company=Crow+Holdings&amp;type=D&amp;dateb=&amp;owner=include&amp;count=100</t>
        </is>
      </c>
      <c r="F78" s="2" t="inlineStr">
        <is>
          <t>Сумма totalAmountSold по разобранным формам с 2019 г. Не равна AUM.</t>
        </is>
      </c>
    </row>
    <row r="79">
      <c r="A79" t="inlineStr">
        <is>
          <t>Crow Holdings</t>
        </is>
      </c>
      <c r="B79" t="inlineStr">
        <is>
          <t>Медианный минимальный чек по формам D, $</t>
        </is>
      </c>
      <c r="C79" t="inlineStr">
        <is>
          <t>5000000</t>
        </is>
      </c>
      <c r="D79" s="13" t="inlineStr">
        <is>
          <t>FACT-M</t>
        </is>
      </c>
      <c r="E79" t="inlineStr">
        <is>
          <t>https://www.sec.gov/cgi-bin/browse-edgar?action=getcompany&amp;company=Crow+Holdings&amp;type=D&amp;dateb=&amp;owner=include&amp;count=100</t>
        </is>
      </c>
      <c r="F79" s="2" t="inlineStr">
        <is>
          <t>Медиана minimumInvestmentAccepted по ненулевым значениям.</t>
        </is>
      </c>
    </row>
    <row r="80">
      <c r="A80" t="inlineStr">
        <is>
          <t>Crow Holdings</t>
        </is>
      </c>
      <c r="B80" t="inlineStr">
        <is>
          <t>Инвесторов по формам D (сумма totalNumberAlreadyInvested)</t>
        </is>
      </c>
      <c r="C80" t="inlineStr">
        <is>
          <t>2350</t>
        </is>
      </c>
      <c r="D80" s="13" t="inlineStr">
        <is>
          <t>FACT-M</t>
        </is>
      </c>
      <c r="E80" t="inlineStr">
        <is>
          <t>https://www.sec.gov/cgi-bin/browse-edgar?action=getcompany&amp;company=Crow+Holdings&amp;type=D&amp;dateb=&amp;owner=include&amp;count=100</t>
        </is>
      </c>
      <c r="F80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81">
      <c r="A81" t="inlineStr">
        <is>
          <t>AcreTrader</t>
        </is>
      </c>
      <c r="B81" t="inlineStr">
        <is>
          <t>Число отдельных Reg D-эмитентов (после очистки от однофамильцев)</t>
        </is>
      </c>
      <c r="C81" t="inlineStr">
        <is>
          <t>100</t>
        </is>
      </c>
      <c r="D81" s="13" t="inlineStr">
        <is>
          <t>FACT-M</t>
        </is>
      </c>
      <c r="E81" t="inlineStr">
        <is>
          <t>https://www.sec.gov/cgi-bin/browse-edgar?action=getcompany&amp;company=AcreTrader&amp;type=D&amp;dateb=&amp;owner=include&amp;count=100</t>
        </is>
      </c>
      <c r="F81" s="2" t="inlineStr">
        <is>
          <t>SEC EDGAR, выгрузка 05.10.2026. Имена эмитентов отфильтрованы по включающему/исключающему паттерну.</t>
        </is>
      </c>
    </row>
    <row r="82">
      <c r="A82" t="inlineStr">
        <is>
          <t>AcreTrader</t>
        </is>
      </c>
      <c r="B82" t="inlineStr">
        <is>
          <t>Подано форм D (всего)</t>
        </is>
      </c>
      <c r="C82" t="inlineStr">
        <is>
          <t>101</t>
        </is>
      </c>
      <c r="D82" s="13" t="inlineStr">
        <is>
          <t>FACT-M</t>
        </is>
      </c>
      <c r="E82" t="inlineStr">
        <is>
          <t>https://www.sec.gov/cgi-bin/browse-edgar?action=getcompany&amp;company=AcreTrader&amp;type=D&amp;dateb=&amp;owner=include&amp;count=100</t>
        </is>
      </c>
      <c r="F82" s="2" t="inlineStr"/>
    </row>
    <row r="83">
      <c r="A83" t="inlineStr">
        <is>
          <t>AcreTrader</t>
        </is>
      </c>
      <c r="B83" t="inlineStr">
        <is>
          <t>Подано форм D с 01.01.2024 (текущая активность)</t>
        </is>
      </c>
      <c r="C83" t="inlineStr">
        <is>
          <t>1</t>
        </is>
      </c>
      <c r="D83" s="13" t="inlineStr">
        <is>
          <t>FACT-M</t>
        </is>
      </c>
      <c r="E83" t="inlineStr">
        <is>
          <t>https://www.sec.gov/cgi-bin/browse-edgar?action=getcompany&amp;company=AcreTrader&amp;type=D&amp;dateb=&amp;owner=include&amp;count=100</t>
        </is>
      </c>
      <c r="F83" s="2" t="inlineStr"/>
    </row>
    <row r="84">
      <c r="A84" t="inlineStr">
        <is>
          <t>AcreTrader</t>
        </is>
      </c>
      <c r="B84" t="inlineStr">
        <is>
          <t>Доля предложений 506(c), % — право на публичную рекламу</t>
        </is>
      </c>
      <c r="C84" t="inlineStr">
        <is>
          <t>100.0</t>
        </is>
      </c>
      <c r="D84" s="13" t="inlineStr">
        <is>
          <t>FACT-M</t>
        </is>
      </c>
      <c r="E84" t="inlineStr">
        <is>
          <t>https://www.sec.gov/cgi-bin/browse-edgar?action=getcompany&amp;company=AcreTrader&amp;type=D&amp;dateb=&amp;owner=include&amp;count=100</t>
        </is>
      </c>
      <c r="F84" s="2" t="inlineStr">
        <is>
          <t>Поле federalExemptionsExclusions в primary_doc.xml. 506(b) ЗАПРЕЩАЕТ general solicitation.</t>
        </is>
      </c>
    </row>
    <row r="85">
      <c r="A85" t="inlineStr">
        <is>
          <t>AcreTrader</t>
        </is>
      </c>
      <c r="B85" t="inlineStr">
        <is>
          <t>Сумма продано по формам D, $млн</t>
        </is>
      </c>
      <c r="C85" t="inlineStr">
        <is>
          <t>186</t>
        </is>
      </c>
      <c r="D85" s="13" t="inlineStr">
        <is>
          <t>FACT-M</t>
        </is>
      </c>
      <c r="E85" t="inlineStr">
        <is>
          <t>https://www.sec.gov/cgi-bin/browse-edgar?action=getcompany&amp;company=AcreTrader&amp;type=D&amp;dateb=&amp;owner=include&amp;count=100</t>
        </is>
      </c>
      <c r="F85" s="2" t="inlineStr">
        <is>
          <t>Сумма totalAmountSold по разобранным формам с 2019 г. Не равна AUM.</t>
        </is>
      </c>
    </row>
    <row r="86">
      <c r="A86" t="inlineStr">
        <is>
          <t>AcreTrader</t>
        </is>
      </c>
      <c r="B86" t="inlineStr">
        <is>
          <t>Медианный минимальный чек по формам D, $</t>
        </is>
      </c>
      <c r="C86" t="inlineStr">
        <is>
          <t>17125</t>
        </is>
      </c>
      <c r="D86" s="13" t="inlineStr">
        <is>
          <t>FACT-M</t>
        </is>
      </c>
      <c r="E86" t="inlineStr">
        <is>
          <t>https://www.sec.gov/cgi-bin/browse-edgar?action=getcompany&amp;company=AcreTrader&amp;type=D&amp;dateb=&amp;owner=include&amp;count=100</t>
        </is>
      </c>
      <c r="F86" s="2" t="inlineStr">
        <is>
          <t>Медиана minimumInvestmentAccepted по ненулевым значениям.</t>
        </is>
      </c>
    </row>
    <row r="87">
      <c r="A87" t="inlineStr">
        <is>
          <t>AcreTrader</t>
        </is>
      </c>
      <c r="B87" t="inlineStr">
        <is>
          <t>Инвесторов по формам D (сумма totalNumberAlreadyInvested)</t>
        </is>
      </c>
      <c r="C87" t="inlineStr">
        <is>
          <t>7035</t>
        </is>
      </c>
      <c r="D87" s="13" t="inlineStr">
        <is>
          <t>FACT-M</t>
        </is>
      </c>
      <c r="E87" t="inlineStr">
        <is>
          <t>https://www.sec.gov/cgi-bin/browse-edgar?action=getcompany&amp;company=AcreTrader&amp;type=D&amp;dateb=&amp;owner=include&amp;count=100</t>
        </is>
      </c>
      <c r="F87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88">
      <c r="A88" t="inlineStr">
        <is>
          <t>FarmTogether</t>
        </is>
      </c>
      <c r="B88" t="inlineStr">
        <is>
          <t>Число отдельных Reg D-эмитентов (после очистки от однофамильцев)</t>
        </is>
      </c>
      <c r="C88" t="inlineStr">
        <is>
          <t>44</t>
        </is>
      </c>
      <c r="D88" s="13" t="inlineStr">
        <is>
          <t>FACT-M</t>
        </is>
      </c>
      <c r="E88" t="inlineStr">
        <is>
          <t>https://www.sec.gov/cgi-bin/browse-edgar?action=getcompany&amp;company=FarmTogether&amp;type=D&amp;dateb=&amp;owner=include&amp;count=100</t>
        </is>
      </c>
      <c r="F88" s="2" t="inlineStr">
        <is>
          <t>SEC EDGAR, выгрузка 05.10.2026. Имена эмитентов отфильтрованы по включающему/исключающему паттерну.</t>
        </is>
      </c>
    </row>
    <row r="89">
      <c r="A89" t="inlineStr">
        <is>
          <t>FarmTogether</t>
        </is>
      </c>
      <c r="B89" t="inlineStr">
        <is>
          <t>Подано форм D (всего)</t>
        </is>
      </c>
      <c r="C89" t="inlineStr">
        <is>
          <t>60</t>
        </is>
      </c>
      <c r="D89" s="13" t="inlineStr">
        <is>
          <t>FACT-M</t>
        </is>
      </c>
      <c r="E89" t="inlineStr">
        <is>
          <t>https://www.sec.gov/cgi-bin/browse-edgar?action=getcompany&amp;company=FarmTogether&amp;type=D&amp;dateb=&amp;owner=include&amp;count=100</t>
        </is>
      </c>
      <c r="F89" s="2" t="inlineStr"/>
    </row>
    <row r="90">
      <c r="A90" t="inlineStr">
        <is>
          <t>FarmTogether</t>
        </is>
      </c>
      <c r="B90" t="inlineStr">
        <is>
          <t>Подано форм D с 01.01.2024 (текущая активность)</t>
        </is>
      </c>
      <c r="C90" t="inlineStr">
        <is>
          <t>10</t>
        </is>
      </c>
      <c r="D90" s="13" t="inlineStr">
        <is>
          <t>FACT-M</t>
        </is>
      </c>
      <c r="E90" t="inlineStr">
        <is>
          <t>https://www.sec.gov/cgi-bin/browse-edgar?action=getcompany&amp;company=FarmTogether&amp;type=D&amp;dateb=&amp;owner=include&amp;count=100</t>
        </is>
      </c>
      <c r="F90" s="2" t="inlineStr"/>
    </row>
    <row r="91">
      <c r="A91" t="inlineStr">
        <is>
          <t>FarmTogether</t>
        </is>
      </c>
      <c r="B91" t="inlineStr">
        <is>
          <t>Доля предложений 506(c), % — право на публичную рекламу</t>
        </is>
      </c>
      <c r="C91" t="inlineStr">
        <is>
          <t>93.3</t>
        </is>
      </c>
      <c r="D91" s="13" t="inlineStr">
        <is>
          <t>FACT-M</t>
        </is>
      </c>
      <c r="E91" t="inlineStr">
        <is>
          <t>https://www.sec.gov/cgi-bin/browse-edgar?action=getcompany&amp;company=FarmTogether&amp;type=D&amp;dateb=&amp;owner=include&amp;count=100</t>
        </is>
      </c>
      <c r="F91" s="2" t="inlineStr">
        <is>
          <t>Поле federalExemptionsExclusions в primary_doc.xml. 506(b) ЗАПРЕЩАЕТ general solicitation.</t>
        </is>
      </c>
    </row>
    <row r="92">
      <c r="A92" t="inlineStr">
        <is>
          <t>FarmTogether</t>
        </is>
      </c>
      <c r="B92" t="inlineStr">
        <is>
          <t>Сумма продано по формам D, $млн</t>
        </is>
      </c>
      <c r="C92" t="inlineStr">
        <is>
          <t>260</t>
        </is>
      </c>
      <c r="D92" s="13" t="inlineStr">
        <is>
          <t>FACT-M</t>
        </is>
      </c>
      <c r="E92" t="inlineStr">
        <is>
          <t>https://www.sec.gov/cgi-bin/browse-edgar?action=getcompany&amp;company=FarmTogether&amp;type=D&amp;dateb=&amp;owner=include&amp;count=100</t>
        </is>
      </c>
      <c r="F92" s="2" t="inlineStr">
        <is>
          <t>Сумма totalAmountSold по разобранным формам с 2019 г. Не равна AUM.</t>
        </is>
      </c>
    </row>
    <row r="93">
      <c r="A93" t="inlineStr">
        <is>
          <t>FarmTogether</t>
        </is>
      </c>
      <c r="B93" t="inlineStr">
        <is>
          <t>Медианный минимальный чек по формам D, $</t>
        </is>
      </c>
      <c r="C93" t="inlineStr">
        <is>
          <t>15000</t>
        </is>
      </c>
      <c r="D93" s="13" t="inlineStr">
        <is>
          <t>FACT-M</t>
        </is>
      </c>
      <c r="E93" t="inlineStr">
        <is>
          <t>https://www.sec.gov/cgi-bin/browse-edgar?action=getcompany&amp;company=FarmTogether&amp;type=D&amp;dateb=&amp;owner=include&amp;count=100</t>
        </is>
      </c>
      <c r="F93" s="2" t="inlineStr">
        <is>
          <t>Медиана minimumInvestmentAccepted по ненулевым значениям.</t>
        </is>
      </c>
    </row>
    <row r="94">
      <c r="A94" t="inlineStr">
        <is>
          <t>FarmTogether</t>
        </is>
      </c>
      <c r="B94" t="inlineStr">
        <is>
          <t>Инвесторов по формам D (сумма totalNumberAlreadyInvested)</t>
        </is>
      </c>
      <c r="C94" t="inlineStr">
        <is>
          <t>5891</t>
        </is>
      </c>
      <c r="D94" s="13" t="inlineStr">
        <is>
          <t>FACT-M</t>
        </is>
      </c>
      <c r="E94" t="inlineStr">
        <is>
          <t>https://www.sec.gov/cgi-bin/browse-edgar?action=getcompany&amp;company=FarmTogether&amp;type=D&amp;dateb=&amp;owner=include&amp;count=100</t>
        </is>
      </c>
      <c r="F94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95">
      <c r="A95" t="inlineStr">
        <is>
          <t>Urban Catalyst</t>
        </is>
      </c>
      <c r="B95" t="inlineStr">
        <is>
          <t>Число отдельных Reg D-эмитентов (после очистки от однофамильцев)</t>
        </is>
      </c>
      <c r="C95" t="inlineStr">
        <is>
          <t>5</t>
        </is>
      </c>
      <c r="D95" s="13" t="inlineStr">
        <is>
          <t>FACT-M</t>
        </is>
      </c>
      <c r="E95" t="inlineStr">
        <is>
          <t>https://www.sec.gov/cgi-bin/browse-edgar?action=getcompany&amp;company=Urban+Catalyst&amp;type=D&amp;dateb=&amp;owner=include&amp;count=100</t>
        </is>
      </c>
      <c r="F95" s="2" t="inlineStr">
        <is>
          <t>SEC EDGAR, выгрузка 05.10.2026. Имена эмитентов отфильтрованы по включающему/исключающему паттерну.</t>
        </is>
      </c>
    </row>
    <row r="96">
      <c r="A96" t="inlineStr">
        <is>
          <t>Urban Catalyst</t>
        </is>
      </c>
      <c r="B96" t="inlineStr">
        <is>
          <t>Подано форм D (всего)</t>
        </is>
      </c>
      <c r="C96" t="inlineStr">
        <is>
          <t>8</t>
        </is>
      </c>
      <c r="D96" s="13" t="inlineStr">
        <is>
          <t>FACT-M</t>
        </is>
      </c>
      <c r="E96" t="inlineStr">
        <is>
          <t>https://www.sec.gov/cgi-bin/browse-edgar?action=getcompany&amp;company=Urban+Catalyst&amp;type=D&amp;dateb=&amp;owner=include&amp;count=100</t>
        </is>
      </c>
      <c r="F96" s="2" t="inlineStr"/>
    </row>
    <row r="97">
      <c r="A97" t="inlineStr">
        <is>
          <t>Urban Catalyst</t>
        </is>
      </c>
      <c r="B97" t="inlineStr">
        <is>
          <t>Подано форм D с 01.01.2024 (текущая активность)</t>
        </is>
      </c>
      <c r="C97" t="inlineStr">
        <is>
          <t>0</t>
        </is>
      </c>
      <c r="D97" s="13" t="inlineStr">
        <is>
          <t>FACT-M</t>
        </is>
      </c>
      <c r="E97" t="inlineStr">
        <is>
          <t>https://www.sec.gov/cgi-bin/browse-edgar?action=getcompany&amp;company=Urban+Catalyst&amp;type=D&amp;dateb=&amp;owner=include&amp;count=100</t>
        </is>
      </c>
      <c r="F97" s="2" t="inlineStr"/>
    </row>
    <row r="98">
      <c r="A98" t="inlineStr">
        <is>
          <t>Urban Catalyst</t>
        </is>
      </c>
      <c r="B98" t="inlineStr">
        <is>
          <t>Доля предложений 506(c), % — право на публичную рекламу</t>
        </is>
      </c>
      <c r="C98" t="inlineStr">
        <is>
          <t>66.7</t>
        </is>
      </c>
      <c r="D98" s="13" t="inlineStr">
        <is>
          <t>FACT-M</t>
        </is>
      </c>
      <c r="E98" t="inlineStr">
        <is>
          <t>https://www.sec.gov/cgi-bin/browse-edgar?action=getcompany&amp;company=Urban+Catalyst&amp;type=D&amp;dateb=&amp;owner=include&amp;count=100</t>
        </is>
      </c>
      <c r="F98" s="2" t="inlineStr">
        <is>
          <t>Поле federalExemptionsExclusions в primary_doc.xml. 506(b) ЗАПРЕЩАЕТ general solicitation.</t>
        </is>
      </c>
    </row>
    <row r="99">
      <c r="A99" t="inlineStr">
        <is>
          <t>Urban Catalyst</t>
        </is>
      </c>
      <c r="B99" t="inlineStr">
        <is>
          <t>Сумма продано по формам D, $млн</t>
        </is>
      </c>
      <c r="C99" t="inlineStr">
        <is>
          <t>13</t>
        </is>
      </c>
      <c r="D99" s="13" t="inlineStr">
        <is>
          <t>FACT-M</t>
        </is>
      </c>
      <c r="E99" t="inlineStr">
        <is>
          <t>https://www.sec.gov/cgi-bin/browse-edgar?action=getcompany&amp;company=Urban+Catalyst&amp;type=D&amp;dateb=&amp;owner=include&amp;count=100</t>
        </is>
      </c>
      <c r="F99" s="2" t="inlineStr">
        <is>
          <t>Сумма totalAmountSold по разобранным формам с 2019 г. Не равна AUM.</t>
        </is>
      </c>
    </row>
    <row r="100">
      <c r="A100" t="inlineStr">
        <is>
          <t>Urban Catalyst</t>
        </is>
      </c>
      <c r="B100" t="inlineStr">
        <is>
          <t>Медианный минимальный чек по формам D, $</t>
        </is>
      </c>
      <c r="C100" t="inlineStr">
        <is>
          <t>100000</t>
        </is>
      </c>
      <c r="D100" s="13" t="inlineStr">
        <is>
          <t>FACT-M</t>
        </is>
      </c>
      <c r="E100" t="inlineStr">
        <is>
          <t>https://www.sec.gov/cgi-bin/browse-edgar?action=getcompany&amp;company=Urban+Catalyst&amp;type=D&amp;dateb=&amp;owner=include&amp;count=100</t>
        </is>
      </c>
      <c r="F100" s="2" t="inlineStr">
        <is>
          <t>Медиана minimumInvestmentAccepted по ненулевым значениям.</t>
        </is>
      </c>
    </row>
    <row r="101">
      <c r="A101" t="inlineStr">
        <is>
          <t>Urban Catalyst</t>
        </is>
      </c>
      <c r="B101" t="inlineStr">
        <is>
          <t>Инвесторов по формам D (сумма totalNumberAlreadyInvested)</t>
        </is>
      </c>
      <c r="C101" t="inlineStr">
        <is>
          <t>27</t>
        </is>
      </c>
      <c r="D101" s="13" t="inlineStr">
        <is>
          <t>FACT-M</t>
        </is>
      </c>
      <c r="E101" t="inlineStr">
        <is>
          <t>https://www.sec.gov/cgi-bin/browse-edgar?action=getcompany&amp;company=Urban+Catalyst&amp;type=D&amp;dateb=&amp;owner=include&amp;count=100</t>
        </is>
      </c>
      <c r="F101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102">
      <c r="A102" t="inlineStr">
        <is>
          <t>NexMetro</t>
        </is>
      </c>
      <c r="B102" t="inlineStr">
        <is>
          <t>Число отдельных Reg D-эмитентов (после очистки от однофамильцев)</t>
        </is>
      </c>
      <c r="C102" t="inlineStr">
        <is>
          <t>13</t>
        </is>
      </c>
      <c r="D102" s="13" t="inlineStr">
        <is>
          <t>FACT-M</t>
        </is>
      </c>
      <c r="E102" t="inlineStr">
        <is>
          <t>https://www.sec.gov/cgi-bin/browse-edgar?action=getcompany&amp;company=NexMetro&amp;type=D&amp;dateb=&amp;owner=include&amp;count=100</t>
        </is>
      </c>
      <c r="F102" s="2" t="inlineStr">
        <is>
          <t>SEC EDGAR, выгрузка 05.10.2026. Имена эмитентов отфильтрованы по включающему/исключающему паттерну.</t>
        </is>
      </c>
    </row>
    <row r="103">
      <c r="A103" t="inlineStr">
        <is>
          <t>NexMetro</t>
        </is>
      </c>
      <c r="B103" t="inlineStr">
        <is>
          <t>Подано форм D (всего)</t>
        </is>
      </c>
      <c r="C103" t="inlineStr">
        <is>
          <t>35</t>
        </is>
      </c>
      <c r="D103" s="13" t="inlineStr">
        <is>
          <t>FACT-M</t>
        </is>
      </c>
      <c r="E103" t="inlineStr">
        <is>
          <t>https://www.sec.gov/cgi-bin/browse-edgar?action=getcompany&amp;company=NexMetro&amp;type=D&amp;dateb=&amp;owner=include&amp;count=100</t>
        </is>
      </c>
      <c r="F103" s="2" t="inlineStr"/>
    </row>
    <row r="104">
      <c r="A104" t="inlineStr">
        <is>
          <t>NexMetro</t>
        </is>
      </c>
      <c r="B104" t="inlineStr">
        <is>
          <t>Подано форм D с 01.01.2024 (текущая активность)</t>
        </is>
      </c>
      <c r="C104" t="inlineStr">
        <is>
          <t>16</t>
        </is>
      </c>
      <c r="D104" s="13" t="inlineStr">
        <is>
          <t>FACT-M</t>
        </is>
      </c>
      <c r="E104" t="inlineStr">
        <is>
          <t>https://www.sec.gov/cgi-bin/browse-edgar?action=getcompany&amp;company=NexMetro&amp;type=D&amp;dateb=&amp;owner=include&amp;count=100</t>
        </is>
      </c>
      <c r="F104" s="2" t="inlineStr"/>
    </row>
    <row r="105">
      <c r="A105" t="inlineStr">
        <is>
          <t>NexMetro</t>
        </is>
      </c>
      <c r="B105" t="inlineStr">
        <is>
          <t>Доля предложений 506(c), % — право на публичную рекламу</t>
        </is>
      </c>
      <c r="C105" t="inlineStr">
        <is>
          <t>31.4</t>
        </is>
      </c>
      <c r="D105" s="13" t="inlineStr">
        <is>
          <t>FACT-M</t>
        </is>
      </c>
      <c r="E105" t="inlineStr">
        <is>
          <t>https://www.sec.gov/cgi-bin/browse-edgar?action=getcompany&amp;company=NexMetro&amp;type=D&amp;dateb=&amp;owner=include&amp;count=100</t>
        </is>
      </c>
      <c r="F105" s="2" t="inlineStr">
        <is>
          <t>Поле federalExemptionsExclusions в primary_doc.xml. 506(b) ЗАПРЕЩАЕТ general solicitation.</t>
        </is>
      </c>
    </row>
    <row r="106">
      <c r="A106" t="inlineStr">
        <is>
          <t>NexMetro</t>
        </is>
      </c>
      <c r="B106" t="inlineStr">
        <is>
          <t>Сумма продано по формам D, $млн</t>
        </is>
      </c>
      <c r="C106" t="inlineStr">
        <is>
          <t>470</t>
        </is>
      </c>
      <c r="D106" s="13" t="inlineStr">
        <is>
          <t>FACT-M</t>
        </is>
      </c>
      <c r="E106" t="inlineStr">
        <is>
          <t>https://www.sec.gov/cgi-bin/browse-edgar?action=getcompany&amp;company=NexMetro&amp;type=D&amp;dateb=&amp;owner=include&amp;count=100</t>
        </is>
      </c>
      <c r="F106" s="2" t="inlineStr">
        <is>
          <t>Сумма totalAmountSold по разобранным формам с 2019 г. Не равна AUM.</t>
        </is>
      </c>
    </row>
    <row r="107">
      <c r="A107" t="inlineStr">
        <is>
          <t>NexMetro</t>
        </is>
      </c>
      <c r="B107" t="inlineStr">
        <is>
          <t>Медианный минимальный чек по формам D, $</t>
        </is>
      </c>
      <c r="C107" t="inlineStr">
        <is>
          <t>10000</t>
        </is>
      </c>
      <c r="D107" s="13" t="inlineStr">
        <is>
          <t>FACT-M</t>
        </is>
      </c>
      <c r="E107" t="inlineStr">
        <is>
          <t>https://www.sec.gov/cgi-bin/browse-edgar?action=getcompany&amp;company=NexMetro&amp;type=D&amp;dateb=&amp;owner=include&amp;count=100</t>
        </is>
      </c>
      <c r="F107" s="2" t="inlineStr">
        <is>
          <t>Медиана minimumInvestmentAccepted по ненулевым значениям.</t>
        </is>
      </c>
    </row>
    <row r="108">
      <c r="A108" t="inlineStr">
        <is>
          <t>NexMetro</t>
        </is>
      </c>
      <c r="B108" t="inlineStr">
        <is>
          <t>Инвесторов по формам D (сумма totalNumberAlreadyInvested)</t>
        </is>
      </c>
      <c r="C108" t="inlineStr">
        <is>
          <t>835</t>
        </is>
      </c>
      <c r="D108" s="13" t="inlineStr">
        <is>
          <t>FACT-M</t>
        </is>
      </c>
      <c r="E108" t="inlineStr">
        <is>
          <t>https://www.sec.gov/cgi-bin/browse-edgar?action=getcompany&amp;company=NexMetro&amp;type=D&amp;dateb=&amp;owner=include&amp;count=100</t>
        </is>
      </c>
      <c r="F108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109">
      <c r="A109" t="inlineStr">
        <is>
          <t>GTIS Partners</t>
        </is>
      </c>
      <c r="B109" t="inlineStr">
        <is>
          <t>Число отдельных Reg D-эмитентов (после очистки от однофамильцев)</t>
        </is>
      </c>
      <c r="C109" t="inlineStr">
        <is>
          <t>41</t>
        </is>
      </c>
      <c r="D109" s="13" t="inlineStr">
        <is>
          <t>FACT-M</t>
        </is>
      </c>
      <c r="E109" t="inlineStr">
        <is>
          <t>https://www.sec.gov/cgi-bin/browse-edgar?action=getcompany&amp;company=GTIS+Partners&amp;type=D&amp;dateb=&amp;owner=include&amp;count=100</t>
        </is>
      </c>
      <c r="F109" s="2" t="inlineStr">
        <is>
          <t>SEC EDGAR, выгрузка 05.10.2026. Имена эмитентов отфильтрованы по включающему/исключающему паттерну.</t>
        </is>
      </c>
    </row>
    <row r="110">
      <c r="A110" t="inlineStr">
        <is>
          <t>GTIS Partners</t>
        </is>
      </c>
      <c r="B110" t="inlineStr">
        <is>
          <t>Подано форм D (всего)</t>
        </is>
      </c>
      <c r="C110" t="inlineStr">
        <is>
          <t>88</t>
        </is>
      </c>
      <c r="D110" s="13" t="inlineStr">
        <is>
          <t>FACT-M</t>
        </is>
      </c>
      <c r="E110" t="inlineStr">
        <is>
          <t>https://www.sec.gov/cgi-bin/browse-edgar?action=getcompany&amp;company=GTIS+Partners&amp;type=D&amp;dateb=&amp;owner=include&amp;count=100</t>
        </is>
      </c>
      <c r="F110" s="2" t="inlineStr"/>
    </row>
    <row r="111">
      <c r="A111" t="inlineStr">
        <is>
          <t>GTIS Partners</t>
        </is>
      </c>
      <c r="B111" t="inlineStr">
        <is>
          <t>Подано форм D с 01.01.2024 (текущая активность)</t>
        </is>
      </c>
      <c r="C111" t="inlineStr">
        <is>
          <t>7</t>
        </is>
      </c>
      <c r="D111" s="13" t="inlineStr">
        <is>
          <t>FACT-M</t>
        </is>
      </c>
      <c r="E111" t="inlineStr">
        <is>
          <t>https://www.sec.gov/cgi-bin/browse-edgar?action=getcompany&amp;company=GTIS+Partners&amp;type=D&amp;dateb=&amp;owner=include&amp;count=100</t>
        </is>
      </c>
      <c r="F111" s="2" t="inlineStr"/>
    </row>
    <row r="112">
      <c r="A112" t="inlineStr">
        <is>
          <t>GTIS Partners</t>
        </is>
      </c>
      <c r="B112" t="inlineStr">
        <is>
          <t>Доля предложений 506(c), % — право на публичную рекламу</t>
        </is>
      </c>
      <c r="C112" t="inlineStr">
        <is>
          <t>15.0</t>
        </is>
      </c>
      <c r="D112" s="13" t="inlineStr">
        <is>
          <t>FACT-M</t>
        </is>
      </c>
      <c r="E112" t="inlineStr">
        <is>
          <t>https://www.sec.gov/cgi-bin/browse-edgar?action=getcompany&amp;company=GTIS+Partners&amp;type=D&amp;dateb=&amp;owner=include&amp;count=100</t>
        </is>
      </c>
      <c r="F112" s="2" t="inlineStr">
        <is>
          <t>Поле federalExemptionsExclusions в primary_doc.xml. 506(b) ЗАПРЕЩАЕТ general solicitation.</t>
        </is>
      </c>
    </row>
    <row r="113">
      <c r="A113" t="inlineStr">
        <is>
          <t>GTIS Partners</t>
        </is>
      </c>
      <c r="B113" t="inlineStr">
        <is>
          <t>Сумма продано по формам D, $млн</t>
        </is>
      </c>
      <c r="C113" t="inlineStr">
        <is>
          <t>3634</t>
        </is>
      </c>
      <c r="D113" s="13" t="inlineStr">
        <is>
          <t>FACT-M</t>
        </is>
      </c>
      <c r="E113" t="inlineStr">
        <is>
          <t>https://www.sec.gov/cgi-bin/browse-edgar?action=getcompany&amp;company=GTIS+Partners&amp;type=D&amp;dateb=&amp;owner=include&amp;count=100</t>
        </is>
      </c>
      <c r="F113" s="2" t="inlineStr">
        <is>
          <t>Сумма totalAmountSold по разобранным формам с 2019 г. Не равна AUM.</t>
        </is>
      </c>
    </row>
    <row r="114">
      <c r="A114" t="inlineStr">
        <is>
          <t>GTIS Partners</t>
        </is>
      </c>
      <c r="B114" t="inlineStr">
        <is>
          <t>Медианный минимальный чек по формам D, $</t>
        </is>
      </c>
      <c r="C114" t="inlineStr">
        <is>
          <t>100000</t>
        </is>
      </c>
      <c r="D114" s="13" t="inlineStr">
        <is>
          <t>FACT-M</t>
        </is>
      </c>
      <c r="E114" t="inlineStr">
        <is>
          <t>https://www.sec.gov/cgi-bin/browse-edgar?action=getcompany&amp;company=GTIS+Partners&amp;type=D&amp;dateb=&amp;owner=include&amp;count=100</t>
        </is>
      </c>
      <c r="F114" s="2" t="inlineStr">
        <is>
          <t>Медиана minimumInvestmentAccepted по ненулевым значениям.</t>
        </is>
      </c>
    </row>
    <row r="115">
      <c r="A115" t="inlineStr">
        <is>
          <t>GTIS Partners</t>
        </is>
      </c>
      <c r="B115" t="inlineStr">
        <is>
          <t>Инвесторов по формам D (сумма totalNumberAlreadyInvested)</t>
        </is>
      </c>
      <c r="C115" t="inlineStr">
        <is>
          <t>4000</t>
        </is>
      </c>
      <c r="D115" s="13" t="inlineStr">
        <is>
          <t>FACT-M</t>
        </is>
      </c>
      <c r="E115" t="inlineStr">
        <is>
          <t>https://www.sec.gov/cgi-bin/browse-edgar?action=getcompany&amp;company=GTIS+Partners&amp;type=D&amp;dateb=&amp;owner=include&amp;count=100</t>
        </is>
      </c>
      <c r="F115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116">
      <c r="A116" t="inlineStr">
        <is>
          <t>Cardone Capital [бенчмарк]</t>
        </is>
      </c>
      <c r="B116" t="inlineStr">
        <is>
          <t>Число отдельных Reg D-эмитентов (после очистки от однофамильцев)</t>
        </is>
      </c>
      <c r="C116" t="inlineStr">
        <is>
          <t>23</t>
        </is>
      </c>
      <c r="D116" s="13" t="inlineStr">
        <is>
          <t>FACT-M</t>
        </is>
      </c>
      <c r="E116" t="inlineStr">
        <is>
          <t>https://www.sec.gov/cgi-bin/browse-edgar?action=getcompany&amp;company=Cardone+Capital&amp;type=D&amp;dateb=&amp;owner=include&amp;count=100</t>
        </is>
      </c>
      <c r="F116" s="2" t="inlineStr">
        <is>
          <t>SEC EDGAR, выгрузка 05.10.2026. Имена эмитентов отфильтрованы по включающему/исключающему паттерну.</t>
        </is>
      </c>
    </row>
    <row r="117">
      <c r="A117" t="inlineStr">
        <is>
          <t>Cardone Capital [бенчмарк]</t>
        </is>
      </c>
      <c r="B117" t="inlineStr">
        <is>
          <t>Подано форм D (всего)</t>
        </is>
      </c>
      <c r="C117" t="inlineStr">
        <is>
          <t>28</t>
        </is>
      </c>
      <c r="D117" s="13" t="inlineStr">
        <is>
          <t>FACT-M</t>
        </is>
      </c>
      <c r="E117" t="inlineStr">
        <is>
          <t>https://www.sec.gov/cgi-bin/browse-edgar?action=getcompany&amp;company=Cardone+Capital&amp;type=D&amp;dateb=&amp;owner=include&amp;count=100</t>
        </is>
      </c>
      <c r="F117" s="2" t="inlineStr"/>
    </row>
    <row r="118">
      <c r="A118" t="inlineStr">
        <is>
          <t>Cardone Capital [бенчмарк]</t>
        </is>
      </c>
      <c r="B118" t="inlineStr">
        <is>
          <t>Подано форм D с 01.01.2024 (текущая активность)</t>
        </is>
      </c>
      <c r="C118" t="inlineStr">
        <is>
          <t>7</t>
        </is>
      </c>
      <c r="D118" s="13" t="inlineStr">
        <is>
          <t>FACT-M</t>
        </is>
      </c>
      <c r="E118" t="inlineStr">
        <is>
          <t>https://www.sec.gov/cgi-bin/browse-edgar?action=getcompany&amp;company=Cardone+Capital&amp;type=D&amp;dateb=&amp;owner=include&amp;count=100</t>
        </is>
      </c>
      <c r="F118" s="2" t="inlineStr"/>
    </row>
    <row r="119">
      <c r="A119" t="inlineStr">
        <is>
          <t>Cardone Capital [бенчмарк]</t>
        </is>
      </c>
      <c r="B119" t="inlineStr">
        <is>
          <t>Доля предложений 506(c), % — право на публичную рекламу</t>
        </is>
      </c>
      <c r="C119" t="inlineStr">
        <is>
          <t>100.0</t>
        </is>
      </c>
      <c r="D119" s="13" t="inlineStr">
        <is>
          <t>FACT-M</t>
        </is>
      </c>
      <c r="E119" t="inlineStr">
        <is>
          <t>https://www.sec.gov/cgi-bin/browse-edgar?action=getcompany&amp;company=Cardone+Capital&amp;type=D&amp;dateb=&amp;owner=include&amp;count=100</t>
        </is>
      </c>
      <c r="F119" s="2" t="inlineStr">
        <is>
          <t>Поле federalExemptionsExclusions в primary_doc.xml. 506(b) ЗАПРЕЩАЕТ general solicitation.</t>
        </is>
      </c>
    </row>
    <row r="120">
      <c r="A120" t="inlineStr">
        <is>
          <t>Cardone Capital [бенчмарк]</t>
        </is>
      </c>
      <c r="B120" t="inlineStr">
        <is>
          <t>Сумма продано по формам D, $млн</t>
        </is>
      </c>
      <c r="C120" t="inlineStr">
        <is>
          <t>831</t>
        </is>
      </c>
      <c r="D120" s="13" t="inlineStr">
        <is>
          <t>FACT-M</t>
        </is>
      </c>
      <c r="E120" t="inlineStr">
        <is>
          <t>https://www.sec.gov/cgi-bin/browse-edgar?action=getcompany&amp;company=Cardone+Capital&amp;type=D&amp;dateb=&amp;owner=include&amp;count=100</t>
        </is>
      </c>
      <c r="F120" s="2" t="inlineStr">
        <is>
          <t>Сумма totalAmountSold по разобранным формам с 2019 г. Не равна AUM.</t>
        </is>
      </c>
    </row>
    <row r="121">
      <c r="A121" t="inlineStr">
        <is>
          <t>Cardone Capital [бенчмарк]</t>
        </is>
      </c>
      <c r="B121" t="inlineStr">
        <is>
          <t>Медианный минимальный чек по формам D, $</t>
        </is>
      </c>
      <c r="C121" t="inlineStr">
        <is>
          <t>100000</t>
        </is>
      </c>
      <c r="D121" s="13" t="inlineStr">
        <is>
          <t>FACT-M</t>
        </is>
      </c>
      <c r="E121" t="inlineStr">
        <is>
          <t>https://www.sec.gov/cgi-bin/browse-edgar?action=getcompany&amp;company=Cardone+Capital&amp;type=D&amp;dateb=&amp;owner=include&amp;count=100</t>
        </is>
      </c>
      <c r="F121" s="2" t="inlineStr">
        <is>
          <t>Медиана minimumInvestmentAccepted по ненулевым значениям.</t>
        </is>
      </c>
    </row>
    <row r="122">
      <c r="A122" t="inlineStr">
        <is>
          <t>Cardone Capital [бенчмарк]</t>
        </is>
      </c>
      <c r="B122" t="inlineStr">
        <is>
          <t>Инвесторов по формам D (сумма totalNumberAlreadyInvested)</t>
        </is>
      </c>
      <c r="C122" t="inlineStr">
        <is>
          <t>4526</t>
        </is>
      </c>
      <c r="D122" s="13" t="inlineStr">
        <is>
          <t>FACT-M</t>
        </is>
      </c>
      <c r="E122" t="inlineStr">
        <is>
          <t>https://www.sec.gov/cgi-bin/browse-edgar?action=getcompany&amp;company=Cardone+Capital&amp;type=D&amp;dateb=&amp;owner=include&amp;count=100</t>
        </is>
      </c>
      <c r="F122" s="2" t="inlineStr">
        <is>
          <t>Учитывает только инвесторов в этих конкретных предложениях; офшорные инвесторы могут не попадать.</t>
        </is>
      </c>
    </row>
    <row r="123">
      <c r="A123" t="inlineStr">
        <is>
          <t>RealtyMogul [бенчмарк]</t>
        </is>
      </c>
      <c r="B123" t="inlineStr">
        <is>
          <t>Число отдельных Reg D-эмитентов (после очистки от однофамильцев)</t>
        </is>
      </c>
      <c r="C123" t="inlineStr">
        <is>
          <t>131</t>
        </is>
      </c>
      <c r="D123" s="13" t="inlineStr">
        <is>
          <t>FACT-M</t>
        </is>
      </c>
      <c r="E123" t="inlineStr">
        <is>
          <t>https://www.sec.gov/cgi-bin/browse-edgar?action=getcompany&amp;company=RealtyMogul&amp;type=D&amp;dateb=&amp;owner=include&amp;count=100</t>
        </is>
      </c>
      <c r="F123" s="2" t="inlineStr">
        <is>
          <t>SEC EDGAR, выгрузка 05.10.2026. Имена эмитентов отфильтрованы по включающему/исключающему паттерну.</t>
        </is>
      </c>
    </row>
    <row r="124">
      <c r="A124" t="inlineStr">
        <is>
          <t>RealtyMogul [бенчмарк]</t>
        </is>
      </c>
      <c r="B124" t="inlineStr">
        <is>
          <t>Подано форм D (всего)</t>
        </is>
      </c>
      <c r="C124" t="inlineStr">
        <is>
          <t>212</t>
        </is>
      </c>
      <c r="D124" s="13" t="inlineStr">
        <is>
          <t>FACT-M</t>
        </is>
      </c>
      <c r="E124" t="inlineStr">
        <is>
          <t>https://www.sec.gov/cgi-bin/browse-edgar?action=getcompany&amp;company=RealtyMogul&amp;type=D&amp;dateb=&amp;owner=include&amp;count=100</t>
        </is>
      </c>
      <c r="F124" s="2" t="inlineStr"/>
    </row>
    <row r="125">
      <c r="A125" t="inlineStr">
        <is>
          <t>RealtyMogul [бенчмарк]</t>
        </is>
      </c>
      <c r="B125" t="inlineStr">
        <is>
          <t>Подано форм D с 01.01.2024 (текущая активность)</t>
        </is>
      </c>
      <c r="C125" t="inlineStr">
        <is>
          <t>0</t>
        </is>
      </c>
      <c r="D125" s="13" t="inlineStr">
        <is>
          <t>FACT-M</t>
        </is>
      </c>
      <c r="E125" t="inlineStr">
        <is>
          <t>https://www.sec.gov/cgi-bin/browse-edgar?action=getcompany&amp;company=RealtyMogul&amp;type=D&amp;dateb=&amp;owner=include&amp;count=100</t>
        </is>
      </c>
      <c r="F125" s="2" t="inlineStr"/>
    </row>
    <row r="126">
      <c r="A126" t="inlineStr">
        <is>
          <t>EquityMultiple [бенчмарк]</t>
        </is>
      </c>
      <c r="B126" t="inlineStr">
        <is>
          <t>Число отдельных Reg D-эмитентов (после очистки от однофамильцев)</t>
        </is>
      </c>
      <c r="C126" t="inlineStr">
        <is>
          <t>100</t>
        </is>
      </c>
      <c r="D126" s="13" t="inlineStr">
        <is>
          <t>FACT-M</t>
        </is>
      </c>
      <c r="E126" t="inlineStr">
        <is>
          <t>https://www.sec.gov/cgi-bin/browse-edgar?action=getcompany&amp;company=EquityMultiple&amp;type=D&amp;dateb=&amp;owner=include&amp;count=100</t>
        </is>
      </c>
      <c r="F126" s="2" t="inlineStr">
        <is>
          <t>SEC EDGAR, выгрузка 05.10.2026. Имена эмитентов отфильтрованы по включающему/исключающему паттерну.</t>
        </is>
      </c>
    </row>
    <row r="127">
      <c r="A127" t="inlineStr">
        <is>
          <t>EquityMultiple [бенчмарк]</t>
        </is>
      </c>
      <c r="B127" t="inlineStr">
        <is>
          <t>Подано форм D (всего)</t>
        </is>
      </c>
      <c r="C127" t="inlineStr">
        <is>
          <t>102</t>
        </is>
      </c>
      <c r="D127" s="13" t="inlineStr">
        <is>
          <t>FACT-M</t>
        </is>
      </c>
      <c r="E127" t="inlineStr">
        <is>
          <t>https://www.sec.gov/cgi-bin/browse-edgar?action=getcompany&amp;company=EquityMultiple&amp;type=D&amp;dateb=&amp;owner=include&amp;count=100</t>
        </is>
      </c>
      <c r="F127" s="2" t="inlineStr"/>
    </row>
    <row r="128">
      <c r="A128" t="inlineStr">
        <is>
          <t>EquityMultiple [бенчмарк]</t>
        </is>
      </c>
      <c r="B128" t="inlineStr">
        <is>
          <t>Подано форм D с 01.01.2024 (текущая активность)</t>
        </is>
      </c>
      <c r="C128" t="inlineStr">
        <is>
          <t>0</t>
        </is>
      </c>
      <c r="D128" s="13" t="inlineStr">
        <is>
          <t>FACT-M</t>
        </is>
      </c>
      <c r="E128" t="inlineStr">
        <is>
          <t>https://www.sec.gov/cgi-bin/browse-edgar?action=getcompany&amp;company=EquityMultiple&amp;type=D&amp;dateb=&amp;owner=include&amp;count=100</t>
        </is>
      </c>
      <c r="F128" s="2" t="inlineStr"/>
    </row>
    <row r="129">
      <c r="A129" t="inlineStr">
        <is>
          <t>Fundrise [бенчмарк]</t>
        </is>
      </c>
      <c r="B129" t="inlineStr">
        <is>
          <t>Число отдельных Reg D-эмитентов (после очистки от однофамильцев)</t>
        </is>
      </c>
      <c r="C129" t="inlineStr">
        <is>
          <t>42</t>
        </is>
      </c>
      <c r="D129" s="13" t="inlineStr">
        <is>
          <t>FACT-M</t>
        </is>
      </c>
      <c r="E129" t="inlineStr">
        <is>
          <t>https://www.sec.gov/cgi-bin/browse-edgar?action=getcompany&amp;company=Fundrise&amp;type=D&amp;dateb=&amp;owner=include&amp;count=100</t>
        </is>
      </c>
      <c r="F129" s="2" t="inlineStr">
        <is>
          <t>SEC EDGAR, выгрузка 05.10.2026. Имена эмитентов отфильтрованы по включающему/исключающему паттерну.</t>
        </is>
      </c>
    </row>
    <row r="130">
      <c r="A130" t="inlineStr">
        <is>
          <t>Fundrise [бенчмарк]</t>
        </is>
      </c>
      <c r="B130" t="inlineStr">
        <is>
          <t>Подано форм D (всего)</t>
        </is>
      </c>
      <c r="C130" t="inlineStr">
        <is>
          <t>118</t>
        </is>
      </c>
      <c r="D130" s="13" t="inlineStr">
        <is>
          <t>FACT-M</t>
        </is>
      </c>
      <c r="E130" t="inlineStr">
        <is>
          <t>https://www.sec.gov/cgi-bin/browse-edgar?action=getcompany&amp;company=Fundrise&amp;type=D&amp;dateb=&amp;owner=include&amp;count=100</t>
        </is>
      </c>
      <c r="F130" s="2" t="inlineStr"/>
    </row>
    <row r="131">
      <c r="A131" t="inlineStr">
        <is>
          <t>Fundrise [бенчмарк]</t>
        </is>
      </c>
      <c r="B131" t="inlineStr">
        <is>
          <t>Подано форм D с 01.01.2024 (текущая активность)</t>
        </is>
      </c>
      <c r="C131" t="inlineStr">
        <is>
          <t>13</t>
        </is>
      </c>
      <c r="D131" s="13" t="inlineStr">
        <is>
          <t>FACT-M</t>
        </is>
      </c>
      <c r="E131" t="inlineStr">
        <is>
          <t>https://www.sec.gov/cgi-bin/browse-edgar?action=getcompany&amp;company=Fundrise&amp;type=D&amp;dateb=&amp;owner=include&amp;count=100</t>
        </is>
      </c>
      <c r="F131" s="2" t="inlineStr"/>
    </row>
    <row r="132">
      <c r="A132" t="inlineStr">
        <is>
          <t>Hines</t>
        </is>
      </c>
      <c r="B132" t="inlineStr">
        <is>
          <t>Число отдельных Reg D-эмитентов (после очистки от однофамильцев)</t>
        </is>
      </c>
      <c r="C132" t="inlineStr">
        <is>
          <t>33</t>
        </is>
      </c>
      <c r="D132" s="13" t="inlineStr">
        <is>
          <t>FACT-M</t>
        </is>
      </c>
      <c r="E132" t="inlineStr">
        <is>
          <t>https://www.sec.gov/cgi-bin/browse-edgar?action=getcompany&amp;company=Hines&amp;type=D&amp;dateb=&amp;owner=include&amp;count=100</t>
        </is>
      </c>
      <c r="F132" s="2" t="inlineStr">
        <is>
          <t>SEC EDGAR, выгрузка 05.10.2026. Имена эмитентов отфильтрованы по включающему/исключающему паттерну.</t>
        </is>
      </c>
    </row>
    <row r="133">
      <c r="A133" t="inlineStr">
        <is>
          <t>Hines</t>
        </is>
      </c>
      <c r="B133" t="inlineStr">
        <is>
          <t>Подано форм D (всего)</t>
        </is>
      </c>
      <c r="C133" t="inlineStr">
        <is>
          <t>228</t>
        </is>
      </c>
      <c r="D133" s="13" t="inlineStr">
        <is>
          <t>FACT-M</t>
        </is>
      </c>
      <c r="E133" t="inlineStr">
        <is>
          <t>https://www.sec.gov/cgi-bin/browse-edgar?action=getcompany&amp;company=Hines&amp;type=D&amp;dateb=&amp;owner=include&amp;count=100</t>
        </is>
      </c>
      <c r="F133" s="2" t="inlineStr"/>
    </row>
    <row r="134">
      <c r="A134" t="inlineStr">
        <is>
          <t>Hines</t>
        </is>
      </c>
      <c r="B134" t="inlineStr">
        <is>
          <t>Подано форм D с 01.01.2024 (текущая активность)</t>
        </is>
      </c>
      <c r="C134" t="inlineStr">
        <is>
          <t>61</t>
        </is>
      </c>
      <c r="D134" s="13" t="inlineStr">
        <is>
          <t>FACT-M</t>
        </is>
      </c>
      <c r="E134" t="inlineStr">
        <is>
          <t>https://www.sec.gov/cgi-bin/browse-edgar?action=getcompany&amp;company=Hines&amp;type=D&amp;dateb=&amp;owner=include&amp;count=100</t>
        </is>
      </c>
      <c r="F134" s="2" t="inlineStr"/>
    </row>
    <row r="135">
      <c r="A135" t="inlineStr">
        <is>
          <t>Belpointe OZ</t>
        </is>
      </c>
      <c r="B135" t="inlineStr">
        <is>
          <t>Число отдельных Reg D-эмитентов (после очистки от однофамильцев)</t>
        </is>
      </c>
      <c r="C135" t="inlineStr">
        <is>
          <t>7</t>
        </is>
      </c>
      <c r="D135" s="13" t="inlineStr">
        <is>
          <t>FACT-M</t>
        </is>
      </c>
      <c r="E135" t="inlineStr">
        <is>
          <t>https://www.sec.gov/cgi-bin/browse-edgar?action=getcompany&amp;company=Belpointe+OZ&amp;type=D&amp;dateb=&amp;owner=include&amp;count=100</t>
        </is>
      </c>
      <c r="F135" s="2" t="inlineStr">
        <is>
          <t>SEC EDGAR, выгрузка 05.10.2026. Имена эмитентов отфильтрованы по включающему/исключающему паттерну.</t>
        </is>
      </c>
    </row>
    <row r="136">
      <c r="A136" t="inlineStr">
        <is>
          <t>Belpointe OZ</t>
        </is>
      </c>
      <c r="B136" t="inlineStr">
        <is>
          <t>Подано форм D (всего)</t>
        </is>
      </c>
      <c r="C136" t="inlineStr">
        <is>
          <t>30</t>
        </is>
      </c>
      <c r="D136" s="13" t="inlineStr">
        <is>
          <t>FACT-M</t>
        </is>
      </c>
      <c r="E136" t="inlineStr">
        <is>
          <t>https://www.sec.gov/cgi-bin/browse-edgar?action=getcompany&amp;company=Belpointe+OZ&amp;type=D&amp;dateb=&amp;owner=include&amp;count=100</t>
        </is>
      </c>
      <c r="F136" s="2" t="inlineStr"/>
    </row>
    <row r="137">
      <c r="A137" t="inlineStr">
        <is>
          <t>Belpointe OZ</t>
        </is>
      </c>
      <c r="B137" t="inlineStr">
        <is>
          <t>Подано форм D с 01.01.2024 (текущая активность)</t>
        </is>
      </c>
      <c r="C137" t="inlineStr">
        <is>
          <t>4</t>
        </is>
      </c>
      <c r="D137" s="13" t="inlineStr">
        <is>
          <t>FACT-M</t>
        </is>
      </c>
      <c r="E137" t="inlineStr">
        <is>
          <t>https://www.sec.gov/cgi-bin/browse-edgar?action=getcompany&amp;company=Belpointe+OZ&amp;type=D&amp;dateb=&amp;owner=include&amp;count=100</t>
        </is>
      </c>
      <c r="F137" s="2" t="inlineStr"/>
    </row>
    <row r="138">
      <c r="A138" t="inlineStr">
        <is>
          <t>BTI Partners</t>
        </is>
      </c>
      <c r="B138" t="inlineStr">
        <is>
          <t>Число отдельных Reg D-эмитентов (после очистки от однофамильцев)</t>
        </is>
      </c>
      <c r="C138" t="inlineStr">
        <is>
          <t>1</t>
        </is>
      </c>
      <c r="D138" s="13" t="inlineStr">
        <is>
          <t>FACT-M</t>
        </is>
      </c>
      <c r="E138" t="inlineStr">
        <is>
          <t>https://www.sec.gov/cgi-bin/browse-edgar?action=getcompany&amp;company=BTI+Partners&amp;type=D&amp;dateb=&amp;owner=include&amp;count=100</t>
        </is>
      </c>
      <c r="F138" s="2" t="inlineStr">
        <is>
          <t>SEC EDGAR, выгрузка 05.10.2026. Имена эмитентов отфильтрованы по включающему/исключающему паттерну.</t>
        </is>
      </c>
    </row>
    <row r="139">
      <c r="A139" t="inlineStr">
        <is>
          <t>BTI Partners</t>
        </is>
      </c>
      <c r="B139" t="inlineStr">
        <is>
          <t>Подано форм D (всего)</t>
        </is>
      </c>
      <c r="C139" t="inlineStr">
        <is>
          <t>1</t>
        </is>
      </c>
      <c r="D139" s="13" t="inlineStr">
        <is>
          <t>FACT-M</t>
        </is>
      </c>
      <c r="E139" t="inlineStr">
        <is>
          <t>https://www.sec.gov/cgi-bin/browse-edgar?action=getcompany&amp;company=BTI+Partners&amp;type=D&amp;dateb=&amp;owner=include&amp;count=100</t>
        </is>
      </c>
      <c r="F139" s="2" t="inlineStr"/>
    </row>
    <row r="140">
      <c r="A140" t="inlineStr">
        <is>
          <t>BTI Partners</t>
        </is>
      </c>
      <c r="B140" t="inlineStr">
        <is>
          <t>Подано форм D с 01.01.2024 (текущая активность)</t>
        </is>
      </c>
      <c r="C140" t="inlineStr">
        <is>
          <t>0</t>
        </is>
      </c>
      <c r="D140" s="13" t="inlineStr">
        <is>
          <t>FACT-M</t>
        </is>
      </c>
      <c r="E140" t="inlineStr">
        <is>
          <t>https://www.sec.gov/cgi-bin/browse-edgar?action=getcompany&amp;company=BTI+Partners&amp;type=D&amp;dateb=&amp;owner=include&amp;count=100</t>
        </is>
      </c>
      <c r="F140" s="2" t="inlineStr"/>
    </row>
    <row r="141">
      <c r="A141" t="inlineStr">
        <is>
          <t>13th Floor Investments</t>
        </is>
      </c>
      <c r="B141" t="inlineStr">
        <is>
          <t>Число отдельных Reg D-эмитентов (после очистки от однофамильцев)</t>
        </is>
      </c>
      <c r="C141" t="inlineStr">
        <is>
          <t>1</t>
        </is>
      </c>
      <c r="D141" s="13" t="inlineStr">
        <is>
          <t>FACT-M</t>
        </is>
      </c>
      <c r="E141" t="inlineStr">
        <is>
          <t>https://www.sec.gov/cgi-bin/browse-edgar?action=getcompany&amp;company=13th+Floor+Investments&amp;type=D&amp;dateb=&amp;owner=include&amp;count=100</t>
        </is>
      </c>
      <c r="F141" s="2" t="inlineStr">
        <is>
          <t>SEC EDGAR, выгрузка 05.10.2026. Имена эмитентов отфильтрованы по включающему/исключающему паттерну.</t>
        </is>
      </c>
    </row>
    <row r="142">
      <c r="A142" t="inlineStr">
        <is>
          <t>13th Floor Investments</t>
        </is>
      </c>
      <c r="B142" t="inlineStr">
        <is>
          <t>Подано форм D (всего)</t>
        </is>
      </c>
      <c r="C142" t="inlineStr">
        <is>
          <t>1</t>
        </is>
      </c>
      <c r="D142" s="13" t="inlineStr">
        <is>
          <t>FACT-M</t>
        </is>
      </c>
      <c r="E142" t="inlineStr">
        <is>
          <t>https://www.sec.gov/cgi-bin/browse-edgar?action=getcompany&amp;company=13th+Floor+Investments&amp;type=D&amp;dateb=&amp;owner=include&amp;count=100</t>
        </is>
      </c>
      <c r="F142" s="2" t="inlineStr"/>
    </row>
    <row r="143">
      <c r="A143" t="inlineStr">
        <is>
          <t>13th Floor Investments</t>
        </is>
      </c>
      <c r="B143" t="inlineStr">
        <is>
          <t>Подано форм D с 01.01.2024 (текущая активность)</t>
        </is>
      </c>
      <c r="C143" t="inlineStr">
        <is>
          <t>0</t>
        </is>
      </c>
      <c r="D143" s="13" t="inlineStr">
        <is>
          <t>FACT-M</t>
        </is>
      </c>
      <c r="E143" t="inlineStr">
        <is>
          <t>https://www.sec.gov/cgi-bin/browse-edgar?action=getcompany&amp;company=13th+Floor+Investments&amp;type=D&amp;dateb=&amp;owner=include&amp;count=100</t>
        </is>
      </c>
      <c r="F143" s="2" t="inlineStr"/>
    </row>
    <row r="144">
      <c r="A144" t="inlineStr">
        <is>
          <t>Allied Development</t>
        </is>
      </c>
      <c r="B144" t="inlineStr">
        <is>
          <t>Число отдельных Reg D-эмитентов (после очистки от однофамильцев)</t>
        </is>
      </c>
      <c r="C144" t="inlineStr">
        <is>
          <t>2</t>
        </is>
      </c>
      <c r="D144" s="13" t="inlineStr">
        <is>
          <t>FACT-M</t>
        </is>
      </c>
      <c r="E144" t="inlineStr">
        <is>
          <t>https://www.sec.gov/cgi-bin/browse-edgar?action=getcompany&amp;company=Allied+Development&amp;type=D&amp;dateb=&amp;owner=include&amp;count=100</t>
        </is>
      </c>
      <c r="F144" s="2" t="inlineStr">
        <is>
          <t>SEC EDGAR, выгрузка 05.10.2026. Имена эмитентов отфильтрованы по включающему/исключающему паттерну.</t>
        </is>
      </c>
    </row>
    <row r="145">
      <c r="A145" t="inlineStr">
        <is>
          <t>Allied Development</t>
        </is>
      </c>
      <c r="B145" t="inlineStr">
        <is>
          <t>Подано форм D (всего)</t>
        </is>
      </c>
      <c r="C145" t="inlineStr">
        <is>
          <t>4</t>
        </is>
      </c>
      <c r="D145" s="13" t="inlineStr">
        <is>
          <t>FACT-M</t>
        </is>
      </c>
      <c r="E145" t="inlineStr">
        <is>
          <t>https://www.sec.gov/cgi-bin/browse-edgar?action=getcompany&amp;company=Allied+Development&amp;type=D&amp;dateb=&amp;owner=include&amp;count=100</t>
        </is>
      </c>
      <c r="F145" s="2" t="inlineStr"/>
    </row>
    <row r="146">
      <c r="A146" t="inlineStr">
        <is>
          <t>Allied Development</t>
        </is>
      </c>
      <c r="B146" t="inlineStr">
        <is>
          <t>Подано форм D с 01.01.2024 (текущая активность)</t>
        </is>
      </c>
      <c r="C146" t="inlineStr">
        <is>
          <t>0</t>
        </is>
      </c>
      <c r="D146" s="13" t="inlineStr">
        <is>
          <t>FACT-M</t>
        </is>
      </c>
      <c r="E146" t="inlineStr">
        <is>
          <t>https://www.sec.gov/cgi-bin/browse-edgar?action=getcompany&amp;company=Allied+Development&amp;type=D&amp;dateb=&amp;owner=include&amp;count=100</t>
        </is>
      </c>
      <c r="F146" s="2" t="inlineStr"/>
    </row>
    <row r="147">
      <c r="A147" t="inlineStr">
        <is>
          <t>Walton Global</t>
        </is>
      </c>
      <c r="B147" t="inlineStr">
        <is>
          <t>Акров под управлением</t>
        </is>
      </c>
      <c r="C147" t="inlineStr">
        <is>
          <t>80500</t>
        </is>
      </c>
      <c r="D147" s="20" t="inlineStr">
        <is>
          <t>FACT-D</t>
        </is>
      </c>
      <c r="E147" t="inlineStr">
        <is>
          <t>https://walton.com/our-global-approach/</t>
        </is>
      </c>
      <c r="F147" s="2" t="inlineStr">
        <is>
          <t>Раскрыто компанией или в отчётности/пресс-релизе.</t>
        </is>
      </c>
    </row>
    <row r="148">
      <c r="A148" t="inlineStr">
        <is>
          <t>Walton Global</t>
        </is>
      </c>
      <c r="B148" t="inlineStr">
        <is>
          <t>Master-planned communities</t>
        </is>
      </c>
      <c r="C148" t="inlineStr">
        <is>
          <t>198</t>
        </is>
      </c>
      <c r="D148" s="20" t="inlineStr">
        <is>
          <t>FACT-D</t>
        </is>
      </c>
      <c r="E148" t="inlineStr">
        <is>
          <t>https://walton.com/our-global-approach/</t>
        </is>
      </c>
      <c r="F148" s="2" t="inlineStr">
        <is>
          <t>Раскрыто компанией или в отчётности/пресс-релизе.</t>
        </is>
      </c>
    </row>
    <row r="149">
      <c r="A149" t="inlineStr">
        <is>
          <t>Walton Global</t>
        </is>
      </c>
      <c r="B149" t="inlineStr">
        <is>
          <t>Региональных рынков</t>
        </is>
      </c>
      <c r="C149" t="inlineStr">
        <is>
          <t>34</t>
        </is>
      </c>
      <c r="D149" s="20" t="inlineStr">
        <is>
          <t>FACT-D</t>
        </is>
      </c>
      <c r="E149" t="inlineStr">
        <is>
          <t>https://walton.com/our-global-approach/</t>
        </is>
      </c>
      <c r="F149" s="2" t="inlineStr">
        <is>
          <t>Раскрыто компанией или в отчётности/пресс-релизе.</t>
        </is>
      </c>
    </row>
    <row r="150">
      <c r="A150" t="inlineStr">
        <is>
          <t>Walton Global</t>
        </is>
      </c>
      <c r="B150" t="inlineStr">
        <is>
          <t>Land under management, $млн</t>
        </is>
      </c>
      <c r="C150" t="inlineStr">
        <is>
          <t>4640</t>
        </is>
      </c>
      <c r="D150" s="20" t="inlineStr">
        <is>
          <t>FACT-D</t>
        </is>
      </c>
      <c r="E150" t="inlineStr">
        <is>
          <t>https://walton.com/</t>
        </is>
      </c>
      <c r="F150" s="2" t="inlineStr">
        <is>
          <t>Раскрыто компанией или в отчётности/пресс-релизе.</t>
        </is>
      </c>
    </row>
    <row r="151">
      <c r="A151" t="inlineStr">
        <is>
          <t>Walton Global</t>
        </is>
      </c>
      <c r="B151" t="inlineStr">
        <is>
          <t>Распределено инвесторам, $млн</t>
        </is>
      </c>
      <c r="C151" t="inlineStr">
        <is>
          <t>3140</t>
        </is>
      </c>
      <c r="D151" s="20" t="inlineStr">
        <is>
          <t>FACT-D</t>
        </is>
      </c>
      <c r="E151" t="inlineStr">
        <is>
          <t>https://walton.com/</t>
        </is>
      </c>
      <c r="F151" s="2" t="inlineStr">
        <is>
          <t>Раскрыто компанией или в отчётности/пресс-релизе.</t>
        </is>
      </c>
    </row>
    <row r="152">
      <c r="A152" t="inlineStr">
        <is>
          <t>Walton Global</t>
        </is>
      </c>
      <c r="B152" t="inlineStr">
        <is>
          <t>Инвесторов</t>
        </is>
      </c>
      <c r="C152" t="inlineStr">
        <is>
          <t>89000</t>
        </is>
      </c>
      <c r="D152" s="20" t="inlineStr">
        <is>
          <t>FACT-D</t>
        </is>
      </c>
      <c r="E152" t="inlineStr">
        <is>
          <t>https://walton.com/</t>
        </is>
      </c>
      <c r="F152" s="2" t="inlineStr">
        <is>
          <t>Раскрыто компанией или в отчётности/пресс-релизе.</t>
        </is>
      </c>
    </row>
    <row r="153">
      <c r="A153" t="inlineStr">
        <is>
          <t>Walton Global</t>
        </is>
      </c>
      <c r="B153" t="inlineStr">
        <is>
          <t>Стран</t>
        </is>
      </c>
      <c r="C153" t="inlineStr">
        <is>
          <t>91</t>
        </is>
      </c>
      <c r="D153" s="20" t="inlineStr">
        <is>
          <t>FACT-D</t>
        </is>
      </c>
      <c r="E153" t="inlineStr">
        <is>
          <t>https://walton.com/</t>
        </is>
      </c>
      <c r="F153" s="2" t="inlineStr">
        <is>
          <t>Раскрыто компанией или в отчётности/пресс-релизе.</t>
        </is>
      </c>
    </row>
    <row r="154">
      <c r="A154" t="inlineStr">
        <is>
          <t>Walton Global</t>
        </is>
      </c>
      <c r="B154" t="inlineStr">
        <is>
          <t>Одобренных каналов дистрибуции</t>
        </is>
      </c>
      <c r="C154" t="inlineStr">
        <is>
          <t>300</t>
        </is>
      </c>
      <c r="D154" s="20" t="inlineStr">
        <is>
          <t>FACT-D</t>
        </is>
      </c>
      <c r="E154" t="inlineStr">
        <is>
          <t>https://walton.com/our-global-approach/</t>
        </is>
      </c>
      <c r="F154" s="2" t="inlineStr">
        <is>
          <t>Раскрыто компанией или в отчётности/пресс-релизе.</t>
        </is>
      </c>
    </row>
    <row r="155">
      <c r="A155" t="inlineStr">
        <is>
          <t>Walton Global</t>
        </is>
      </c>
      <c r="B155" t="inlineStr">
        <is>
          <t>Новый фонд American Builder Growth &amp; Income, целевой размер $млн</t>
        </is>
      </c>
      <c r="C155" t="inlineStr">
        <is>
          <t>500</t>
        </is>
      </c>
      <c r="D155" s="20" t="inlineStr">
        <is>
          <t>FACT-D</t>
        </is>
      </c>
      <c r="E155" t="inlineStr">
        <is>
          <t>https://www.businesswire.com/news/home/20260212613090/en/Walton-Global-Launches-the-American-Builder-Growth-and-Income-Fund</t>
        </is>
      </c>
      <c r="F155" s="2" t="inlineStr">
        <is>
          <t>Раскрыто компанией или в отчётности/пресс-релизе.</t>
        </is>
      </c>
    </row>
    <row r="156">
      <c r="A156" t="inlineStr">
        <is>
          <t>Millrose Properties</t>
        </is>
      </c>
      <c r="B156" t="inlineStr">
        <is>
          <t>Homesites</t>
        </is>
      </c>
      <c r="C156" t="inlineStr">
        <is>
          <t>143771</t>
        </is>
      </c>
      <c r="D156" s="20" t="inlineStr">
        <is>
          <t>FACT-D</t>
        </is>
      </c>
      <c r="E156" t="inlineStr">
        <is>
          <t>https://www.fool.com/earnings/call-transcripts/2026/08/11/millrose-properties-mrp-q2-2026-earnings-call-transcript/</t>
        </is>
      </c>
      <c r="F156" s="2" t="inlineStr">
        <is>
          <t>Раскрыто компанией или в отчётности/пресс-релизе.</t>
        </is>
      </c>
    </row>
    <row r="157">
      <c r="A157" t="inlineStr">
        <is>
          <t>Millrose Properties</t>
        </is>
      </c>
      <c r="B157" t="inlineStr">
        <is>
          <t>Комьюнити</t>
        </is>
      </c>
      <c r="C157" t="inlineStr">
        <is>
          <t>877</t>
        </is>
      </c>
      <c r="D157" s="20" t="inlineStr">
        <is>
          <t>FACT-D</t>
        </is>
      </c>
      <c r="E157" t="inlineStr">
        <is>
          <t>https://www.fool.com/earnings/call-transcripts/2026/08/11/millrose-properties-mrp-q2-2026-earnings-call-transcript/</t>
        </is>
      </c>
      <c r="F157" s="2" t="inlineStr">
        <is>
          <t>Раскрыто компанией или в отчётности/пресс-релизе.</t>
        </is>
      </c>
    </row>
    <row r="158">
      <c r="A158" t="inlineStr">
        <is>
          <t>Millrose Properties</t>
        </is>
      </c>
      <c r="B158" t="inlineStr">
        <is>
          <t>Штатов</t>
        </is>
      </c>
      <c r="C158" t="inlineStr">
        <is>
          <t>30</t>
        </is>
      </c>
      <c r="D158" s="20" t="inlineStr">
        <is>
          <t>FACT-D</t>
        </is>
      </c>
      <c r="E158" t="inlineStr">
        <is>
          <t>https://www.fool.com/earnings/call-transcripts/2026/08/11/millrose-properties-mrp-q2-2026-earnings-call-transcript/</t>
        </is>
      </c>
      <c r="F158" s="2" t="inlineStr">
        <is>
          <t>Раскрыто компанией или в отчётности/пресс-релизе.</t>
        </is>
      </c>
    </row>
    <row r="159">
      <c r="A159" t="inlineStr">
        <is>
          <t>Millrose Properties</t>
        </is>
      </c>
      <c r="B159" t="inlineStr">
        <is>
          <t>Совокупные активы, $млн</t>
        </is>
      </c>
      <c r="C159" t="inlineStr">
        <is>
          <t>9700</t>
        </is>
      </c>
      <c r="D159" s="20" t="inlineStr">
        <is>
          <t>FACT-D</t>
        </is>
      </c>
      <c r="E159" t="inlineStr">
        <is>
          <t>https://www.gurufocus.com/news/9001874/millrose-properties-reports-second-quarter-2026-financial-results</t>
        </is>
      </c>
      <c r="F159" s="2" t="inlineStr">
        <is>
          <t>Раскрыто компанией или в отчётности/пресс-релизе.</t>
        </is>
      </c>
    </row>
    <row r="160">
      <c r="A160" t="inlineStr">
        <is>
          <t>Millrose Properties</t>
        </is>
      </c>
      <c r="B160" t="inlineStr">
        <is>
          <t>Ожидаемые takedown-поступления, $млн</t>
        </is>
      </c>
      <c r="C160" t="inlineStr">
        <is>
          <t>16300</t>
        </is>
      </c>
      <c r="D160" s="20" t="inlineStr">
        <is>
          <t>FACT-D</t>
        </is>
      </c>
      <c r="E160" t="inlineStr">
        <is>
          <t>https://www.fool.com/earnings/call-transcripts/2026/08/11/millrose-properties-mrp-q2-2026-earnings-call-transcript/</t>
        </is>
      </c>
      <c r="F160" s="2" t="inlineStr">
        <is>
          <t>Раскрыто компанией или в отчётности/пресс-релизе.</t>
        </is>
      </c>
    </row>
    <row r="161">
      <c r="A161" t="inlineStr">
        <is>
          <t>Domain Real Estate Partners</t>
        </is>
      </c>
      <c r="B161" t="inlineStr">
        <is>
          <t>Профинансировано проектов</t>
        </is>
      </c>
      <c r="C161" t="inlineStr">
        <is>
          <t>720</t>
        </is>
      </c>
      <c r="D161" s="20" t="inlineStr">
        <is>
          <t>FACT-D</t>
        </is>
      </c>
      <c r="E161" t="inlineStr">
        <is>
          <t>https://www.pgim.com/us/en/borrower/about/newsroom/press-releases/pgim-and-domain-real-estate-partners-surpass-4-billion-in-u-s--land-banking-transactions</t>
        </is>
      </c>
      <c r="F161" s="2" t="inlineStr">
        <is>
          <t>Раскрыто компанией или в отчётности/пресс-релизе.</t>
        </is>
      </c>
    </row>
    <row r="162">
      <c r="A162" t="inlineStr">
        <is>
          <t>Domain Real Estate Partners</t>
        </is>
      </c>
      <c r="B162" t="inlineStr">
        <is>
          <t>Совокупная стоимость проектов, $млн</t>
        </is>
      </c>
      <c r="C162" t="inlineStr">
        <is>
          <t>16000</t>
        </is>
      </c>
      <c r="D162" s="20" t="inlineStr">
        <is>
          <t>FACT-D</t>
        </is>
      </c>
      <c r="E162" t="inlineStr">
        <is>
          <t>https://www.pgim.com/us/en/borrower/about/newsroom/press-releases/pgim-and-domain-real-estate-partners-surpass-4-billion-in-u-s--land-banking-transactions</t>
        </is>
      </c>
      <c r="F162" s="2" t="inlineStr">
        <is>
          <t>Раскрыто компанией или в отчётности/пресс-релизе.</t>
        </is>
      </c>
    </row>
    <row r="163">
      <c r="A163" t="inlineStr">
        <is>
          <t>Domain Real Estate Partners</t>
        </is>
      </c>
      <c r="B163" t="inlineStr">
        <is>
          <t>Развёрнуто в портфеле, $млн</t>
        </is>
      </c>
      <c r="C163" t="inlineStr">
        <is>
          <t>6000</t>
        </is>
      </c>
      <c r="D163" s="20" t="inlineStr">
        <is>
          <t>FACT-D</t>
        </is>
      </c>
      <c r="E163" t="inlineStr">
        <is>
          <t>https://alternativecreditinvestor.com/2026/05/26/pgim-and-domain-hit-4bn-in-us-land-banking-deals/</t>
        </is>
      </c>
      <c r="F163" s="2" t="inlineStr">
        <is>
          <t>Раскрыто компанией или в отчётности/пресс-релизе.</t>
        </is>
      </c>
    </row>
    <row r="164">
      <c r="A164" t="inlineStr">
        <is>
          <t>Howard Hughes Holdings</t>
        </is>
      </c>
      <c r="B164" t="inlineStr">
        <is>
          <t>Акров</t>
        </is>
      </c>
      <c r="C164" t="inlineStr">
        <is>
          <t>118000</t>
        </is>
      </c>
      <c r="D164" s="20" t="inlineStr">
        <is>
          <t>FACT-D</t>
        </is>
      </c>
      <c r="E164" t="inlineStr">
        <is>
          <t>https://investor.howardhughes.com/news-releases/news-release-details/howard-hughes-communitiestm-celebrates-grand-opening-teravalistm</t>
        </is>
      </c>
      <c r="F164" s="2" t="inlineStr">
        <is>
          <t>Раскрыто компанией или в отчётности/пресс-релизе.</t>
        </is>
      </c>
    </row>
    <row r="165">
      <c r="A165" t="inlineStr">
        <is>
          <t>The St. Joe Company</t>
        </is>
      </c>
      <c r="B165" t="inlineStr">
        <is>
          <t>Акров во Флориде</t>
        </is>
      </c>
      <c r="C165" t="inlineStr">
        <is>
          <t>165000</t>
        </is>
      </c>
      <c r="D165" s="20" t="inlineStr">
        <is>
          <t>FACT-D</t>
        </is>
      </c>
      <c r="E165" t="inlineStr">
        <is>
          <t>https://en.wikipedia.org/wiki/St._Joe_Company</t>
        </is>
      </c>
      <c r="F165" s="2" t="inlineStr">
        <is>
          <t>Раскрыто компанией или в отчётности/пресс-релизе.</t>
        </is>
      </c>
    </row>
    <row r="166">
      <c r="A166" t="inlineStr">
        <is>
          <t>The St. Joe Company</t>
        </is>
      </c>
      <c r="B166" t="inlineStr">
        <is>
          <t>Выручка неконсолидированных JV, Q1 2026, $млн</t>
        </is>
      </c>
      <c r="C166" t="inlineStr">
        <is>
          <t>56.1</t>
        </is>
      </c>
      <c r="D166" s="20" t="inlineStr">
        <is>
          <t>FACT-D</t>
        </is>
      </c>
      <c r="E166" t="inlineStr">
        <is>
          <t>https://ir.joe.com/news-releases/news-release-details/st-joe-company-reports-first-quarter-2026-results-and-declares</t>
        </is>
      </c>
      <c r="F166" s="2" t="inlineStr">
        <is>
          <t>Раскрыто компанией или в отчётности/пресс-релизе.</t>
        </is>
      </c>
    </row>
    <row r="167">
      <c r="A167" t="inlineStr">
        <is>
          <t>Tejon Ranch Co</t>
        </is>
      </c>
      <c r="B167" t="inlineStr">
        <is>
          <t>Акров</t>
        </is>
      </c>
      <c r="C167" t="inlineStr">
        <is>
          <t>270000</t>
        </is>
      </c>
      <c r="D167" s="20" t="inlineStr">
        <is>
          <t>FACT-D</t>
        </is>
      </c>
      <c r="E167" t="inlineStr">
        <is>
          <t>https://umbrex.com/resources/company-profiles/tejon-ranch-company/</t>
        </is>
      </c>
      <c r="F167" s="2" t="inlineStr">
        <is>
          <t>Раскрыто компанией или в отчётности/пресс-релизе.</t>
        </is>
      </c>
    </row>
    <row r="168">
      <c r="A168" t="inlineStr">
        <is>
          <t>Forestar Group</t>
        </is>
      </c>
      <c r="B168" t="inlineStr">
        <is>
          <t>Лотов (владение + контроль)</t>
        </is>
      </c>
      <c r="C168" t="inlineStr">
        <is>
          <t>91700</t>
        </is>
      </c>
      <c r="D168" s="20" t="inlineStr">
        <is>
          <t>FACT-D</t>
        </is>
      </c>
      <c r="E168" t="inlineStr">
        <is>
          <t>https://www.businesswire.com/news/home/20260721189655/en/Forestar-Reports-Fiscal-2026-Third-Quarter-Results</t>
        </is>
      </c>
      <c r="F168" s="2" t="inlineStr">
        <is>
          <t>Раскрыто компанией или в отчётности/пресс-релизе.</t>
        </is>
      </c>
    </row>
    <row r="169">
      <c r="A169" t="inlineStr">
        <is>
          <t>Forestar Group</t>
        </is>
      </c>
      <c r="B169" t="inlineStr">
        <is>
          <t>Рынков</t>
        </is>
      </c>
      <c r="C169" t="inlineStr">
        <is>
          <t>65</t>
        </is>
      </c>
      <c r="D169" s="20" t="inlineStr">
        <is>
          <t>FACT-D</t>
        </is>
      </c>
      <c r="E169" t="inlineStr">
        <is>
          <t>https://www.businesswire.com/news/home/20260721189655/en/Forestar-Reports-Fiscal-2026-Third-Quarter-Results</t>
        </is>
      </c>
      <c r="F169" s="2" t="inlineStr">
        <is>
          <t>Раскрыто компанией или в отчётности/пресс-релизе.</t>
        </is>
      </c>
    </row>
    <row r="170">
      <c r="A170" t="inlineStr">
        <is>
          <t>Five Point Holdings</t>
        </is>
      </c>
      <c r="B170" t="inlineStr">
        <is>
          <t>Homesites Valencia</t>
        </is>
      </c>
      <c r="C170" t="inlineStr">
        <is>
          <t>21500</t>
        </is>
      </c>
      <c r="D170" s="20" t="inlineStr">
        <is>
          <t>FACT-D</t>
        </is>
      </c>
      <c r="E170" t="inlineStr">
        <is>
          <t>https://ir.fivepoint.com/news-releases/2026/01-29-2026-211033188</t>
        </is>
      </c>
      <c r="F170" s="2" t="inlineStr">
        <is>
          <t>Раскрыто компанией или в отчётности/пресс-релизе.</t>
        </is>
      </c>
    </row>
    <row r="171">
      <c r="A171" t="inlineStr">
        <is>
          <t>Five Point Holdings</t>
        </is>
      </c>
      <c r="B171" t="inlineStr">
        <is>
          <t>Great Park: акров</t>
        </is>
      </c>
      <c r="C171" t="inlineStr">
        <is>
          <t>2100</t>
        </is>
      </c>
      <c r="D171" s="20" t="inlineStr">
        <is>
          <t>FACT-D</t>
        </is>
      </c>
      <c r="E171" t="inlineStr">
        <is>
          <t>https://therealdeal.com/la/2026/07/29/five-point-sells-irvine-land-to-erickson-for-159-million/</t>
        </is>
      </c>
      <c r="F171" s="2" t="inlineStr">
        <is>
          <t>Раскрыто компанией или в отчётности/пресс-релизе.</t>
        </is>
      </c>
    </row>
    <row r="172">
      <c r="A172" t="inlineStr">
        <is>
          <t>DLP Capital</t>
        </is>
      </c>
      <c r="B172" t="inlineStr">
        <is>
          <t>AUM, $млн</t>
        </is>
      </c>
      <c r="C172" t="inlineStr">
        <is>
          <t>5500</t>
        </is>
      </c>
      <c r="D172" s="20" t="inlineStr">
        <is>
          <t>FACT-D</t>
        </is>
      </c>
      <c r="E172" t="inlineStr">
        <is>
          <t>https://dlpcapital.com/about</t>
        </is>
      </c>
      <c r="F172" s="2" t="inlineStr">
        <is>
          <t>Раскрыто компанией или в отчётности/пресс-релизе.</t>
        </is>
      </c>
    </row>
    <row r="173">
      <c r="A173" t="inlineStr">
        <is>
          <t>DLP Capital</t>
        </is>
      </c>
      <c r="B173" t="inlineStr">
        <is>
          <t>Аккредитованных инвесторов</t>
        </is>
      </c>
      <c r="C173" t="inlineStr">
        <is>
          <t>4000</t>
        </is>
      </c>
      <c r="D173" s="20" t="inlineStr">
        <is>
          <t>FACT-D</t>
        </is>
      </c>
      <c r="E173" t="inlineStr">
        <is>
          <t>https://dlpcapital.com/about</t>
        </is>
      </c>
      <c r="F173" s="2" t="inlineStr">
        <is>
          <t>Раскрыто компанией или в отчётности/пресс-релизе.</t>
        </is>
      </c>
    </row>
    <row r="174">
      <c r="A174" t="inlineStr">
        <is>
          <t>DLP Capital</t>
        </is>
      </c>
      <c r="B174" t="inlineStr">
        <is>
          <t>Юнитов в портфеле</t>
        </is>
      </c>
      <c r="C174" t="inlineStr">
        <is>
          <t>26000</t>
        </is>
      </c>
      <c r="D174" s="20" t="inlineStr">
        <is>
          <t>FACT-D</t>
        </is>
      </c>
      <c r="E174" t="inlineStr">
        <is>
          <t>https://dlpcapital.com/about</t>
        </is>
      </c>
      <c r="F174" s="2" t="inlineStr">
        <is>
          <t>Раскрыто компанией или в отчётности/пресс-релизе.</t>
        </is>
      </c>
    </row>
    <row r="175">
      <c r="A175" t="inlineStr">
        <is>
          <t>Caliber</t>
        </is>
      </c>
      <c r="B175" t="inlineStr">
        <is>
          <t>AUM + AUD, $млн</t>
        </is>
      </c>
      <c r="C175" t="inlineStr">
        <is>
          <t>2900</t>
        </is>
      </c>
      <c r="D175" s="20" t="inlineStr">
        <is>
          <t>FACT-D</t>
        </is>
      </c>
      <c r="E175" t="inlineStr">
        <is>
          <t>https://www.caliberco.com/</t>
        </is>
      </c>
      <c r="F175" s="2" t="inlineStr">
        <is>
          <t>Раскрыто компанией или в отчётности/пресс-релизе.</t>
        </is>
      </c>
    </row>
    <row r="176">
      <c r="A176" t="inlineStr">
        <is>
          <t>Caliber</t>
        </is>
      </c>
      <c r="B176" t="inlineStr">
        <is>
          <t>Привлечённый капитал, $млн</t>
        </is>
      </c>
      <c r="C176" t="inlineStr">
        <is>
          <t>667</t>
        </is>
      </c>
      <c r="D176" s="20" t="inlineStr">
        <is>
          <t>FACT-D</t>
        </is>
      </c>
      <c r="E176" t="inlineStr">
        <is>
          <t>https://www.caliberco.com/</t>
        </is>
      </c>
      <c r="F176" s="2" t="inlineStr">
        <is>
          <t>Раскрыто компанией или в отчётности/пресс-релизе.</t>
        </is>
      </c>
    </row>
    <row r="177">
      <c r="A177" t="inlineStr">
        <is>
          <t>MLG Capital</t>
        </is>
      </c>
      <c r="B177" t="inlineStr">
        <is>
          <t>Совокупная рыночная стоимость, $млн</t>
        </is>
      </c>
      <c r="C177" t="inlineStr">
        <is>
          <t>8800</t>
        </is>
      </c>
      <c r="D177" s="20" t="inlineStr">
        <is>
          <t>FACT-D</t>
        </is>
      </c>
      <c r="E177" t="inlineStr">
        <is>
          <t>https://mlgcapital.com/</t>
        </is>
      </c>
      <c r="F177" s="2" t="inlineStr">
        <is>
          <t>Раскрыто компанией или в отчётности/пресс-релизе.</t>
        </is>
      </c>
    </row>
    <row r="178">
      <c r="A178" t="inlineStr">
        <is>
          <t>MLG Capital</t>
        </is>
      </c>
      <c r="B178" t="inlineStr">
        <is>
          <t>Юнитов</t>
        </is>
      </c>
      <c r="C178" t="inlineStr">
        <is>
          <t>33145</t>
        </is>
      </c>
      <c r="D178" s="20" t="inlineStr">
        <is>
          <t>FACT-D</t>
        </is>
      </c>
      <c r="E178" t="inlineStr">
        <is>
          <t>https://mlgcapital.com/news/seven-recent-acquisitions-grow-mlgs-footprint-to-more-than-22300-units-nationwide/</t>
        </is>
      </c>
      <c r="F178" s="2" t="inlineStr">
        <is>
          <t>Раскрыто компанией или в отчётности/пресс-релизе.</t>
        </is>
      </c>
    </row>
    <row r="179">
      <c r="A179" t="inlineStr">
        <is>
          <t>BTI Partners</t>
        </is>
      </c>
      <c r="B179" t="inlineStr">
        <is>
          <t>Акров приобретено/контролируется</t>
        </is>
      </c>
      <c r="C179" t="inlineStr">
        <is>
          <t>12000</t>
        </is>
      </c>
      <c r="D179" s="20" t="inlineStr">
        <is>
          <t>FACT-D</t>
        </is>
      </c>
      <c r="E179" t="inlineStr">
        <is>
          <t>https://database.thesisdriven.com/developers/bti-partners</t>
        </is>
      </c>
      <c r="F179" s="2" t="inlineStr">
        <is>
          <t>Раскрыто компанией или в отчётности/пресс-релизе.</t>
        </is>
      </c>
    </row>
    <row r="180">
      <c r="A180" t="inlineStr">
        <is>
          <t>BTI Partners</t>
        </is>
      </c>
      <c r="B180" t="inlineStr">
        <is>
          <t>Объём сделок за историю, $млн</t>
        </is>
      </c>
      <c r="C180" t="inlineStr">
        <is>
          <t>3600</t>
        </is>
      </c>
      <c r="D180" s="20" t="inlineStr">
        <is>
          <t>FACT-D</t>
        </is>
      </c>
      <c r="E180" t="inlineStr">
        <is>
          <t>https://database.thesisdriven.com/developers/bti-partners</t>
        </is>
      </c>
      <c r="F180" s="2" t="inlineStr">
        <is>
          <t>Раскрыто компанией или в отчётности/пресс-релизе.</t>
        </is>
      </c>
    </row>
    <row r="181">
      <c r="A181" t="inlineStr">
        <is>
          <t>BTI Partners</t>
        </is>
      </c>
      <c r="B181" t="inlineStr">
        <is>
          <t>Покупка в Джексонвилле, апрель 2026, акров</t>
        </is>
      </c>
      <c r="C181" t="inlineStr">
        <is>
          <t>2091</t>
        </is>
      </c>
      <c r="D181" s="20" t="inlineStr">
        <is>
          <t>FACT-D</t>
        </is>
      </c>
      <c r="E181" t="inlineStr">
        <is>
          <t>https://www.jaxdailyrecord.com/news/2026/apr/24/fort-lauderdale-developer-purchases-nearly-2100-acres-in-west-jacksonville-for-master-planned-community/</t>
        </is>
      </c>
      <c r="F181" s="2" t="inlineStr">
        <is>
          <t>Раскрыто компанией или в отчётности/пресс-релизе.</t>
        </is>
      </c>
    </row>
    <row r="182">
      <c r="A182" t="inlineStr">
        <is>
          <t>13th Floor Investments</t>
        </is>
      </c>
      <c r="B182" t="inlineStr">
        <is>
          <t>Недвижимости под управлением, $млн</t>
        </is>
      </c>
      <c r="C182" t="inlineStr">
        <is>
          <t>5000</t>
        </is>
      </c>
      <c r="D182" s="20" t="inlineStr">
        <is>
          <t>FACT-D</t>
        </is>
      </c>
      <c r="E182" t="inlineStr">
        <is>
          <t>https://13fi.com/about</t>
        </is>
      </c>
      <c r="F182" s="2" t="inlineStr">
        <is>
          <t>Раскрыто компанией или в отчётности/пресс-релизе.</t>
        </is>
      </c>
    </row>
    <row r="183">
      <c r="A183" t="inlineStr">
        <is>
          <t>13th Floor Investments</t>
        </is>
      </c>
      <c r="B183" t="inlineStr">
        <is>
          <t>Сделок за историю</t>
        </is>
      </c>
      <c r="C183" t="inlineStr">
        <is>
          <t>70</t>
        </is>
      </c>
      <c r="D183" s="20" t="inlineStr">
        <is>
          <t>FACT-D</t>
        </is>
      </c>
      <c r="E183" t="inlineStr">
        <is>
          <t>https://13fi.com/about</t>
        </is>
      </c>
      <c r="F183" s="2" t="inlineStr">
        <is>
          <t>Раскрыто компанией или в отчётности/пресс-релизе.</t>
        </is>
      </c>
    </row>
    <row r="184">
      <c r="A184" t="inlineStr">
        <is>
          <t>GSP REI</t>
        </is>
      </c>
      <c r="B184" t="inlineStr">
        <is>
          <t>Завершённых land-проектов</t>
        </is>
      </c>
      <c r="C184" t="inlineStr">
        <is>
          <t>29</t>
        </is>
      </c>
      <c r="D184" s="20" t="inlineStr">
        <is>
          <t>FACT-D</t>
        </is>
      </c>
      <c r="E184" t="inlineStr">
        <is>
          <t>https://gsprei.com/track-record/</t>
        </is>
      </c>
      <c r="F184" s="2" t="inlineStr">
        <is>
          <t>Раскрыто компанией или в отчётности/пресс-релизе.</t>
        </is>
      </c>
    </row>
    <row r="185">
      <c r="A185" t="inlineStr">
        <is>
          <t>GSP REI</t>
        </is>
      </c>
      <c r="B185" t="inlineStr">
        <is>
          <t>Минимальный чек фонда, $</t>
        </is>
      </c>
      <c r="C185" t="inlineStr">
        <is>
          <t>100000</t>
        </is>
      </c>
      <c r="D185" s="20" t="inlineStr">
        <is>
          <t>FACT-D</t>
        </is>
      </c>
      <c r="E185" t="inlineStr">
        <is>
          <t>https://gsprei.com/land-entitlement-offerings/</t>
        </is>
      </c>
      <c r="F185" s="2" t="inlineStr">
        <is>
          <t>Раскрыто компанией или в отчётности/пресс-релизе.</t>
        </is>
      </c>
    </row>
    <row r="186">
      <c r="A186" t="inlineStr">
        <is>
          <t>Allied Development</t>
        </is>
      </c>
      <c r="B186" t="inlineStr">
        <is>
          <t>Завершённых entitlement-проектов</t>
        </is>
      </c>
      <c r="C186" t="inlineStr">
        <is>
          <t>30</t>
        </is>
      </c>
      <c r="D186" s="20" t="inlineStr">
        <is>
          <t>FACT-D</t>
        </is>
      </c>
      <c r="E186" t="inlineStr">
        <is>
          <t>https://alliedlandfund.com/</t>
        </is>
      </c>
      <c r="F186" s="2" t="inlineStr">
        <is>
          <t>Раскрыто компанией или в отчётности/пресс-релизе.</t>
        </is>
      </c>
    </row>
    <row r="187">
      <c r="A187" t="inlineStr">
        <is>
          <t>Allied Development</t>
        </is>
      </c>
      <c r="B187" t="inlineStr">
        <is>
          <t>Минимальный чек, $</t>
        </is>
      </c>
      <c r="C187" t="inlineStr">
        <is>
          <t>100000</t>
        </is>
      </c>
      <c r="D187" s="20" t="inlineStr">
        <is>
          <t>FACT-D</t>
        </is>
      </c>
      <c r="E187" t="inlineStr">
        <is>
          <t>https://alliedlandfund.com/</t>
        </is>
      </c>
      <c r="F187" s="2" t="inlineStr">
        <is>
          <t>Раскрыто компанией или в отчётности/пресс-релизе.</t>
        </is>
      </c>
    </row>
    <row r="188">
      <c r="A188" t="inlineStr">
        <is>
          <t>Urban Catalyst</t>
        </is>
      </c>
      <c r="B188" t="inlineStr">
        <is>
          <t>Fund I: привлечено, $млн</t>
        </is>
      </c>
      <c r="C188" t="inlineStr">
        <is>
          <t>131</t>
        </is>
      </c>
      <c r="D188" s="20" t="inlineStr">
        <is>
          <t>FACT-D</t>
        </is>
      </c>
      <c r="E188" t="inlineStr">
        <is>
          <t>https://www.prnewswire.com/news-releases/urban-catalyst-opportunity-zone-fund-raises-131m-in-first-fund-continues-strong-growth-in-2021-301208179.html</t>
        </is>
      </c>
      <c r="F188" s="2" t="inlineStr">
        <is>
          <t>Раскрыто компанией или в отчётности/пресс-релизе.</t>
        </is>
      </c>
    </row>
    <row r="189">
      <c r="A189" t="inlineStr">
        <is>
          <t>Urban Catalyst</t>
        </is>
      </c>
      <c r="B189" t="inlineStr">
        <is>
          <t>Fund I: инвесторов</t>
        </is>
      </c>
      <c r="C189" t="inlineStr">
        <is>
          <t>356</t>
        </is>
      </c>
      <c r="D189" s="20" t="inlineStr">
        <is>
          <t>FACT-D</t>
        </is>
      </c>
      <c r="E189" t="inlineStr">
        <is>
          <t>https://www.prnewswire.com/news-releases/urban-catalyst-opportunity-zone-fund-raises-131m-in-first-fund-continues-strong-growth-in-2021-301208179.html</t>
        </is>
      </c>
      <c r="F189" s="2" t="inlineStr">
        <is>
          <t>Раскрыто компанией или в отчётности/пресс-релизе.</t>
        </is>
      </c>
    </row>
    <row r="190">
      <c r="A190" t="inlineStr">
        <is>
          <t>Bedrock Land Finance</t>
        </is>
      </c>
      <c r="B190" t="inlineStr">
        <is>
          <t>Целевой объём финансирования, $млн</t>
        </is>
      </c>
      <c r="C190" t="inlineStr">
        <is>
          <t>5000</t>
        </is>
      </c>
      <c r="D190" s="20" t="inlineStr">
        <is>
          <t>FACT-D</t>
        </is>
      </c>
      <c r="E190" t="inlineStr">
        <is>
          <t>https://www.businesswire.com/news/home/20260519206916/en/Bedrock-Named-Exclusive-Land-Banking-Partner-for-Guggenheim-Investments</t>
        </is>
      </c>
      <c r="F190" s="2" t="inlineStr">
        <is>
          <t>Раскрыто компанией или в отчётности/пресс-релизе.</t>
        </is>
      </c>
    </row>
    <row r="191">
      <c r="A191" t="inlineStr">
        <is>
          <t>Crow Holdings</t>
        </is>
      </c>
      <c r="B191" t="inlineStr">
        <is>
          <t>AUM, $млн</t>
        </is>
      </c>
      <c r="C191" t="inlineStr">
        <is>
          <t>33000</t>
        </is>
      </c>
      <c r="D191" s="20" t="inlineStr">
        <is>
          <t>FACT-D</t>
        </is>
      </c>
      <c r="E191" t="inlineStr">
        <is>
          <t>https://www.crowholdings.com/</t>
        </is>
      </c>
      <c r="F191" s="2" t="inlineStr">
        <is>
          <t>Раскрыто компанией или в отчётности/пресс-релизе.</t>
        </is>
      </c>
    </row>
    <row r="192">
      <c r="A192" t="inlineStr">
        <is>
          <t>DLP Capital</t>
        </is>
      </c>
      <c r="B192" t="inlineStr">
        <is>
          <t>YouTube: подписчиков</t>
        </is>
      </c>
      <c r="C192" t="inlineStr">
        <is>
          <t>878</t>
        </is>
      </c>
      <c r="D192" s="13" t="inlineStr">
        <is>
          <t>FACT-M</t>
        </is>
      </c>
      <c r="E192" t="inlineStr">
        <is>
          <t>https://www.youtube.com/</t>
        </is>
      </c>
      <c r="F192" s="2" t="inlineStr">
        <is>
          <t>Снято 05.10.2026.</t>
        </is>
      </c>
    </row>
    <row r="193">
      <c r="A193" t="inlineStr">
        <is>
          <t>DLP Capital</t>
        </is>
      </c>
      <c r="B193" t="inlineStr">
        <is>
          <t>YouTube: видео</t>
        </is>
      </c>
      <c r="C193" t="inlineStr">
        <is>
          <t>99</t>
        </is>
      </c>
      <c r="D193" s="13" t="inlineStr">
        <is>
          <t>FACT-M</t>
        </is>
      </c>
      <c r="E193" t="inlineStr">
        <is>
          <t>https://www.youtube.com/</t>
        </is>
      </c>
      <c r="F193" s="2" t="inlineStr">
        <is>
          <t>Снято 05.10.2026.</t>
        </is>
      </c>
    </row>
    <row r="194">
      <c r="A194" t="inlineStr">
        <is>
          <t>AcreTrader</t>
        </is>
      </c>
      <c r="B194" t="inlineStr">
        <is>
          <t>YouTube: подписчиков</t>
        </is>
      </c>
      <c r="C194" t="inlineStr">
        <is>
          <t>1210</t>
        </is>
      </c>
      <c r="D194" s="13" t="inlineStr">
        <is>
          <t>FACT-M</t>
        </is>
      </c>
      <c r="E194" t="inlineStr">
        <is>
          <t>https://www.youtube.com/</t>
        </is>
      </c>
      <c r="F194" s="2" t="inlineStr">
        <is>
          <t>Снято 05.10.2026.</t>
        </is>
      </c>
    </row>
    <row r="195">
      <c r="A195" t="inlineStr">
        <is>
          <t>AcreTrader</t>
        </is>
      </c>
      <c r="B195" t="inlineStr">
        <is>
          <t>YouTube: видео</t>
        </is>
      </c>
      <c r="C195" t="inlineStr">
        <is>
          <t>152</t>
        </is>
      </c>
      <c r="D195" s="13" t="inlineStr">
        <is>
          <t>FACT-M</t>
        </is>
      </c>
      <c r="E195" t="inlineStr">
        <is>
          <t>https://www.youtube.com/</t>
        </is>
      </c>
      <c r="F195" s="2" t="inlineStr">
        <is>
          <t>Снято 05.10.2026.</t>
        </is>
      </c>
    </row>
    <row r="196">
      <c r="A196" t="inlineStr">
        <is>
          <t>MLG Capital</t>
        </is>
      </c>
      <c r="B196" t="inlineStr">
        <is>
          <t>YouTube: подписчиков</t>
        </is>
      </c>
      <c r="C196" t="inlineStr">
        <is>
          <t>193</t>
        </is>
      </c>
      <c r="D196" s="13" t="inlineStr">
        <is>
          <t>FACT-M</t>
        </is>
      </c>
      <c r="E196" t="inlineStr">
        <is>
          <t>https://www.youtube.com/</t>
        </is>
      </c>
      <c r="F196" s="2" t="inlineStr">
        <is>
          <t>Снято 05.10.2026.</t>
        </is>
      </c>
    </row>
    <row r="197">
      <c r="A197" t="inlineStr">
        <is>
          <t>MLG Capital</t>
        </is>
      </c>
      <c r="B197" t="inlineStr">
        <is>
          <t>YouTube: видео</t>
        </is>
      </c>
      <c r="C197" t="inlineStr">
        <is>
          <t>15</t>
        </is>
      </c>
      <c r="D197" s="13" t="inlineStr">
        <is>
          <t>FACT-M</t>
        </is>
      </c>
      <c r="E197" t="inlineStr">
        <is>
          <t>https://www.youtube.com/</t>
        </is>
      </c>
      <c r="F197" s="2" t="inlineStr">
        <is>
          <t>Снято 05.10.2026.</t>
        </is>
      </c>
    </row>
    <row r="198">
      <c r="A198" t="inlineStr">
        <is>
          <t>Urban Catalyst</t>
        </is>
      </c>
      <c r="B198" t="inlineStr">
        <is>
          <t>YouTube: подписчиков</t>
        </is>
      </c>
      <c r="C198" t="inlineStr">
        <is>
          <t>67</t>
        </is>
      </c>
      <c r="D198" s="13" t="inlineStr">
        <is>
          <t>FACT-M</t>
        </is>
      </c>
      <c r="E198" t="inlineStr">
        <is>
          <t>https://www.youtube.com/</t>
        </is>
      </c>
      <c r="F198" s="2" t="inlineStr">
        <is>
          <t>Снято 05.10.2026.</t>
        </is>
      </c>
    </row>
    <row r="199">
      <c r="A199" t="inlineStr">
        <is>
          <t>Urban Catalyst</t>
        </is>
      </c>
      <c r="B199" t="inlineStr">
        <is>
          <t>YouTube: видео</t>
        </is>
      </c>
      <c r="C199" t="inlineStr">
        <is>
          <t>16</t>
        </is>
      </c>
      <c r="D199" s="13" t="inlineStr">
        <is>
          <t>FACT-M</t>
        </is>
      </c>
      <c r="E199" t="inlineStr">
        <is>
          <t>https://www.youtube.com/</t>
        </is>
      </c>
      <c r="F199" s="2" t="inlineStr">
        <is>
          <t>Снято 05.10.2026.</t>
        </is>
      </c>
    </row>
    <row r="200">
      <c r="A200" t="inlineStr">
        <is>
          <t>Tejon Ranch Co</t>
        </is>
      </c>
      <c r="B200" t="inlineStr">
        <is>
          <t>YouTube: подписчиков</t>
        </is>
      </c>
      <c r="C200" t="inlineStr">
        <is>
          <t>5</t>
        </is>
      </c>
      <c r="D200" s="13" t="inlineStr">
        <is>
          <t>FACT-M</t>
        </is>
      </c>
      <c r="E200" t="inlineStr">
        <is>
          <t>https://www.youtube.com/</t>
        </is>
      </c>
      <c r="F200" s="2" t="inlineStr">
        <is>
          <t>Снято 05.10.2026.</t>
        </is>
      </c>
    </row>
    <row r="201">
      <c r="A201" t="inlineStr">
        <is>
          <t>Tejon Ranch Co</t>
        </is>
      </c>
      <c r="B201" t="inlineStr">
        <is>
          <t>YouTube: видео</t>
        </is>
      </c>
      <c r="C201" t="inlineStr">
        <is>
          <t>1</t>
        </is>
      </c>
      <c r="D201" s="13" t="inlineStr">
        <is>
          <t>FACT-M</t>
        </is>
      </c>
      <c r="E201" t="inlineStr">
        <is>
          <t>https://www.youtube.com/</t>
        </is>
      </c>
      <c r="F201" s="2" t="inlineStr">
        <is>
          <t>Снято 05.10.2026.</t>
        </is>
      </c>
    </row>
    <row r="202">
      <c r="A202" t="inlineStr">
        <is>
          <t>The St. Joe Company</t>
        </is>
      </c>
      <c r="B202" t="inlineStr">
        <is>
          <t>YouTube: подписчиков</t>
        </is>
      </c>
      <c r="C202" t="inlineStr">
        <is>
          <t>1110</t>
        </is>
      </c>
      <c r="D202" s="13" t="inlineStr">
        <is>
          <t>FACT-M</t>
        </is>
      </c>
      <c r="E202" t="inlineStr">
        <is>
          <t>https://www.youtube.com/</t>
        </is>
      </c>
      <c r="F202" s="2" t="inlineStr">
        <is>
          <t>Снято 05.10.2026.</t>
        </is>
      </c>
    </row>
    <row r="203">
      <c r="A203" t="inlineStr">
        <is>
          <t>The St. Joe Company</t>
        </is>
      </c>
      <c r="B203" t="inlineStr">
        <is>
          <t>YouTube: видео</t>
        </is>
      </c>
      <c r="C203" t="inlineStr">
        <is>
          <t>228</t>
        </is>
      </c>
      <c r="D203" s="13" t="inlineStr">
        <is>
          <t>FACT-M</t>
        </is>
      </c>
      <c r="E203" t="inlineStr">
        <is>
          <t>https://www.youtube.com/</t>
        </is>
      </c>
      <c r="F203" s="2" t="inlineStr">
        <is>
          <t>Снято 05.10.2026.</t>
        </is>
      </c>
    </row>
    <row r="204">
      <c r="A204" t="inlineStr">
        <is>
          <t>BTI Partners</t>
        </is>
      </c>
      <c r="B204" t="inlineStr">
        <is>
          <t>YouTube: подписчиков</t>
        </is>
      </c>
      <c r="C204" t="inlineStr">
        <is>
          <t>113</t>
        </is>
      </c>
      <c r="D204" s="13" t="inlineStr">
        <is>
          <t>FACT-M</t>
        </is>
      </c>
      <c r="E204" t="inlineStr">
        <is>
          <t>https://www.youtube.com/</t>
        </is>
      </c>
      <c r="F204" s="2" t="inlineStr">
        <is>
          <t>Снято 05.10.2026.</t>
        </is>
      </c>
    </row>
    <row r="205">
      <c r="A205" t="inlineStr">
        <is>
          <t>BTI Partners</t>
        </is>
      </c>
      <c r="B205" t="inlineStr">
        <is>
          <t>YouTube: видео</t>
        </is>
      </c>
      <c r="C205" t="inlineStr">
        <is>
          <t>19</t>
        </is>
      </c>
      <c r="D205" s="13" t="inlineStr">
        <is>
          <t>FACT-M</t>
        </is>
      </c>
      <c r="E205" t="inlineStr">
        <is>
          <t>https://www.youtube.com/</t>
        </is>
      </c>
      <c r="F205" s="2" t="inlineStr">
        <is>
          <t>Снято 05.10.2026.</t>
        </is>
      </c>
    </row>
    <row r="206">
      <c r="A206" t="inlineStr">
        <is>
          <t>Allied Development</t>
        </is>
      </c>
      <c r="B206" t="inlineStr">
        <is>
          <t>YouTube: подписчиков</t>
        </is>
      </c>
      <c r="C206" t="inlineStr">
        <is>
          <t>54</t>
        </is>
      </c>
      <c r="D206" s="13" t="inlineStr">
        <is>
          <t>FACT-M</t>
        </is>
      </c>
      <c r="E206" t="inlineStr">
        <is>
          <t>https://www.youtube.com/</t>
        </is>
      </c>
      <c r="F206" s="2" t="inlineStr">
        <is>
          <t>Снято 05.10.2026.</t>
        </is>
      </c>
    </row>
    <row r="207">
      <c r="A207" t="inlineStr">
        <is>
          <t>Allied Development</t>
        </is>
      </c>
      <c r="B207" t="inlineStr">
        <is>
          <t>YouTube: видео</t>
        </is>
      </c>
      <c r="C207" t="inlineStr">
        <is>
          <t>76</t>
        </is>
      </c>
      <c r="D207" s="13" t="inlineStr">
        <is>
          <t>FACT-M</t>
        </is>
      </c>
      <c r="E207" t="inlineStr">
        <is>
          <t>https://www.youtube.com/</t>
        </is>
      </c>
      <c r="F207" s="2" t="inlineStr">
        <is>
          <t>Снято 05.10.2026.</t>
        </is>
      </c>
    </row>
    <row r="208">
      <c r="A208" t="inlineStr">
        <is>
          <t>Cardone Capital [бенчмарк]</t>
        </is>
      </c>
      <c r="B208" t="inlineStr">
        <is>
          <t>YouTube: подписчиков</t>
        </is>
      </c>
      <c r="C208" t="inlineStr">
        <is>
          <t>3140000</t>
        </is>
      </c>
      <c r="D208" s="13" t="inlineStr">
        <is>
          <t>FACT-M</t>
        </is>
      </c>
      <c r="E208" t="inlineStr">
        <is>
          <t>https://www.youtube.com/</t>
        </is>
      </c>
      <c r="F208" s="2" t="inlineStr">
        <is>
          <t>Снято 05.10.2026.</t>
        </is>
      </c>
    </row>
    <row r="209">
      <c r="A209" t="inlineStr">
        <is>
          <t>Cardone Capital [бенчмарк]</t>
        </is>
      </c>
      <c r="B209" t="inlineStr">
        <is>
          <t>YouTube: видео</t>
        </is>
      </c>
      <c r="C209" t="inlineStr">
        <is>
          <t>6800</t>
        </is>
      </c>
      <c r="D209" s="13" t="inlineStr">
        <is>
          <t>FACT-M</t>
        </is>
      </c>
      <c r="E209" t="inlineStr">
        <is>
          <t>https://www.youtube.com/</t>
        </is>
      </c>
      <c r="F209" s="2" t="inlineStr">
        <is>
          <t>Снято 05.10.2026.</t>
        </is>
      </c>
    </row>
    <row r="210">
      <c r="A210" t="inlineStr">
        <is>
          <t>Origin Investments [бенчмарк]</t>
        </is>
      </c>
      <c r="B210" t="inlineStr">
        <is>
          <t>YouTube: подписчиков</t>
        </is>
      </c>
      <c r="C210" t="inlineStr">
        <is>
          <t>1590</t>
        </is>
      </c>
      <c r="D210" s="13" t="inlineStr">
        <is>
          <t>FACT-M</t>
        </is>
      </c>
      <c r="E210" t="inlineStr">
        <is>
          <t>https://www.youtube.com/</t>
        </is>
      </c>
      <c r="F210" s="2" t="inlineStr">
        <is>
          <t>Снято 05.10.2026.</t>
        </is>
      </c>
    </row>
    <row r="211">
      <c r="A211" t="inlineStr">
        <is>
          <t>Origin Investments [бенчмарк]</t>
        </is>
      </c>
      <c r="B211" t="inlineStr">
        <is>
          <t>YouTube: видео</t>
        </is>
      </c>
      <c r="C211" t="inlineStr">
        <is>
          <t>192</t>
        </is>
      </c>
      <c r="D211" s="13" t="inlineStr">
        <is>
          <t>FACT-M</t>
        </is>
      </c>
      <c r="E211" t="inlineStr">
        <is>
          <t>https://www.youtube.com/</t>
        </is>
      </c>
      <c r="F211" s="2" t="inlineStr">
        <is>
          <t>Снято 05.10.2026.</t>
        </is>
      </c>
    </row>
    <row r="212">
      <c r="A212" t="inlineStr">
        <is>
          <t>RealtyMogul [бенчмарк]</t>
        </is>
      </c>
      <c r="B212" t="inlineStr">
        <is>
          <t>YouTube: подписчиков</t>
        </is>
      </c>
      <c r="C212" t="inlineStr">
        <is>
          <t>987</t>
        </is>
      </c>
      <c r="D212" s="13" t="inlineStr">
        <is>
          <t>FACT-M</t>
        </is>
      </c>
      <c r="E212" t="inlineStr">
        <is>
          <t>https://www.youtube.com/</t>
        </is>
      </c>
      <c r="F212" s="2" t="inlineStr">
        <is>
          <t>Снято 05.10.2026.</t>
        </is>
      </c>
    </row>
    <row r="213">
      <c r="A213" t="inlineStr">
        <is>
          <t>RealtyMogul [бенчмарк]</t>
        </is>
      </c>
      <c r="B213" t="inlineStr">
        <is>
          <t>YouTube: видео</t>
        </is>
      </c>
      <c r="C213" t="inlineStr">
        <is>
          <t>19</t>
        </is>
      </c>
      <c r="D213" s="13" t="inlineStr">
        <is>
          <t>FACT-M</t>
        </is>
      </c>
      <c r="E213" t="inlineStr">
        <is>
          <t>https://www.youtube.com/</t>
        </is>
      </c>
      <c r="F213" s="2" t="inlineStr">
        <is>
          <t>Снято 05.10.2026.</t>
        </is>
      </c>
    </row>
    <row r="214">
      <c r="A214" t="inlineStr">
        <is>
          <t>EquityMultiple [бенчмарк]</t>
        </is>
      </c>
      <c r="B214" t="inlineStr">
        <is>
          <t>YouTube: подписчиков</t>
        </is>
      </c>
      <c r="C214" t="inlineStr">
        <is>
          <t>558</t>
        </is>
      </c>
      <c r="D214" s="13" t="inlineStr">
        <is>
          <t>FACT-M</t>
        </is>
      </c>
      <c r="E214" t="inlineStr">
        <is>
          <t>https://www.youtube.com/</t>
        </is>
      </c>
      <c r="F214" s="2" t="inlineStr">
        <is>
          <t>Снято 05.10.2026.</t>
        </is>
      </c>
    </row>
    <row r="215">
      <c r="A215" t="inlineStr">
        <is>
          <t>EquityMultiple [бенчмарк]</t>
        </is>
      </c>
      <c r="B215" t="inlineStr">
        <is>
          <t>YouTube: видео</t>
        </is>
      </c>
      <c r="C215" t="inlineStr">
        <is>
          <t>324</t>
        </is>
      </c>
      <c r="D215" s="13" t="inlineStr">
        <is>
          <t>FACT-M</t>
        </is>
      </c>
      <c r="E215" t="inlineStr">
        <is>
          <t>https://www.youtube.com/</t>
        </is>
      </c>
      <c r="F215" s="2" t="inlineStr">
        <is>
          <t>Снято 05.10.2026.</t>
        </is>
      </c>
    </row>
    <row r="216">
      <c r="A216" t="inlineStr">
        <is>
          <t>Harvest Returns [бенчмарк]</t>
        </is>
      </c>
      <c r="B216" t="inlineStr">
        <is>
          <t>YouTube: подписчиков</t>
        </is>
      </c>
      <c r="C216" t="inlineStr">
        <is>
          <t>648</t>
        </is>
      </c>
      <c r="D216" s="13" t="inlineStr">
        <is>
          <t>FACT-M</t>
        </is>
      </c>
      <c r="E216" t="inlineStr">
        <is>
          <t>https://www.youtube.com/</t>
        </is>
      </c>
      <c r="F216" s="2" t="inlineStr">
        <is>
          <t>Снято 05.10.2026.</t>
        </is>
      </c>
    </row>
    <row r="217">
      <c r="A217" t="inlineStr">
        <is>
          <t>Harvest Returns [бенчмарк]</t>
        </is>
      </c>
      <c r="B217" t="inlineStr">
        <is>
          <t>YouTube: видео</t>
        </is>
      </c>
      <c r="C217" t="inlineStr">
        <is>
          <t>60</t>
        </is>
      </c>
      <c r="D217" s="13" t="inlineStr">
        <is>
          <t>FACT-M</t>
        </is>
      </c>
      <c r="E217" t="inlineStr">
        <is>
          <t>https://www.youtube.com/</t>
        </is>
      </c>
      <c r="F217" s="2" t="inlineStr">
        <is>
          <t>Снято 05.10.2026.</t>
        </is>
      </c>
    </row>
    <row r="218">
      <c r="A218" t="inlineStr">
        <is>
          <t>New Western [бенчмарк]</t>
        </is>
      </c>
      <c r="B218" t="inlineStr">
        <is>
          <t>YouTube: подписчиков</t>
        </is>
      </c>
      <c r="C218" t="inlineStr">
        <is>
          <t>402</t>
        </is>
      </c>
      <c r="D218" s="13" t="inlineStr">
        <is>
          <t>FACT-M</t>
        </is>
      </c>
      <c r="E218" t="inlineStr">
        <is>
          <t>https://www.youtube.com/</t>
        </is>
      </c>
      <c r="F218" s="2" t="inlineStr">
        <is>
          <t>Снято 05.10.2026.</t>
        </is>
      </c>
    </row>
    <row r="219">
      <c r="A219" t="inlineStr">
        <is>
          <t>New Western [бенчмарк]</t>
        </is>
      </c>
      <c r="B219" t="inlineStr">
        <is>
          <t>YouTube: видео</t>
        </is>
      </c>
      <c r="C219" t="inlineStr">
        <is>
          <t>25</t>
        </is>
      </c>
      <c r="D219" s="13" t="inlineStr">
        <is>
          <t>FACT-M</t>
        </is>
      </c>
      <c r="E219" t="inlineStr">
        <is>
          <t>https://www.youtube.com/</t>
        </is>
      </c>
      <c r="F219" s="2" t="inlineStr">
        <is>
          <t>Снято 05.10.2026.</t>
        </is>
      </c>
    </row>
    <row r="220">
      <c r="A220" t="inlineStr">
        <is>
          <t>CrowdStreet [бенчмарк]</t>
        </is>
      </c>
      <c r="B220" t="inlineStr">
        <is>
          <t>YouTube: подписчиков</t>
        </is>
      </c>
      <c r="C220" t="inlineStr">
        <is>
          <t>14</t>
        </is>
      </c>
      <c r="D220" s="13" t="inlineStr">
        <is>
          <t>FACT-M</t>
        </is>
      </c>
      <c r="E220" t="inlineStr">
        <is>
          <t>https://www.youtube.com/</t>
        </is>
      </c>
      <c r="F220" s="2" t="inlineStr">
        <is>
          <t>Снято 05.10.2026.</t>
        </is>
      </c>
    </row>
    <row r="221">
      <c r="A221" t="inlineStr">
        <is>
          <t>Бенчмарк</t>
        </is>
      </c>
      <c r="B221" t="inlineStr">
        <is>
          <t>Meta CPL, аккредитованный инвестор (синдикация), $</t>
        </is>
      </c>
      <c r="C221" t="inlineStr">
        <is>
          <t>50-100</t>
        </is>
      </c>
      <c r="D221" s="20" t="inlineStr">
        <is>
          <t>FACT-D</t>
        </is>
      </c>
      <c r="E221" t="inlineStr">
        <is>
          <t>https://gowercrowd.com/real-estate-syndication/how-to-generate-investor-leads</t>
        </is>
      </c>
      <c r="F221" s="2" t="inlineStr">
        <is>
          <t>Опубликованный отраслевой бенчмарк — основа модельных оценок бюджета.</t>
        </is>
      </c>
    </row>
    <row r="222">
      <c r="A222" t="inlineStr">
        <is>
          <t>Бенчмарк</t>
        </is>
      </c>
      <c r="B222" t="inlineStr">
        <is>
          <t>LinkedIn CPL, синдикация, $</t>
        </is>
      </c>
      <c r="C222" t="inlineStr">
        <is>
          <t>250-500</t>
        </is>
      </c>
      <c r="D222" s="20" t="inlineStr">
        <is>
          <t>FACT-D</t>
        </is>
      </c>
      <c r="E222" t="inlineStr">
        <is>
          <t>https://gowercrowd.com/real-estate-syndication/how-to-generate-investor-leads</t>
        </is>
      </c>
      <c r="F222" s="2" t="inlineStr">
        <is>
          <t>Опубликованный отраслевой бенчмарк — основа модельных оценок бюджета.</t>
        </is>
      </c>
    </row>
    <row r="223">
      <c r="A223" t="inlineStr">
        <is>
          <t>Бенчмарк</t>
        </is>
      </c>
      <c r="B223" t="inlineStr">
        <is>
          <t>LinkedIn CPL, financial services, $</t>
        </is>
      </c>
      <c r="C223" t="inlineStr">
        <is>
          <t>90-180</t>
        </is>
      </c>
      <c r="D223" s="20" t="inlineStr">
        <is>
          <t>FACT-D</t>
        </is>
      </c>
      <c r="E223" t="inlineStr">
        <is>
          <t>https://postiv.ai/blog/linkedin-advertising-costs</t>
        </is>
      </c>
      <c r="F223" s="2" t="inlineStr">
        <is>
          <t>Опубликованный отраслевой бенчмарк — основа модельных оценок бюджета.</t>
        </is>
      </c>
    </row>
    <row r="224">
      <c r="A224" t="inlineStr">
        <is>
          <t>Бенчмарк</t>
        </is>
      </c>
      <c r="B224" t="inlineStr">
        <is>
          <t>Google Ads CPL, средний 2026, $</t>
        </is>
      </c>
      <c r="C224" t="inlineStr">
        <is>
          <t>79.14</t>
        </is>
      </c>
      <c r="D224" s="20" t="inlineStr">
        <is>
          <t>FACT-D</t>
        </is>
      </c>
      <c r="E224" t="inlineStr">
        <is>
          <t>https://foundrycro.com/blog/cost-per-lead-benchmarks-by-industry-2026/</t>
        </is>
      </c>
      <c r="F224" s="2" t="inlineStr">
        <is>
          <t>Опубликованный отраслевой бенчмарк — основа модельных оценок бюджета.</t>
        </is>
      </c>
    </row>
    <row r="225">
      <c r="A225" t="inlineStr">
        <is>
          <t>Бенчмарк</t>
        </is>
      </c>
      <c r="B225" t="inlineStr">
        <is>
          <t>Meta CPL, средний 2026, $</t>
        </is>
      </c>
      <c r="C225" t="inlineStr">
        <is>
          <t>26.43</t>
        </is>
      </c>
      <c r="D225" s="20" t="inlineStr">
        <is>
          <t>FACT-D</t>
        </is>
      </c>
      <c r="E225" t="inlineStr">
        <is>
          <t>https://foundrycro.com/blog/cost-per-lead-benchmarks-by-industry-2026/</t>
        </is>
      </c>
      <c r="F225" s="2" t="inlineStr">
        <is>
          <t>Опубликованный отраслевой бенчмарк — основа модельных оценок бюджета.</t>
        </is>
      </c>
    </row>
    <row r="226">
      <c r="A226" t="inlineStr">
        <is>
          <t>Бенчмарк</t>
        </is>
      </c>
      <c r="B226" t="inlineStr">
        <is>
          <t>Подкаст-спонсорство CPL, $</t>
        </is>
      </c>
      <c r="C226" t="inlineStr">
        <is>
          <t>60-200</t>
        </is>
      </c>
      <c r="D226" s="20" t="inlineStr">
        <is>
          <t>FACT-D</t>
        </is>
      </c>
      <c r="E226" t="inlineStr">
        <is>
          <t>https://atomicfunnels.com/funnel-real-estate-syndication/</t>
        </is>
      </c>
      <c r="F226" s="2" t="inlineStr">
        <is>
          <t>Опубликованный отраслевой бенчмарк — основа модельных оценок бюджета.</t>
        </is>
      </c>
    </row>
    <row r="227">
      <c r="A227" t="inlineStr">
        <is>
          <t>Бенчмарк</t>
        </is>
      </c>
      <c r="B227" t="inlineStr">
        <is>
          <t>Стоимость одного профинансировавшего инвестора, $</t>
        </is>
      </c>
      <c r="C227" t="inlineStr">
        <is>
          <t>3500-4500</t>
        </is>
      </c>
      <c r="D227" s="20" t="inlineStr">
        <is>
          <t>FACT-D</t>
        </is>
      </c>
      <c r="E227" t="inlineStr">
        <is>
          <t>https://gowercrowd.com/real-estate-syndication/how-to-generate-investor-leads</t>
        </is>
      </c>
      <c r="F227" s="2" t="inlineStr">
        <is>
          <t>Опубликованный отраслевой бенчмарк — основа модельных оценок бюджета.</t>
        </is>
      </c>
    </row>
    <row r="228">
      <c r="A228" t="inlineStr">
        <is>
          <t>Бенчмарк</t>
        </is>
      </c>
      <c r="B228" t="inlineStr">
        <is>
          <t>Конверсия Meta-лида в инвестора за 90 дней, %</t>
        </is>
      </c>
      <c r="C228" t="inlineStr">
        <is>
          <t>2</t>
        </is>
      </c>
      <c r="D228" s="20" t="inlineStr">
        <is>
          <t>FACT-D</t>
        </is>
      </c>
      <c r="E228" t="inlineStr">
        <is>
          <t>https://gowercrowd.com/real-estate-syndication/how-to-generate-investor-leads</t>
        </is>
      </c>
      <c r="F228" s="2" t="inlineStr">
        <is>
          <t>Опубликованный отраслевой бенчмарк — основа модельных оценок бюджета.</t>
        </is>
      </c>
    </row>
    <row r="229">
      <c r="A229" t="inlineStr">
        <is>
          <t>Бенчмарк</t>
        </is>
      </c>
      <c r="B229" t="inlineStr">
        <is>
          <t>Rule 506(c): публичная реклама разрешена при верификации аккредитации</t>
        </is>
      </c>
      <c r="C229" t="inlineStr">
        <is>
          <t>да</t>
        </is>
      </c>
      <c r="D229" s="20" t="inlineStr">
        <is>
          <t>FACT-D</t>
        </is>
      </c>
      <c r="E229" t="inlineStr">
        <is>
          <t>https://www.sec.gov/resources-small-businesses/exempt-offerings/general-solicitation-rule-506c</t>
        </is>
      </c>
      <c r="F229" s="2" t="inlineStr">
        <is>
          <t>Опубликованный отраслевой бенчмарк — основа модельных оценок бюджета.</t>
        </is>
      </c>
    </row>
    <row r="230">
      <c r="A230" t="inlineStr">
        <is>
          <t>Бенчмарк</t>
        </is>
      </c>
      <c r="B230" t="inlineStr">
        <is>
          <t>Rule 506(b): general solicitation запрещён</t>
        </is>
      </c>
      <c r="C230" t="inlineStr">
        <is>
          <t>да</t>
        </is>
      </c>
      <c r="D230" s="20" t="inlineStr">
        <is>
          <t>FACT-D</t>
        </is>
      </c>
      <c r="E230" t="inlineStr">
        <is>
          <t>https://www.sec.gov/resources-small-businesses/exempt-offerings/general-solicitation-rule-506c</t>
        </is>
      </c>
      <c r="F230" s="2" t="inlineStr">
        <is>
          <t>Опубликованный отраслевой бенчмарк — основа модельных оценок бюджета.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9" customWidth="1" min="3" max="3"/>
    <col width="15" customWidth="1" min="4" max="4"/>
    <col width="17" customWidth="1" min="5" max="5"/>
    <col width="9" customWidth="1" min="6" max="6"/>
    <col width="86" customWidth="1" min="7" max="7"/>
  </cols>
  <sheetData>
    <row r="1">
      <c r="A1" s="1" t="inlineStr">
        <is>
          <t>У КОГО КОПИРОВАТЬ РЕКЛАМНУЮ МЕХАНИКУ</t>
        </is>
      </c>
    </row>
    <row r="2">
      <c r="A2" s="12" t="inlineStr">
        <is>
          <t>Это НЕ земельные игроки. Это те, кто реально умеет привлекать капитал платным трафиком.</t>
        </is>
      </c>
    </row>
    <row r="3"/>
    <row r="4" ht="42" customHeight="1">
      <c r="A4" s="4" t="inlineStr">
        <is>
          <t>Компания</t>
        </is>
      </c>
      <c r="B4" s="4" t="inlineStr">
        <is>
          <t>Домен</t>
        </is>
      </c>
      <c r="C4" s="4" t="inlineStr">
        <is>
          <t>Google-объявлений</t>
        </is>
      </c>
      <c r="D4" s="4" t="inlineStr">
        <is>
          <t>YouTube подп.</t>
        </is>
      </c>
      <c r="E4" s="4" t="inlineStr">
        <is>
          <t>Reg D-эмитентов</t>
        </is>
      </c>
      <c r="F4" s="4" t="inlineStr">
        <is>
          <t>Форм D</t>
        </is>
      </c>
      <c r="G4" s="4" t="inlineStr">
        <is>
          <t>Чему учиться</t>
        </is>
      </c>
    </row>
    <row r="5">
      <c r="C5" s="5" t="n"/>
      <c r="D5" s="5" t="n"/>
      <c r="E5" s="5" t="n"/>
      <c r="F5" s="5" t="n"/>
      <c r="G5" s="2" t="n"/>
    </row>
    <row r="6">
      <c r="A6" t="inlineStr">
        <is>
          <t>Brookfield Residential</t>
        </is>
      </c>
      <c r="B6" t="inlineStr">
        <is>
          <t>brookfieldresidential.com</t>
        </is>
      </c>
      <c r="C6" s="5" t="n">
        <v>700</v>
      </c>
      <c r="D6" s="5" t="n"/>
      <c r="E6" s="5" t="n"/>
      <c r="F6" s="5" t="n"/>
      <c r="G6" s="2" t="inlineStr">
        <is>
          <t>700 объявлений — но это продажа ДОМОВ конечным покупателям, НЕ привлечение инвесторов. Ловушка при наивном чтении рекламных счётчиков.</t>
        </is>
      </c>
    </row>
    <row r="7">
      <c r="A7" t="inlineStr">
        <is>
          <t>Fundrise</t>
        </is>
      </c>
      <c r="B7" t="inlineStr">
        <is>
          <t>fundrise.com</t>
        </is>
      </c>
      <c r="C7" s="5" t="n">
        <v>200</v>
      </c>
      <c r="D7" s="5" t="n"/>
      <c r="E7" s="5" t="inlineStr">
        <is>
          <t>43</t>
        </is>
      </c>
      <c r="F7" s="5" t="inlineStr">
        <is>
          <t>119</t>
        </is>
      </c>
      <c r="G7" s="2" t="inlineStr">
        <is>
          <t>200+ активных объявлений Google — потолок выдачи ATC. Reg A+ позволяет массовую рекламу неаккредитованным.</t>
        </is>
      </c>
    </row>
    <row r="8">
      <c r="A8" t="inlineStr">
        <is>
          <t>New Western</t>
        </is>
      </c>
      <c r="B8" t="inlineStr">
        <is>
          <t>newwestern.com</t>
        </is>
      </c>
      <c r="C8" s="5" t="n">
        <v>200</v>
      </c>
      <c r="D8" s="5" t="n"/>
      <c r="E8" s="5" t="n"/>
      <c r="F8" s="5" t="n"/>
      <c r="G8" s="2" t="inlineStr">
        <is>
          <t>200+ объявлений. Маркетплейс инвест-недвижимости, не земля. Эталон объёма платного трафика.</t>
        </is>
      </c>
    </row>
    <row r="9">
      <c r="A9" t="inlineStr">
        <is>
          <t>Cardone Capital</t>
        </is>
      </c>
      <c r="B9" t="inlineStr">
        <is>
          <t>cardonecapital.com</t>
        </is>
      </c>
      <c r="C9" s="5" t="n">
        <v>69</v>
      </c>
      <c r="D9" s="5" t="inlineStr">
        <is>
          <t>3140000</t>
        </is>
      </c>
      <c r="E9" s="5" t="inlineStr">
        <is>
          <t>23</t>
        </is>
      </c>
      <c r="F9" s="5" t="inlineStr">
        <is>
          <t>28</t>
        </is>
      </c>
      <c r="G9" s="2" t="inlineStr">
        <is>
          <t>3,14 млн подписчиков YouTube, 6 800 видео. 23 из 23 предложений — 506(c), $831 млн продано, 4 526 инвесторов, минимальный чек $100 000. Чистейший пример связки личный бренд и капитал.</t>
        </is>
      </c>
    </row>
    <row r="10">
      <c r="A10" t="inlineStr">
        <is>
          <t>Origin Investments</t>
        </is>
      </c>
      <c r="B10" t="inlineStr">
        <is>
          <t>origininvestments.com</t>
        </is>
      </c>
      <c r="C10" s="5" t="n">
        <v>51</v>
      </c>
      <c r="D10" s="5" t="inlineStr">
        <is>
          <t>1590</t>
        </is>
      </c>
      <c r="E10" s="5" t="n"/>
      <c r="F10" s="5" t="n"/>
      <c r="G10" s="2" t="inlineStr">
        <is>
          <t>51 объявление + 192 видео. Классическая 506(c) контент-воронка.</t>
        </is>
      </c>
    </row>
    <row r="11">
      <c r="A11" t="inlineStr">
        <is>
          <t>CrowdStreet</t>
        </is>
      </c>
      <c r="B11" t="inlineStr">
        <is>
          <t>crowdstreet.com</t>
        </is>
      </c>
      <c r="C11" s="5" t="n">
        <v>32</v>
      </c>
      <c r="D11" s="5" t="inlineStr">
        <is>
          <t>14</t>
        </is>
      </c>
      <c r="E11" s="5" t="inlineStr">
        <is>
          <t>24</t>
        </is>
      </c>
      <c r="F11" s="5" t="inlineStr">
        <is>
          <t>38</t>
        </is>
      </c>
      <c r="G11" s="2" t="inlineStr">
        <is>
          <t>Маркетплейс сделок, не землевладелец.</t>
        </is>
      </c>
    </row>
    <row r="12">
      <c r="A12" t="inlineStr">
        <is>
          <t>RealtyMogul</t>
        </is>
      </c>
      <c r="B12" t="inlineStr">
        <is>
          <t>realtymogul.com</t>
        </is>
      </c>
      <c r="C12" s="5" t="n">
        <v>29</v>
      </c>
      <c r="D12" s="5" t="n"/>
      <c r="E12" s="5" t="inlineStr">
        <is>
          <t>131</t>
        </is>
      </c>
      <c r="F12" s="5" t="inlineStr">
        <is>
          <t>212</t>
        </is>
      </c>
      <c r="G12" s="2" t="inlineStr">
        <is>
          <t>131 Reg D-эмитент — рекорд выборки по числу структур.</t>
        </is>
      </c>
    </row>
    <row r="13">
      <c r="A13" t="inlineStr">
        <is>
          <t>Land Advisors Organization</t>
        </is>
      </c>
      <c r="B13" t="inlineStr">
        <is>
          <t>landadvisors.com</t>
        </is>
      </c>
      <c r="C13" s="5" t="n">
        <v>16</v>
      </c>
      <c r="D13" s="5" t="n"/>
      <c r="E13" s="5" t="n"/>
      <c r="F13" s="5" t="n"/>
      <c r="G13" s="2" t="inlineStr">
        <is>
          <t>Крупнейший земельный брокер США. Исключён по F3 (брокеридж), но полезен как источник сделок.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2026-10-05T09:13:34Z</dcterms:created>
  <dcterms:modified xsi:type="dcterms:W3CDTF">2026-10-05T09:13:34Z</dcterms:modified>
</cp:coreProperties>
</file>