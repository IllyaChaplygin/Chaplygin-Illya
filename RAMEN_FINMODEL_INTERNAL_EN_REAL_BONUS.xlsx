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Model 6 pallets" sheetId="1" state="visible" r:id="rId1"/>
    <sheet xmlns:r="http://schemas.openxmlformats.org/officeDocument/2006/relationships" name="Model 33 pallets" sheetId="2" state="visible" r:id="rId2"/>
    <sheet xmlns:r="http://schemas.openxmlformats.org/officeDocument/2006/relationships" name="Price 120 UAH - 6 pallets" sheetId="3" state="visible" r:id="rId3"/>
    <sheet xmlns:r="http://schemas.openxmlformats.org/officeDocument/2006/relationships" name="Price 120 UAH - 33 pallets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1">
    <numFmt numFmtId="164" formatCode="_-* #,##0.00&quot; ₴&quot;_-;\-* #,##0.00&quot; ₴&quot;_-;_-* \-??&quot; ₴&quot;_-;_-@_-"/>
    <numFmt numFmtId="165" formatCode="_-* #,##0.00\ [$₴-422]_-;\-* #,##0.00\ [$₴-422]_-;_-* \-??\ [$₴-422]_-;_-@_-"/>
    <numFmt numFmtId="166" formatCode="0.0000&quot; €&quot;"/>
    <numFmt numFmtId="167" formatCode="0.0"/>
    <numFmt numFmtId="168" formatCode="0.000000"/>
    <numFmt numFmtId="169" formatCode="0.0000"/>
    <numFmt numFmtId="170" formatCode="0.00&quot;×&quot;"/>
    <numFmt numFmtId="171" formatCode="#,##0.00&quot; ₴&quot;"/>
    <numFmt numFmtId="172" formatCode="0.0%"/>
    <numFmt numFmtId="173" formatCode="&quot;€&quot;0.00"/>
    <numFmt numFmtId="174" formatCode="&quot;€&quot;0.0000"/>
    <numFmt numFmtId="175" formatCode="&quot;МАРЖА &quot;0%"/>
    <numFmt numFmtId="176" formatCode="&quot;€&quot;0.000"/>
    <numFmt numFmtId="177" formatCode="\+#,##0.00&quot; ₴&quot;;\-#,##0.00&quot; ₴&quot;"/>
    <numFmt numFmtId="178" formatCode="\+&quot;€&quot;0.000;\-&quot;€&quot;0.000"/>
    <numFmt numFmtId="179" formatCode="+0%;-0%;0%"/>
    <numFmt numFmtId="180" formatCode="_(* #,##0.00_);_(* \(#,##0.00\);_(* \-??_);_(@_)"/>
    <numFmt numFmtId="181" formatCode="_(* #,##0_);_(* \(#,##0\);_(* \-_);_(@_)"/>
    <numFmt numFmtId="182" formatCode="_(\$* #,##0.00_);_(\$* \(#,##0.00\);_(\$* \-??_);_(@_)"/>
    <numFmt numFmtId="183" formatCode="_(\$* #,##0_);_(\$* \(#,##0\);_(\$* \-_);_(@_)"/>
    <numFmt numFmtId="184" formatCode="&quot;MARGIN &quot;0%"/>
  </numFmts>
  <fonts count="40">
    <font>
      <name val="Calibri"/>
      <color theme="1"/>
      <sz val="11"/>
    </font>
    <font>
      <name val="Arial"/>
      <sz val="10"/>
    </font>
    <font>
      <name val="Arial"/>
      <b val="1"/>
      <color rgb="FF1F3864"/>
      <sz val="14"/>
    </font>
    <font>
      <name val="Arial"/>
      <b val="1"/>
      <sz val="10"/>
    </font>
    <font>
      <name val="Arial"/>
      <b val="1"/>
      <color rgb="FF1F4E79"/>
      <sz val="10"/>
    </font>
    <font>
      <name val="Arial"/>
      <b val="1"/>
      <color rgb="FF203864"/>
      <sz val="11"/>
    </font>
    <font>
      <name val="Arial"/>
      <b val="1"/>
      <color theme="1"/>
      <sz val="11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color rgb="FF222222"/>
      <sz val="11"/>
    </font>
    <font>
      <name val="Calibri"/>
      <color theme="1"/>
      <sz val="11"/>
    </font>
    <font>
      <name val="Arial"/>
      <b val="1"/>
      <color rgb="FF454545"/>
      <sz val="10"/>
    </font>
    <font>
      <name val="Arial"/>
      <b val="1"/>
      <color rgb="FF1F3864"/>
      <sz val="14"/>
    </font>
    <font>
      <name val="Arial"/>
      <color rgb="FF203864"/>
      <sz val="11"/>
    </font>
    <font>
      <name val="Arial"/>
      <b val="1"/>
      <color rgb="FF203864"/>
      <sz val="14"/>
    </font>
    <font>
      <name val="Arial"/>
      <b val="1"/>
      <color rgb="FF172B46"/>
      <sz val="16"/>
    </font>
    <font>
      <name val="Arial"/>
      <b val="1"/>
      <color rgb="FF223A5E"/>
      <sz val="11"/>
    </font>
    <font>
      <name val="Arial"/>
      <b val="1"/>
      <color rgb="FF172B46"/>
      <sz val="20"/>
    </font>
    <font>
      <name val="Arial"/>
      <color rgb="FF5E6D7E"/>
      <sz val="10"/>
    </font>
    <font>
      <name val="Arial"/>
      <b val="1"/>
      <color rgb="FFB53A3A"/>
      <sz val="10"/>
    </font>
    <font>
      <name val="Arial"/>
      <b val="1"/>
      <color rgb="FFFFFFFF"/>
      <sz val="9"/>
    </font>
    <font>
      <name val="Arial"/>
      <b val="1"/>
      <color rgb="FF172B46"/>
      <sz val="10"/>
    </font>
    <font>
      <name val="Arial"/>
      <b val="1"/>
      <color rgb="FF0000FF"/>
      <sz val="10"/>
    </font>
    <font>
      <name val="Arial"/>
      <b val="1"/>
      <color rgb="FF172B46"/>
      <sz val="13"/>
    </font>
    <font>
      <name val="Arial"/>
      <color rgb="FF008000"/>
      <sz val="10"/>
    </font>
    <font>
      <name val="Arial"/>
      <color rgb="FF172B46"/>
      <sz val="13"/>
    </font>
    <font>
      <name val="Arial"/>
      <b val="1"/>
      <color rgb="FF172B46"/>
      <sz val="15"/>
    </font>
    <font>
      <name val="Arial"/>
      <b val="1"/>
      <color rgb="FF223A5E"/>
      <sz val="10"/>
    </font>
    <font>
      <name val="Arial"/>
      <b val="1"/>
      <color rgb="FFB53A3A"/>
      <sz val="11"/>
    </font>
    <font>
      <name val="Arial"/>
      <color rgb="FF5E6D7E"/>
      <sz val="9"/>
    </font>
    <font>
      <name val="Arial"/>
      <b val="1"/>
      <color rgb="FF223A5E"/>
      <sz val="9"/>
    </font>
    <font>
      <name val="Arial"/>
      <b val="1"/>
      <color rgb="FF5E6D7E"/>
      <sz val="8"/>
    </font>
    <font>
      <name val="Arial"/>
      <b val="1"/>
      <color rgb="FF0000FF"/>
      <sz val="11"/>
    </font>
    <font>
      <name val="Arial"/>
      <b val="1"/>
      <color rgb="FF008000"/>
      <sz val="11"/>
    </font>
    <font>
      <name val="Arial"/>
      <b val="1"/>
      <color rgb="FF5E6D7E"/>
      <sz val="9"/>
    </font>
    <font>
      <name val="Arial"/>
      <b val="1"/>
      <color rgb="FF172B46"/>
      <sz val="11"/>
    </font>
    <font>
      <name val="Arial"/>
      <color rgb="FF172B46"/>
      <sz val="11"/>
    </font>
    <font>
      <name val="Arial"/>
      <color rgb="FF172B46"/>
      <sz val="10"/>
    </font>
    <font>
      <name val="Arial"/>
      <b val="1"/>
      <color rgb="FF172B46"/>
      <sz val="12"/>
    </font>
  </fonts>
  <fills count="30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7EEF6"/>
      </patternFill>
    </fill>
    <fill>
      <patternFill patternType="solid">
        <fgColor rgb="FF44546A"/>
      </patternFill>
    </fill>
    <fill>
      <patternFill patternType="solid">
        <fgColor rgb="FF203864"/>
      </patternFill>
    </fill>
    <fill>
      <patternFill patternType="solid">
        <fgColor rgb="FF2F75B5"/>
      </patternFill>
    </fill>
    <fill>
      <patternFill patternType="solid">
        <fgColor rgb="FF3E657B"/>
      </patternFill>
    </fill>
    <fill>
      <patternFill patternType="solid">
        <fgColor rgb="FF777777"/>
      </patternFill>
    </fill>
    <fill>
      <patternFill patternType="solid">
        <fgColor rgb="FFD6E4F0"/>
      </patternFill>
    </fill>
    <fill>
      <patternFill patternType="solid">
        <fgColor rgb="FFF0F0F0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E75B6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/>
    </fill>
    <fill>
      <patternFill patternType="solid">
        <fgColor rgb="FFE7EDF5"/>
      </patternFill>
    </fill>
    <fill>
      <patternFill patternType="solid">
        <fgColor rgb="FFFCE3A6"/>
      </patternFill>
    </fill>
    <fill>
      <patternFill patternType="solid">
        <fgColor rgb="FF3E5A85"/>
      </patternFill>
    </fill>
    <fill>
      <patternFill patternType="solid">
        <fgColor rgb="FFF2F5F9"/>
      </patternFill>
    </fill>
    <fill>
      <patternFill patternType="solid">
        <fgColor rgb="FFFFF4D2"/>
      </patternFill>
    </fill>
    <fill>
      <patternFill patternType="solid">
        <fgColor rgb="00F2F5F9"/>
      </patternFill>
    </fill>
    <fill>
      <patternFill patternType="solid">
        <fgColor rgb="003E5A85"/>
      </patternFill>
    </fill>
    <fill>
      <patternFill patternType="solid">
        <fgColor rgb="00E7EDF5"/>
      </patternFill>
    </fill>
    <fill>
      <patternFill patternType="solid">
        <fgColor rgb="00FFF4D2"/>
      </patternFill>
    </fill>
    <fill>
      <patternFill patternType="solid">
        <fgColor rgb="00FCE3A6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  <diagonal/>
    </border>
    <border>
      <left style="thin">
        <color rgb="FF65798E"/>
      </left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/>
      <top/>
      <bottom/>
      <diagonal/>
    </border>
    <border>
      <left/>
      <right/>
      <top style="thin">
        <color rgb="FF65798E"/>
      </top>
      <bottom style="thin">
        <color rgb="FF65798E"/>
      </bottom>
      <diagonal/>
    </border>
    <border>
      <left/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 style="thin">
        <color rgb="FFB8C7D6"/>
      </right>
      <top style="thin">
        <color rgb="FFB8C7D6"/>
      </top>
      <bottom style="thin">
        <color rgb="FFB8C7D6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  <border>
      <left/>
      <right/>
      <top/>
      <bottom style="medium">
        <color rgb="FF223A5E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B8C7D6"/>
      </top>
      <bottom/>
      <diagonal/>
    </border>
    <border>
      <left/>
      <right style="thin">
        <color rgb="FFB8C7D6"/>
      </right>
      <top style="thin">
        <color rgb="FFB8C7D6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65798E"/>
      </top>
      <bottom/>
      <diagonal/>
    </border>
    <border>
      <left/>
      <right style="thin">
        <color rgb="FF65798E"/>
      </right>
      <top style="thin">
        <color rgb="FF65798E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D5DCE8"/>
      </top>
      <bottom/>
      <diagonal/>
    </border>
    <border>
      <left/>
      <right style="thin">
        <color rgb="FFD5DCE8"/>
      </right>
      <top style="thin">
        <color rgb="FFD5DCE8"/>
      </top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/>
  </borders>
  <cellStyleXfs count="7">
    <xf numFmtId="0" fontId="11" fillId="19" borderId="10"/>
    <xf numFmtId="180" fontId="1" fillId="19" borderId="10"/>
    <xf numFmtId="181" fontId="1" fillId="19" borderId="10"/>
    <xf numFmtId="182" fontId="1" fillId="19" borderId="10"/>
    <xf numFmtId="183" fontId="1" fillId="19" borderId="10"/>
    <xf numFmtId="0" fontId="11" fillId="19" borderId="10"/>
    <xf numFmtId="9" fontId="1" fillId="19" borderId="10"/>
  </cellStyleXfs>
  <cellXfs count="176">
    <xf numFmtId="0" fontId="0" fillId="0" borderId="0" pivotButton="0" quotePrefix="0" xfId="0"/>
    <xf numFmtId="0" fontId="8" fillId="5" borderId="1" applyAlignment="1" pivotButton="0" quotePrefix="0" xfId="5">
      <alignment horizontal="center" vertical="center" wrapText="1"/>
    </xf>
    <xf numFmtId="0" fontId="7" fillId="8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7" fillId="5" borderId="1" applyAlignment="1" pivotButton="0" quotePrefix="0" xfId="5">
      <alignment horizontal="center" vertical="center" wrapText="1"/>
    </xf>
    <xf numFmtId="0" fontId="7" fillId="7" borderId="1" applyAlignment="1" pivotButton="0" quotePrefix="0" xfId="5">
      <alignment horizontal="center" vertical="center" wrapText="1"/>
    </xf>
    <xf numFmtId="0" fontId="9" fillId="4" borderId="1" applyAlignment="1" pivotButton="0" quotePrefix="0" xfId="5">
      <alignment horizontal="center" vertical="center" wrapText="1"/>
    </xf>
    <xf numFmtId="0" fontId="1" fillId="0" borderId="1" applyAlignment="1" pivotButton="0" quotePrefix="0" xfId="5">
      <alignment horizontal="center" vertical="center" wrapText="1"/>
    </xf>
    <xf numFmtId="164" fontId="10" fillId="3" borderId="1" applyAlignment="1" pivotButton="0" quotePrefix="0" xfId="5">
      <alignment horizontal="center" vertical="center"/>
    </xf>
    <xf numFmtId="164" fontId="5" fillId="9" borderId="1" applyAlignment="1" pivotButton="0" quotePrefix="0" xfId="5">
      <alignment horizontal="center" vertical="center"/>
    </xf>
    <xf numFmtId="164" fontId="10" fillId="0" borderId="1" applyAlignment="1" pivotButton="0" quotePrefix="0" xfId="5">
      <alignment horizontal="center" vertical="center"/>
    </xf>
    <xf numFmtId="164" fontId="5" fillId="0" borderId="1" applyAlignment="1" pivotButton="0" quotePrefix="0" xfId="5">
      <alignment horizontal="center" vertical="center"/>
    </xf>
    <xf numFmtId="10" fontId="5" fillId="0" borderId="1" applyAlignment="1" pivotButton="0" quotePrefix="0" xfId="5">
      <alignment horizontal="center" vertical="center"/>
    </xf>
    <xf numFmtId="165" fontId="5" fillId="9" borderId="1" applyAlignment="1" pivotButton="0" quotePrefix="0" xfId="5">
      <alignment horizontal="center" vertical="center"/>
    </xf>
    <xf numFmtId="165" fontId="10" fillId="10" borderId="1" applyAlignment="1" pivotButton="0" quotePrefix="0" xfId="5">
      <alignment horizontal="center" vertical="center"/>
    </xf>
    <xf numFmtId="165" fontId="10" fillId="3" borderId="1" applyAlignment="1" pivotButton="0" quotePrefix="0" xfId="5">
      <alignment horizontal="center" vertical="center"/>
    </xf>
    <xf numFmtId="165" fontId="5" fillId="11" borderId="1" applyAlignment="1" pivotButton="0" quotePrefix="0" xfId="5">
      <alignment horizontal="center" vertical="center"/>
    </xf>
    <xf numFmtId="2" fontId="4" fillId="2" borderId="3" applyAlignment="1" pivotButton="0" quotePrefix="0" xfId="5">
      <alignment horizontal="center" vertical="center" wrapText="1"/>
    </xf>
    <xf numFmtId="10" fontId="4" fillId="2" borderId="3" applyAlignment="1" pivotButton="0" quotePrefix="0" xfId="5">
      <alignment horizontal="center" vertical="center" wrapText="1"/>
    </xf>
    <xf numFmtId="49" fontId="5" fillId="2" borderId="3" applyAlignment="1" pivotButton="0" quotePrefix="0" xfId="5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5"/>
    <xf numFmtId="0" fontId="4" fillId="2" borderId="7" applyAlignment="1" pivotButton="0" quotePrefix="0" xfId="5">
      <alignment horizontal="center" vertical="center" wrapText="1"/>
    </xf>
    <xf numFmtId="9" fontId="5" fillId="3" borderId="0" applyAlignment="1" pivotButton="0" quotePrefix="0" xfId="5">
      <alignment horizontal="center" vertical="center"/>
    </xf>
    <xf numFmtId="166" fontId="10" fillId="3" borderId="1" applyAlignment="1" pivotButton="0" quotePrefix="0" xfId="5">
      <alignment horizontal="center" vertical="center"/>
    </xf>
    <xf numFmtId="167" fontId="1" fillId="0" borderId="1" applyAlignment="1" pivotButton="0" quotePrefix="0" xfId="5">
      <alignment horizontal="center" vertical="center" wrapText="1"/>
    </xf>
    <xf numFmtId="0" fontId="14" fillId="0" borderId="0" applyAlignment="1" pivotButton="0" quotePrefix="0" xfId="0">
      <alignment vertical="center"/>
    </xf>
    <xf numFmtId="0" fontId="8" fillId="12" borderId="0" applyAlignment="1" pivotButton="0" quotePrefix="0" xfId="0">
      <alignment horizontal="center" vertical="center" wrapText="1"/>
    </xf>
    <xf numFmtId="0" fontId="14" fillId="0" borderId="8" applyAlignment="1" pivotButton="0" quotePrefix="0" xfId="0">
      <alignment vertical="center"/>
    </xf>
    <xf numFmtId="168" fontId="14" fillId="0" borderId="8" applyAlignment="1" pivotButton="0" quotePrefix="0" xfId="0">
      <alignment vertical="center"/>
    </xf>
    <xf numFmtId="2" fontId="14" fillId="0" borderId="8" applyAlignment="1" pivotButton="0" quotePrefix="0" xfId="0">
      <alignment vertical="center"/>
    </xf>
    <xf numFmtId="169" fontId="14" fillId="0" borderId="8" applyAlignment="1" pivotButton="0" quotePrefix="0" xfId="0">
      <alignment vertical="center"/>
    </xf>
    <xf numFmtId="10" fontId="14" fillId="0" borderId="8" applyAlignment="1" pivotButton="0" quotePrefix="0" xfId="0">
      <alignment vertical="center"/>
    </xf>
    <xf numFmtId="0" fontId="5" fillId="13" borderId="8" applyAlignment="1" pivotButton="0" quotePrefix="0" xfId="0">
      <alignment vertical="center"/>
    </xf>
    <xf numFmtId="169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169" fontId="5" fillId="14" borderId="8" applyAlignment="1" pivotButton="0" quotePrefix="0" xfId="0">
      <alignment vertical="center"/>
    </xf>
    <xf numFmtId="10" fontId="5" fillId="14" borderId="8" applyAlignment="1" pivotButton="0" quotePrefix="0" xfId="0">
      <alignment vertical="center"/>
    </xf>
    <xf numFmtId="170" fontId="14" fillId="0" borderId="8" applyAlignment="1" pivotButton="0" quotePrefix="0" xfId="0">
      <alignment vertical="center"/>
    </xf>
    <xf numFmtId="0" fontId="8" fillId="15" borderId="9" applyAlignment="1" pivotButton="0" quotePrefix="0" xfId="0">
      <alignment horizontal="center" vertical="center" wrapText="1"/>
    </xf>
    <xf numFmtId="171" fontId="5" fillId="16" borderId="9" applyAlignment="1" pivotButton="0" quotePrefix="0" xfId="0">
      <alignment vertical="center"/>
    </xf>
    <xf numFmtId="171" fontId="14" fillId="0" borderId="9" applyAlignment="1" pivotButton="0" quotePrefix="0" xfId="0">
      <alignment vertical="center"/>
    </xf>
    <xf numFmtId="171" fontId="5" fillId="17" borderId="9" applyAlignment="1" pivotButton="0" quotePrefix="0" xfId="0">
      <alignment vertical="center"/>
    </xf>
    <xf numFmtId="10" fontId="14" fillId="0" borderId="9" applyAlignment="1" pivotButton="0" quotePrefix="0" xfId="0">
      <alignment vertical="center"/>
    </xf>
    <xf numFmtId="0" fontId="8" fillId="18" borderId="9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 vertical="center" wrapText="1"/>
    </xf>
    <xf numFmtId="171" fontId="33" fillId="24" borderId="17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0" fontId="34" fillId="23" borderId="17" applyAlignment="1" pivotButton="0" quotePrefix="0" xfId="0">
      <alignment horizontal="center" vertical="center" wrapText="1"/>
    </xf>
    <xf numFmtId="2" fontId="34" fillId="23" borderId="17" applyAlignment="1" pivotButton="0" quotePrefix="0" xfId="0">
      <alignment horizontal="center" vertical="center" wrapText="1"/>
    </xf>
    <xf numFmtId="3" fontId="33" fillId="24" borderId="17" applyAlignment="1" pivotButton="0" quotePrefix="0" xfId="0">
      <alignment horizontal="center" vertical="center" wrapText="1"/>
    </xf>
    <xf numFmtId="2" fontId="33" fillId="24" borderId="17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left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1" fontId="37" fillId="0" borderId="17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75" fontId="8" fillId="15" borderId="9" applyAlignment="1" pivotButton="0" quotePrefix="0" xfId="0">
      <alignment horizontal="center" vertical="center" wrapText="1"/>
    </xf>
    <xf numFmtId="0" fontId="3" fillId="0" borderId="1" applyAlignment="1" pivotButton="0" quotePrefix="0" xfId="5">
      <alignment horizontal="left" vertical="center" wrapText="1"/>
    </xf>
    <xf numFmtId="0" fontId="0" fillId="0" borderId="5" pivotButton="0" quotePrefix="0" xfId="0"/>
    <xf numFmtId="0" fontId="14" fillId="0" borderId="8" applyAlignment="1" pivotButton="0" quotePrefix="0" xfId="0">
      <alignment vertical="center"/>
    </xf>
    <xf numFmtId="0" fontId="0" fillId="0" borderId="13" pivotButton="0" quotePrefix="0" xfId="0"/>
    <xf numFmtId="0" fontId="5" fillId="14" borderId="8" applyAlignment="1" pivotButton="0" quotePrefix="0" xfId="0">
      <alignment vertical="center" wrapText="1"/>
    </xf>
    <xf numFmtId="0" fontId="14" fillId="0" borderId="8" applyAlignment="1" pivotButton="0" quotePrefix="0" xfId="0">
      <alignment vertical="center" wrapText="1"/>
    </xf>
    <xf numFmtId="0" fontId="12" fillId="0" borderId="1" applyAlignment="1" pivotButton="0" quotePrefix="0" xfId="5">
      <alignment horizontal="left" vertical="center" wrapText="1"/>
    </xf>
    <xf numFmtId="0" fontId="0" fillId="0" borderId="4" pivotButton="0" quotePrefix="0" xfId="0"/>
    <xf numFmtId="0" fontId="8" fillId="12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6" applyAlignment="1" pivotButton="0" quotePrefix="0" xfId="5">
      <alignment horizontal="left" vertical="center" wrapText="1"/>
    </xf>
    <xf numFmtId="0" fontId="0" fillId="0" borderId="15" pivotButton="0" quotePrefix="0" xfId="0"/>
    <xf numFmtId="0" fontId="7" fillId="4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6" fillId="0" borderId="2" applyAlignment="1" pivotButton="0" quotePrefix="0" xfId="5">
      <alignment vertical="center"/>
    </xf>
    <xf numFmtId="0" fontId="0" fillId="0" borderId="14" pivotButton="0" quotePrefix="0" xfId="0"/>
    <xf numFmtId="0" fontId="7" fillId="5" borderId="1" applyAlignment="1" pivotButton="0" quotePrefix="0" xfId="5">
      <alignment horizontal="center" vertical="center" wrapText="1"/>
    </xf>
    <xf numFmtId="0" fontId="12" fillId="0" borderId="1" applyAlignment="1" pivotButton="0" quotePrefix="0" xfId="5">
      <alignment horizontal="left" vertical="center"/>
    </xf>
    <xf numFmtId="0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0" fontId="5" fillId="13" borderId="8" applyAlignment="1" pivotButton="0" quotePrefix="0" xfId="0">
      <alignment vertical="center" wrapText="1"/>
    </xf>
    <xf numFmtId="0" fontId="7" fillId="8" borderId="1" applyAlignment="1" pivotButton="0" quotePrefix="0" xfId="5">
      <alignment horizontal="center" vertical="center" wrapText="1"/>
    </xf>
    <xf numFmtId="0" fontId="8" fillId="5" borderId="1" applyAlignment="1" pivotButton="0" quotePrefix="0" xfId="5">
      <alignment horizontal="center" vertical="center" wrapText="1"/>
    </xf>
    <xf numFmtId="0" fontId="13" fillId="0" borderId="1" applyAlignment="1" pivotButton="0" quotePrefix="0" xfId="5">
      <alignment horizontal="center"/>
    </xf>
    <xf numFmtId="0" fontId="12" fillId="0" borderId="6" applyAlignment="1" pivotButton="0" quotePrefix="0" xfId="5">
      <alignment horizontal="left" vertical="center" wrapText="1"/>
    </xf>
    <xf numFmtId="0" fontId="0" fillId="0" borderId="16" pivotButton="0" quotePrefix="0" xfId="0"/>
    <xf numFmtId="0" fontId="15" fillId="0" borderId="1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31" fillId="0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17" fillId="20" borderId="19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21" borderId="19" pivotButton="0" quotePrefix="0" xfId="0"/>
    <xf numFmtId="0" fontId="19" fillId="20" borderId="19" applyAlignment="1" pivotButton="0" quotePrefix="0" xfId="0">
      <alignment horizontal="center" vertical="center" wrapText="1"/>
    </xf>
    <xf numFmtId="0" fontId="0" fillId="20" borderId="19" pivotButton="0" quotePrefix="0" xfId="0"/>
    <xf numFmtId="0" fontId="20" fillId="20" borderId="19" applyAlignment="1" pivotButton="0" quotePrefix="0" xfId="0">
      <alignment horizontal="center" vertical="center" wrapText="1"/>
    </xf>
    <xf numFmtId="0" fontId="19" fillId="20" borderId="19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 wrapText="1"/>
    </xf>
    <xf numFmtId="0" fontId="22" fillId="23" borderId="1" applyAlignment="1" pivotButton="0" quotePrefix="0" xfId="0">
      <alignment horizontal="left" vertical="center" wrapText="1"/>
    </xf>
    <xf numFmtId="171" fontId="24" fillId="23" borderId="1" applyAlignment="1" pivotButton="0" quotePrefix="0" xfId="0">
      <alignment horizontal="center" vertical="center" wrapText="1"/>
    </xf>
    <xf numFmtId="171" fontId="26" fillId="23" borderId="1" applyAlignment="1" pivotButton="0" quotePrefix="0" xfId="0">
      <alignment horizontal="center" vertical="center" wrapText="1"/>
    </xf>
    <xf numFmtId="171" fontId="27" fillId="23" borderId="1" applyAlignment="1" pivotButton="0" quotePrefix="0" xfId="0">
      <alignment horizontal="center" vertical="center" wrapText="1"/>
    </xf>
    <xf numFmtId="0" fontId="0" fillId="23" borderId="1" pivotButton="0" quotePrefix="0" xfId="0"/>
    <xf numFmtId="176" fontId="23" fillId="24" borderId="1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171" fontId="24" fillId="0" borderId="1" applyAlignment="1" pivotButton="0" quotePrefix="0" xfId="0">
      <alignment horizontal="center" vertical="center" wrapText="1"/>
    </xf>
    <xf numFmtId="171" fontId="26" fillId="0" borderId="1" applyAlignment="1" pivotButton="0" quotePrefix="0" xfId="0">
      <alignment horizontal="center" vertical="center" wrapText="1"/>
    </xf>
    <xf numFmtId="171" fontId="27" fillId="20" borderId="1" applyAlignment="1" pivotButton="0" quotePrefix="0" xfId="0">
      <alignment horizontal="center" vertical="center" wrapText="1"/>
    </xf>
    <xf numFmtId="0" fontId="0" fillId="0" borderId="1" pivotButton="0" quotePrefix="0" xfId="0"/>
    <xf numFmtId="176" fontId="19" fillId="0" borderId="1" applyAlignment="1" pivotButton="0" quotePrefix="0" xfId="0">
      <alignment horizontal="center" vertical="center" wrapText="1"/>
    </xf>
    <xf numFmtId="0" fontId="28" fillId="21" borderId="1" applyAlignment="1" pivotButton="0" quotePrefix="0" xfId="0">
      <alignment horizontal="left" vertical="center" wrapText="1"/>
    </xf>
    <xf numFmtId="171" fontId="24" fillId="21" borderId="1" applyAlignment="1" pivotButton="0" quotePrefix="0" xfId="0">
      <alignment horizontal="center" vertical="center" wrapText="1"/>
    </xf>
    <xf numFmtId="171" fontId="26" fillId="21" borderId="1" applyAlignment="1" pivotButton="0" quotePrefix="0" xfId="0">
      <alignment horizontal="center" vertical="center" wrapText="1"/>
    </xf>
    <xf numFmtId="171" fontId="27" fillId="21" borderId="1" applyAlignment="1" pivotButton="0" quotePrefix="0" xfId="0">
      <alignment horizontal="center" vertical="center" wrapText="1"/>
    </xf>
    <xf numFmtId="0" fontId="0" fillId="21" borderId="1" pivotButton="0" quotePrefix="0" xfId="0"/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0" fontId="28" fillId="20" borderId="1" applyAlignment="1" pivotButton="0" quotePrefix="0" xfId="0">
      <alignment horizontal="left" vertical="center" wrapText="1"/>
    </xf>
    <xf numFmtId="177" fontId="29" fillId="20" borderId="1" applyAlignment="1" pivotButton="0" quotePrefix="0" xfId="0">
      <alignment horizontal="center" vertical="center" wrapText="1"/>
    </xf>
    <xf numFmtId="0" fontId="0" fillId="20" borderId="1" pivotButton="0" quotePrefix="0" xfId="0"/>
    <xf numFmtId="178" fontId="30" fillId="20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left" vertical="center" wrapText="1"/>
    </xf>
    <xf numFmtId="173" fontId="18" fillId="21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75" fontId="8" fillId="15" borderId="9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173" fontId="18" fillId="21" borderId="1" applyAlignment="1" pivotButton="0" quotePrefix="0" xfId="0">
      <alignment horizontal="center" vertical="center" wrapText="1"/>
    </xf>
    <xf numFmtId="0" fontId="0" fillId="0" borderId="6" pivotButton="0" quotePrefix="0" xfId="0"/>
    <xf numFmtId="176" fontId="23" fillId="24" borderId="1" applyAlignment="1" pivotButton="0" quotePrefix="0" xfId="0">
      <alignment horizontal="center" vertical="center" wrapText="1"/>
    </xf>
    <xf numFmtId="176" fontId="38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176" fontId="19" fillId="0" borderId="1" applyAlignment="1" pivotButton="0" quotePrefix="0" xfId="0">
      <alignment horizontal="center" vertical="center" wrapText="1"/>
    </xf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177" fontId="29" fillId="20" borderId="1" applyAlignment="1" pivotButton="0" quotePrefix="0" xfId="0">
      <alignment horizontal="center" vertical="center" wrapText="1"/>
    </xf>
    <xf numFmtId="178" fontId="30" fillId="20" borderId="1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0" borderId="29" pivotButton="0" quotePrefix="0" xfId="0"/>
    <xf numFmtId="0" fontId="16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32" fillId="0" borderId="31" applyAlignment="1" pivotButton="0" quotePrefix="0" xfId="0">
      <alignment horizontal="center" vertical="center" wrapText="1"/>
    </xf>
    <xf numFmtId="171" fontId="34" fillId="25" borderId="30" applyAlignment="1" pivotButton="0" quotePrefix="0" xfId="0">
      <alignment horizontal="center" vertical="center" wrapText="1"/>
    </xf>
    <xf numFmtId="170" fontId="34" fillId="25" borderId="30" applyAlignment="1" pivotButton="0" quotePrefix="0" xfId="0">
      <alignment horizontal="center" vertical="center" wrapText="1"/>
    </xf>
    <xf numFmtId="172" fontId="34" fillId="25" borderId="30" applyAlignment="1" pivotButton="0" quotePrefix="0" xfId="0">
      <alignment horizontal="center" vertical="center" wrapText="1"/>
    </xf>
    <xf numFmtId="2" fontId="34" fillId="25" borderId="30" applyAlignment="1" pivotButton="0" quotePrefix="0" xfId="0">
      <alignment horizontal="center" vertical="center" wrapText="1"/>
    </xf>
    <xf numFmtId="171" fontId="36" fillId="25" borderId="30" applyAlignment="1" pivotButton="0" quotePrefix="0" xfId="0">
      <alignment horizontal="center" vertical="center" wrapText="1"/>
    </xf>
    <xf numFmtId="0" fontId="21" fillId="26" borderId="3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vertical="center"/>
    </xf>
    <xf numFmtId="0" fontId="22" fillId="25" borderId="30" applyAlignment="1" pivotButton="0" quotePrefix="0" xfId="0">
      <alignment horizontal="left" vertical="center" wrapText="1"/>
    </xf>
    <xf numFmtId="172" fontId="33" fillId="28" borderId="30" applyAlignment="1" pivotButton="0" quotePrefix="0" xfId="0">
      <alignment horizontal="center" vertical="center" wrapText="1"/>
    </xf>
    <xf numFmtId="171" fontId="33" fillId="28" borderId="30" applyAlignment="1" pivotButton="0" quotePrefix="0" xfId="0">
      <alignment horizontal="center" vertical="center" wrapText="1"/>
    </xf>
    <xf numFmtId="171" fontId="38" fillId="25" borderId="30" applyAlignment="1" pivotButton="0" quotePrefix="0" xfId="0">
      <alignment horizontal="center" vertical="center" wrapText="1"/>
    </xf>
    <xf numFmtId="174" fontId="38" fillId="25" borderId="30" applyAlignment="1" pivotButton="0" quotePrefix="0" xfId="0">
      <alignment horizontal="center" vertical="center" wrapText="1"/>
    </xf>
    <xf numFmtId="173" fontId="39" fillId="29" borderId="30" applyAlignment="1" pivotButton="0" quotePrefix="0" xfId="0">
      <alignment horizontal="center" vertical="center" wrapText="1"/>
    </xf>
    <xf numFmtId="179" fontId="38" fillId="25" borderId="30" applyAlignment="1" pivotButton="0" quotePrefix="0" xfId="0">
      <alignment horizontal="center" vertical="center" wrapText="1"/>
    </xf>
    <xf numFmtId="0" fontId="22" fillId="29" borderId="30" applyAlignment="1" pivotButton="0" quotePrefix="0" xfId="0">
      <alignment horizontal="left" vertical="center" wrapText="1"/>
    </xf>
    <xf numFmtId="0" fontId="30" fillId="0" borderId="0" applyAlignment="1" pivotButton="0" quotePrefix="0" xfId="0">
      <alignment vertical="top" wrapText="1"/>
    </xf>
    <xf numFmtId="184" fontId="8" fillId="15" borderId="9" applyAlignment="1" pivotButton="0" quotePrefix="0" xfId="0">
      <alignment horizontal="center" vertical="center" wrapText="1"/>
    </xf>
    <xf numFmtId="184" fontId="8" fillId="18" borderId="9" applyAlignment="1" pivotButton="0" quotePrefix="0" xfId="0">
      <alignment horizontal="center" vertical="center" wrapText="1"/>
    </xf>
    <xf numFmtId="171" fontId="36" fillId="23" borderId="17" applyAlignment="1" pivotButton="0" quotePrefix="0" xfId="0">
      <alignment horizontal="center" vertical="center" wrapText="1"/>
    </xf>
    <xf numFmtId="179" fontId="38" fillId="25" borderId="30" applyAlignment="1" pivotButton="0" quotePrefix="0" xfId="0">
      <alignment horizontal="center" vertical="center" wrapText="1"/>
    </xf>
  </cellXfs>
  <cellStyles count="7">
    <cellStyle name="Звичайний" xfId="0" builtinId="0"/>
    <cellStyle name="Comma" xfId="1"/>
    <cellStyle name="Comma [0]" xfId="2"/>
    <cellStyle name="Currency" xfId="3"/>
    <cellStyle name="Currency [0]" xfId="4"/>
    <cellStyle name="Normal" xfId="5"/>
    <cellStyle name="Percent" xfId="6"/>
  </cellStyles>
  <dxfs count="2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4546A"/>
      <rgbColor rgb="FFC0C0C0"/>
      <rgbColor rgb="FF777777"/>
      <rgbColor rgb="FF9999FF"/>
      <rgbColor rgb="FF993366"/>
      <rgbColor rgb="FFFFF2CC"/>
      <rgbColor rgb="FFE7EEF6"/>
      <rgbColor rgb="FF660066"/>
      <rgbColor rgb="FFFF8080"/>
      <rgbColor rgb="FF1F4E7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55A11"/>
      <rgbColor rgb="FF3E657B"/>
      <rgbColor rgb="FF969696"/>
      <rgbColor rgb="FF1F3864"/>
      <rgbColor rgb="FF339966"/>
      <rgbColor rgb="FF003300"/>
      <rgbColor rgb="FF454545"/>
      <rgbColor rgb="FF993300"/>
      <rgbColor rgb="FF993366"/>
      <rgbColor rgb="FF203864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9"/>
  <sheetViews>
    <sheetView showGridLines="0" zoomScale="60" workbookViewId="0">
      <pane xSplit="4" ySplit="10" topLeftCell="E11" activePane="bottomRight" state="frozen"/>
      <selection activeCell="P4" sqref="P3:P4"/>
      <selection pane="topRight" activeCell="P4" sqref="P3:P4"/>
      <selection pane="bottomLeft" activeCell="P4" sqref="P3:P4"/>
      <selection pane="bottomRight" activeCell="N7" sqref="N7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</cols>
  <sheetData>
    <row r="1" ht="17.25" customHeight="1" s="71">
      <c r="A1" s="21" t="n"/>
      <c r="B1" s="85" t="inlineStr">
        <is>
          <t>Ramen. Partner price and shelf price — 6 pallets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Delivery scenario</t>
        </is>
      </c>
      <c r="C2" s="73" t="n"/>
      <c r="D2" s="22" t="inlineStr">
        <is>
          <t>6 pallets</t>
        </is>
      </c>
      <c r="E2" s="86" t="inlineStr">
        <is>
          <t>Ready-made landed cost from Self-Cost_Sias: AJ6:AJ11. Cost composition preserved.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Rate, UAH/EUR</t>
        </is>
      </c>
      <c r="C3" s="63" t="n"/>
      <c r="D3" s="17" t="n">
        <v>51.2</v>
      </c>
      <c r="E3" s="68" t="inlineStr">
        <is>
          <t>Rate 51.20 UAH/EUR — from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Chain bonus, %</t>
        </is>
      </c>
      <c r="C4" s="63" t="n"/>
      <c r="D4" s="18" t="n">
        <v>0.35</v>
      </c>
      <c r="E4" s="68" t="str">
        <f>"Chain bonus "&amp;ROUND(D4*100,0)&amp;"%; shelf = partner price × "&amp;D6&amp;"."</f>
        <v>Chain bonus 35%; shelf = partner price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Target margin, %</t>
        </is>
      </c>
      <c r="C5" s="63" t="n"/>
      <c r="D5" s="18" t="n">
        <v>0.2</v>
      </c>
      <c r="E5" s="68" t="str">
        <f>ROUND(D5*100,0)&amp;"% = (partner price − landed cost − bonus) / full partner price."</f>
        <v>20% = (partner price − landed cost − bonus) / full partner price.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Chain markup (x)</t>
        </is>
      </c>
      <c r="C6" s="63" t="n"/>
      <c r="D6" s="17" t="n">
        <v>1.4</v>
      </c>
      <c r="E6" s="68" t="inlineStr">
        <is>
          <t>Profit after bonus = partner price − landed cost − chain bonus.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Partner price</t>
        </is>
      </c>
      <c r="C7" s="63" t="n"/>
      <c r="D7" s="19" t="inlineStr">
        <is>
          <t>incl. VAT</t>
        </is>
      </c>
      <c r="E7" s="68" t="inlineStr">
        <is>
          <t>VAT as in the example: landed cost kept in full; the price already includes VAT. No multiplication by 1.20.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Share of price for landed cost</t>
        </is>
      </c>
      <c r="C8" s="77" t="n"/>
      <c r="D8" s="23">
        <f>IF(AND(COUNT(D3:D6)=4,D3&gt;0,D4&gt;=0,D5&gt;=0,D4+D5&lt;1,D6&gt;0),1-D4-D5,NA())</f>
        <v>0.45</v>
      </c>
      <c r="E8" s="79" t="str">
        <f>"100% − bonus − margin. Current terms: 100% − "&amp;ROUND(D4*100,0)&amp;"% − "&amp;ROUND(D5*100,0)&amp;"% = "&amp;ROUND(D8*100,0)&amp;"%."</f>
        <v>100% − bonus − margin. Current terms: 100% − 35% − 20% = 45%.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PRODUCT</t>
        </is>
      </c>
      <c r="B9" s="69" t="n"/>
      <c r="C9" s="69" t="n"/>
      <c r="D9" s="63" t="n"/>
      <c r="E9" s="78" t="inlineStr">
        <is>
          <t>LANDED COST</t>
        </is>
      </c>
      <c r="F9" s="63" t="n"/>
      <c r="G9" s="75" t="inlineStr">
        <is>
          <t>PARTNER PRICE AND PROFIT</t>
        </is>
      </c>
      <c r="H9" s="69" t="n"/>
      <c r="I9" s="69" t="n"/>
      <c r="J9" s="63" t="n"/>
      <c r="K9" s="5" t="inlineStr">
        <is>
          <t>SHELF</t>
        </is>
      </c>
      <c r="L9" s="83" t="inlineStr">
        <is>
          <t>MODEL: ZERO MARGIN</t>
        </is>
      </c>
      <c r="M9" s="63" t="n"/>
      <c r="N9" s="84" t="inlineStr">
        <is>
          <t>PROFIT PER PACK</t>
        </is>
      </c>
      <c r="O9" s="63" t="n"/>
      <c r="P9" s="172" t="n">
        <v>0.3</v>
      </c>
      <c r="Q9" s="59" t="n"/>
      <c r="R9" s="59" t="n"/>
      <c r="S9" s="59" t="n"/>
      <c r="T9" s="60" t="n"/>
      <c r="U9" s="173" t="n">
        <v>0.25</v>
      </c>
      <c r="V9" s="59" t="n"/>
      <c r="W9" s="59" t="n"/>
      <c r="X9" s="59" t="n"/>
      <c r="Y9" s="60" t="n"/>
      <c r="Z9" s="172" t="n">
        <v>0.2</v>
      </c>
      <c r="AA9" s="59" t="n"/>
      <c r="AB9" s="59" t="n"/>
      <c r="AC9" s="59" t="n"/>
      <c r="AD9" s="60" t="n"/>
      <c r="AE9" s="173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Group</t>
        </is>
      </c>
      <c r="C10" s="6" t="inlineStr">
        <is>
          <t>Item</t>
        </is>
      </c>
      <c r="D10" s="6" t="inlineStr">
        <is>
          <t>Weight, g</t>
        </is>
      </c>
      <c r="E10" s="78" t="inlineStr">
        <is>
          <t>Landed cost, EUR/pack</t>
        </is>
      </c>
      <c r="F10" s="78" t="inlineStr">
        <is>
          <t>1. Landed cost, UAH/pack</t>
        </is>
      </c>
      <c r="G10" s="75" t="inlineStr">
        <is>
          <t>2. Partner price incl. VAT</t>
        </is>
      </c>
      <c r="H10" s="75" t="inlineStr">
        <is>
          <t>3. Chain bonus, UAH</t>
        </is>
      </c>
      <c r="I10" s="75" t="inlineStr">
        <is>
          <t>4. Profit after bonus, UAH</t>
        </is>
      </c>
      <c r="J10" s="75" t="inlineStr">
        <is>
          <t>5. Margin per example</t>
        </is>
      </c>
      <c r="K10" s="5" t="inlineStr">
        <is>
          <t>6. Shelf price incl. VAT, UAH</t>
        </is>
      </c>
      <c r="L10" s="83" t="inlineStr">
        <is>
          <t>Min. partner price</t>
        </is>
      </c>
      <c r="M10" s="83" t="inlineStr">
        <is>
          <t>Min. shelf price</t>
        </is>
      </c>
      <c r="N10" s="84" t="inlineStr">
        <is>
          <t>Gross profit per example, before bonus, UAH/pack</t>
        </is>
      </c>
      <c r="O10" s="84" t="inlineStr">
        <is>
          <t>Profit after bonus per example, UAH/pack</t>
        </is>
      </c>
      <c r="P10" s="39" t="inlineStr">
        <is>
          <t>Partner price incl. VAT, UAH</t>
        </is>
      </c>
      <c r="Q10" s="39" t="inlineStr">
        <is>
          <t>Chain bonus, UAH</t>
        </is>
      </c>
      <c r="R10" s="39" t="inlineStr">
        <is>
          <t>Profit after bonus, UAH</t>
        </is>
      </c>
      <c r="S10" s="39" t="inlineStr">
        <is>
          <t>Margin check</t>
        </is>
      </c>
      <c r="T10" s="39" t="inlineStr">
        <is>
          <t>Shelf price incl. VAT, UAH</t>
        </is>
      </c>
      <c r="U10" s="44" t="inlineStr">
        <is>
          <t>Partner price incl. VAT, UAH</t>
        </is>
      </c>
      <c r="V10" s="44" t="inlineStr">
        <is>
          <t>Chain bonus, UAH</t>
        </is>
      </c>
      <c r="W10" s="44" t="inlineStr">
        <is>
          <t>Profit after bonus, UAH</t>
        </is>
      </c>
      <c r="X10" s="44" t="inlineStr">
        <is>
          <t>Margin check</t>
        </is>
      </c>
      <c r="Y10" s="44" t="inlineStr">
        <is>
          <t>Shelf price incl. VAT, UAH</t>
        </is>
      </c>
      <c r="Z10" s="39" t="inlineStr">
        <is>
          <t>Partner price incl. VAT, UAH</t>
        </is>
      </c>
      <c r="AA10" s="39" t="inlineStr">
        <is>
          <t>Chain bonus, UAH</t>
        </is>
      </c>
      <c r="AB10" s="39" t="inlineStr">
        <is>
          <t>Profit after bonus, UAH</t>
        </is>
      </c>
      <c r="AC10" s="39" t="inlineStr">
        <is>
          <t>Margin check</t>
        </is>
      </c>
      <c r="AD10" s="39" t="inlineStr">
        <is>
          <t>Shelf price incl. VAT, UAH</t>
        </is>
      </c>
      <c r="AE10" s="44" t="inlineStr">
        <is>
          <t>Partner price incl. VAT, UAH</t>
        </is>
      </c>
      <c r="AF10" s="44" t="inlineStr">
        <is>
          <t>Chain bonus, UAH</t>
        </is>
      </c>
      <c r="AG10" s="44" t="inlineStr">
        <is>
          <t>Profit after bonus, UAH</t>
        </is>
      </c>
      <c r="AH10" s="44" t="inlineStr">
        <is>
          <t>Margin check</t>
        </is>
      </c>
      <c r="AI10" s="44" t="inlineStr">
        <is>
          <t>Shelf price incl. VAT, UAH</t>
        </is>
      </c>
    </row>
    <row r="11" ht="43.5" customHeight="1" s="71">
      <c r="A11" s="7" t="n">
        <v>1</v>
      </c>
      <c r="B11" s="7" t="inlineStr">
        <is>
          <t>SIAS — pack ramen</t>
        </is>
      </c>
      <c r="C11" s="7" t="inlineStr">
        <is>
          <t>Gouda Cheese 123 g</t>
        </is>
      </c>
      <c r="D11" s="7" t="n">
        <v>123</v>
      </c>
      <c r="E11" s="24" t="n">
        <v>1.308515625</v>
      </c>
      <c r="F11" s="8">
        <f>IF(AND(ISNUMBER(E11),ISNUMBER($D$8)),E11*$D$3,NA())</f>
        <v>66.99600000000001</v>
      </c>
      <c r="G11" s="9">
        <f>F11/$D$8</f>
        <v>148.88000000000002</v>
      </c>
      <c r="H11" s="10">
        <f>G11*$D$4</f>
        <v>52.108000000000004</v>
      </c>
      <c r="I11" s="11">
        <f>G11-F11-H11</f>
        <v>29.77600000000001</v>
      </c>
      <c r="J11" s="12">
        <f>I11/G11</f>
        <v>0.20000000000000004</v>
      </c>
      <c r="K11" s="13">
        <f>G11*$D$6</f>
        <v>208.43200000000002</v>
      </c>
      <c r="L11" s="14">
        <f>F11/(1-$D$4)</f>
        <v>103.07076923076924</v>
      </c>
      <c r="M11" s="14">
        <f>L11*$D$6</f>
        <v>144.29907692307694</v>
      </c>
      <c r="N11" s="15">
        <f>G11-F11</f>
        <v>81.88400000000001</v>
      </c>
      <c r="O11" s="16">
        <f>N11-H11</f>
        <v>29.77600000000001</v>
      </c>
      <c r="P11" s="40">
        <f>$F11/(1-$D$4-$P$9)</f>
        <v>191.41714285714286</v>
      </c>
      <c r="Q11" s="41">
        <f>P11*$D$4</f>
        <v>66.996</v>
      </c>
      <c r="R11" s="42">
        <f>P11-$F11-Q11</f>
        <v>57.42514285714286</v>
      </c>
      <c r="S11" s="43">
        <f>R11/P11</f>
        <v>0.3</v>
      </c>
      <c r="T11" s="40">
        <f>P11*$D$6</f>
        <v>267.984</v>
      </c>
      <c r="U11" s="40">
        <f>$F11/(1-$D$4-$U$9)</f>
        <v>167.49</v>
      </c>
      <c r="V11" s="41">
        <f>U11*$D$4</f>
        <v>58.6215</v>
      </c>
      <c r="W11" s="42">
        <f>U11-$F11-V11</f>
        <v>41.8725</v>
      </c>
      <c r="X11" s="43">
        <f>W11/U11</f>
        <v>0.25</v>
      </c>
      <c r="Y11" s="40">
        <f>U11*$D$6</f>
        <v>234.486</v>
      </c>
      <c r="Z11" s="40">
        <f>$F11/(1-$D$4-$Z$9)</f>
        <v>148.88000000000002</v>
      </c>
      <c r="AA11" s="41">
        <f>Z11*$D$4</f>
        <v>52.108000000000004</v>
      </c>
      <c r="AB11" s="42">
        <f>Z11-$F11-AA11</f>
        <v>29.77600000000001</v>
      </c>
      <c r="AC11" s="43">
        <f>AB11/Z11</f>
        <v>0.20000000000000004</v>
      </c>
      <c r="AD11" s="40">
        <f>Z11*$D$6</f>
        <v>208.43200000000002</v>
      </c>
      <c r="AE11" s="40">
        <f>$F11/(1-$D$4-$AE$9)</f>
        <v>133.99200000000002</v>
      </c>
      <c r="AF11" s="41">
        <f>AE11*$D$4</f>
        <v>46.897200000000005</v>
      </c>
      <c r="AG11" s="42">
        <f>AE11-$F11-AF11</f>
        <v>20.098800000000004</v>
      </c>
      <c r="AH11" s="43">
        <f>AG11/AE11</f>
        <v>0.15000000000000002</v>
      </c>
      <c r="AI11" s="40">
        <f>AE11*$D$6</f>
        <v>187.58880000000002</v>
      </c>
    </row>
    <row r="12" ht="43.5" customHeight="1" s="71">
      <c r="A12" s="7" t="n">
        <v>2</v>
      </c>
      <c r="B12" s="7" t="inlineStr">
        <is>
          <t>SIAS — pack ramen</t>
        </is>
      </c>
      <c r="C12" s="7" t="inlineStr">
        <is>
          <t>Carbonara Spicy 131 g</t>
        </is>
      </c>
      <c r="D12" s="7" t="n">
        <v>131</v>
      </c>
      <c r="E12" s="24" t="n">
        <v>1.308515625</v>
      </c>
      <c r="F12" s="8">
        <f>IF(AND(ISNUMBER(E12),ISNUMBER($D$8)),E12*$D$3,NA())</f>
        <v>66.99600000000001</v>
      </c>
      <c r="G12" s="9">
        <f>F12/$D$8</f>
        <v>148.88000000000002</v>
      </c>
      <c r="H12" s="10">
        <f>G12*$D$4</f>
        <v>52.108000000000004</v>
      </c>
      <c r="I12" s="11">
        <f>G12-F12-H12</f>
        <v>29.77600000000001</v>
      </c>
      <c r="J12" s="12">
        <f>I12/G12</f>
        <v>0.20000000000000004</v>
      </c>
      <c r="K12" s="13">
        <f>G12*$D$6</f>
        <v>208.43200000000002</v>
      </c>
      <c r="L12" s="14">
        <f>F12/(1-$D$4)</f>
        <v>103.07076923076924</v>
      </c>
      <c r="M12" s="14">
        <f>L12*$D$6</f>
        <v>144.29907692307694</v>
      </c>
      <c r="N12" s="15">
        <f>G12-F12</f>
        <v>81.88400000000001</v>
      </c>
      <c r="O12" s="16">
        <f>N12-H12</f>
        <v>29.77600000000001</v>
      </c>
      <c r="P12" s="40">
        <f>$F12/(1-$D$4-$P$9)</f>
        <v>191.41714285714286</v>
      </c>
      <c r="Q12" s="41">
        <f>P12*$D$4</f>
        <v>66.996</v>
      </c>
      <c r="R12" s="42">
        <f>P12-$F12-Q12</f>
        <v>57.42514285714286</v>
      </c>
      <c r="S12" s="43">
        <f>R12/P12</f>
        <v>0.3</v>
      </c>
      <c r="T12" s="40">
        <f>P12*$D$6</f>
        <v>267.984</v>
      </c>
      <c r="U12" s="40">
        <f>$F12/(1-$D$4-$U$9)</f>
        <v>167.49</v>
      </c>
      <c r="V12" s="41">
        <f>U12*$D$4</f>
        <v>58.6215</v>
      </c>
      <c r="W12" s="42">
        <f>U12-$F12-V12</f>
        <v>41.8725</v>
      </c>
      <c r="X12" s="43">
        <f>W12/U12</f>
        <v>0.25</v>
      </c>
      <c r="Y12" s="40">
        <f>U12*$D$6</f>
        <v>234.486</v>
      </c>
      <c r="Z12" s="40">
        <f>$F12/(1-$D$4-$Z$9)</f>
        <v>148.88000000000002</v>
      </c>
      <c r="AA12" s="41">
        <f>Z12*$D$4</f>
        <v>52.108000000000004</v>
      </c>
      <c r="AB12" s="42">
        <f>Z12-$F12-AA12</f>
        <v>29.77600000000001</v>
      </c>
      <c r="AC12" s="43">
        <f>AB12/Z12</f>
        <v>0.20000000000000004</v>
      </c>
      <c r="AD12" s="40">
        <f>Z12*$D$6</f>
        <v>208.43200000000002</v>
      </c>
      <c r="AE12" s="40">
        <f>$F12/(1-$D$4-$AE$9)</f>
        <v>133.99200000000002</v>
      </c>
      <c r="AF12" s="41">
        <f>AE12*$D$4</f>
        <v>46.897200000000005</v>
      </c>
      <c r="AG12" s="42">
        <f>AE12-$F12-AF12</f>
        <v>20.098800000000004</v>
      </c>
      <c r="AH12" s="43">
        <f>AG12/AE12</f>
        <v>0.15000000000000002</v>
      </c>
      <c r="AI12" s="40">
        <f>AE12*$D$6</f>
        <v>187.58880000000002</v>
      </c>
    </row>
    <row r="13" ht="43.5" customHeight="1" s="71">
      <c r="A13" s="7" t="n">
        <v>3</v>
      </c>
      <c r="B13" s="7" t="inlineStr">
        <is>
          <t>SIAS — pack ramen</t>
        </is>
      </c>
      <c r="C13" s="7" t="inlineStr">
        <is>
          <t>Vegetable Flavor 113 g</t>
        </is>
      </c>
      <c r="D13" s="7" t="n">
        <v>113</v>
      </c>
      <c r="E13" s="24" t="n">
        <v>1.134046875</v>
      </c>
      <c r="F13" s="8">
        <f>IF(AND(ISNUMBER(E13),ISNUMBER($D$8)),E13*$D$3,NA())</f>
        <v>58.063199999999995</v>
      </c>
      <c r="G13" s="9">
        <f>F13/$D$8</f>
        <v>129.0293333333333</v>
      </c>
      <c r="H13" s="10">
        <f>G13*$D$4</f>
        <v>45.16026666666666</v>
      </c>
      <c r="I13" s="11">
        <f>G13-F13-H13</f>
        <v>25.80586666666666</v>
      </c>
      <c r="J13" s="12">
        <f>I13/G13</f>
        <v>0.19999999999999998</v>
      </c>
      <c r="K13" s="13">
        <f>G13*$D$6</f>
        <v>180.64106666666663</v>
      </c>
      <c r="L13" s="14">
        <f>F13/(1-$D$4)</f>
        <v>89.32799999999999</v>
      </c>
      <c r="M13" s="14">
        <f>L13*$D$6</f>
        <v>125.05919999999998</v>
      </c>
      <c r="N13" s="15">
        <f>G13-F13</f>
        <v>70.96613333333332</v>
      </c>
      <c r="O13" s="16">
        <f>N13-H13</f>
        <v>25.80586666666666</v>
      </c>
      <c r="P13" s="40">
        <f>$F13/(1-$D$4-$P$9)</f>
        <v>165.89485714285712</v>
      </c>
      <c r="Q13" s="41">
        <f>P13*$D$4</f>
        <v>58.06319999999999</v>
      </c>
      <c r="R13" s="42">
        <f>P13-$F13-Q13</f>
        <v>49.76845714285714</v>
      </c>
      <c r="S13" s="43">
        <f>R13/P13</f>
        <v>0.3</v>
      </c>
      <c r="T13" s="40">
        <f>P13*$D$6</f>
        <v>232.25279999999995</v>
      </c>
      <c r="U13" s="40">
        <f>$F13/(1-$D$4-$U$9)</f>
        <v>145.158</v>
      </c>
      <c r="V13" s="41">
        <f>U13*$D$4</f>
        <v>50.805299999999995</v>
      </c>
      <c r="W13" s="42">
        <f>U13-$F13-V13</f>
        <v>36.2895</v>
      </c>
      <c r="X13" s="43">
        <f>W13/U13</f>
        <v>0.25</v>
      </c>
      <c r="Y13" s="40">
        <f>U13*$D$6</f>
        <v>203.22119999999998</v>
      </c>
      <c r="Z13" s="40">
        <f>$F13/(1-$D$4-$Z$9)</f>
        <v>129.0293333333333</v>
      </c>
      <c r="AA13" s="41">
        <f>Z13*$D$4</f>
        <v>45.16026666666666</v>
      </c>
      <c r="AB13" s="42">
        <f>Z13-$F13-AA13</f>
        <v>25.80586666666666</v>
      </c>
      <c r="AC13" s="43">
        <f>AB13/Z13</f>
        <v>0.19999999999999998</v>
      </c>
      <c r="AD13" s="40">
        <f>Z13*$D$6</f>
        <v>180.64106666666663</v>
      </c>
      <c r="AE13" s="40">
        <f>$F13/(1-$D$4-$AE$9)</f>
        <v>116.12639999999999</v>
      </c>
      <c r="AF13" s="41">
        <f>AE13*$D$4</f>
        <v>40.644239999999996</v>
      </c>
      <c r="AG13" s="42">
        <f>AE13-$F13-AF13</f>
        <v>17.41896</v>
      </c>
      <c r="AH13" s="43">
        <f>AG13/AE13</f>
        <v>0.15</v>
      </c>
      <c r="AI13" s="40">
        <f>AE13*$D$6</f>
        <v>162.57695999999999</v>
      </c>
    </row>
    <row r="14" ht="43.5" customHeight="1" s="71">
      <c r="A14" s="7" t="n">
        <v>4</v>
      </c>
      <c r="B14" s="7" t="inlineStr">
        <is>
          <t>SIAS — pack ramen</t>
        </is>
      </c>
      <c r="C14" s="7" t="inlineStr">
        <is>
          <t>Spicy Flavor 112.5 g</t>
        </is>
      </c>
      <c r="D14" s="25" t="n">
        <v>112.5</v>
      </c>
      <c r="E14" s="24" t="n">
        <v>1.134046875</v>
      </c>
      <c r="F14" s="8">
        <f>IF(AND(ISNUMBER(E14),ISNUMBER($D$8)),E14*$D$3,NA())</f>
        <v>58.063199999999995</v>
      </c>
      <c r="G14" s="9">
        <f>F14/$D$8</f>
        <v>129.0293333333333</v>
      </c>
      <c r="H14" s="10">
        <f>G14*$D$4</f>
        <v>45.16026666666666</v>
      </c>
      <c r="I14" s="11">
        <f>G14-F14-H14</f>
        <v>25.80586666666666</v>
      </c>
      <c r="J14" s="12">
        <f>I14/G14</f>
        <v>0.19999999999999998</v>
      </c>
      <c r="K14" s="13">
        <f>G14*$D$6</f>
        <v>180.64106666666663</v>
      </c>
      <c r="L14" s="14">
        <f>F14/(1-$D$4)</f>
        <v>89.32799999999999</v>
      </c>
      <c r="M14" s="14">
        <f>L14*$D$6</f>
        <v>125.05919999999998</v>
      </c>
      <c r="N14" s="15">
        <f>G14-F14</f>
        <v>70.96613333333332</v>
      </c>
      <c r="O14" s="16">
        <f>N14-H14</f>
        <v>25.80586666666666</v>
      </c>
      <c r="P14" s="40">
        <f>$F14/(1-$D$4-$P$9)</f>
        <v>165.89485714285712</v>
      </c>
      <c r="Q14" s="41">
        <f>P14*$D$4</f>
        <v>58.06319999999999</v>
      </c>
      <c r="R14" s="42">
        <f>P14-$F14-Q14</f>
        <v>49.76845714285714</v>
      </c>
      <c r="S14" s="43">
        <f>R14/P14</f>
        <v>0.3</v>
      </c>
      <c r="T14" s="40">
        <f>P14*$D$6</f>
        <v>232.25279999999995</v>
      </c>
      <c r="U14" s="40">
        <f>$F14/(1-$D$4-$U$9)</f>
        <v>145.158</v>
      </c>
      <c r="V14" s="41">
        <f>U14*$D$4</f>
        <v>50.805299999999995</v>
      </c>
      <c r="W14" s="42">
        <f>U14-$F14-V14</f>
        <v>36.2895</v>
      </c>
      <c r="X14" s="43">
        <f>W14/U14</f>
        <v>0.25</v>
      </c>
      <c r="Y14" s="40">
        <f>U14*$D$6</f>
        <v>203.22119999999998</v>
      </c>
      <c r="Z14" s="40">
        <f>$F14/(1-$D$4-$Z$9)</f>
        <v>129.0293333333333</v>
      </c>
      <c r="AA14" s="41">
        <f>Z14*$D$4</f>
        <v>45.16026666666666</v>
      </c>
      <c r="AB14" s="42">
        <f>Z14-$F14-AA14</f>
        <v>25.80586666666666</v>
      </c>
      <c r="AC14" s="43">
        <f>AB14/Z14</f>
        <v>0.19999999999999998</v>
      </c>
      <c r="AD14" s="40">
        <f>Z14*$D$6</f>
        <v>180.64106666666663</v>
      </c>
      <c r="AE14" s="40">
        <f>$F14/(1-$D$4-$AE$9)</f>
        <v>116.12639999999999</v>
      </c>
      <c r="AF14" s="41">
        <f>AE14*$D$4</f>
        <v>40.644239999999996</v>
      </c>
      <c r="AG14" s="42">
        <f>AE14-$F14-AF14</f>
        <v>17.41896</v>
      </c>
      <c r="AH14" s="43">
        <f>AG14/AE14</f>
        <v>0.15</v>
      </c>
      <c r="AI14" s="40">
        <f>AE14*$D$6</f>
        <v>162.57695999999999</v>
      </c>
    </row>
    <row r="15" ht="43.5" customHeight="1" s="71">
      <c r="A15" s="7" t="n">
        <v>5</v>
      </c>
      <c r="B15" s="7" t="inlineStr">
        <is>
          <t>SIAS — pack ramen</t>
        </is>
      </c>
      <c r="C15" s="7" t="inlineStr">
        <is>
          <t>Beef Flavor 113 g</t>
        </is>
      </c>
      <c r="D15" s="7" t="n">
        <v>113</v>
      </c>
      <c r="E15" s="24" t="n">
        <v>1.134046875</v>
      </c>
      <c r="F15" s="8">
        <f>IF(AND(ISNUMBER(E15),ISNUMBER($D$8)),E15*$D$3,NA())</f>
        <v>58.063199999999995</v>
      </c>
      <c r="G15" s="9">
        <f>F15/$D$8</f>
        <v>129.0293333333333</v>
      </c>
      <c r="H15" s="10">
        <f>G15*$D$4</f>
        <v>45.16026666666666</v>
      </c>
      <c r="I15" s="11">
        <f>G15-F15-H15</f>
        <v>25.80586666666666</v>
      </c>
      <c r="J15" s="12">
        <f>I15/G15</f>
        <v>0.19999999999999998</v>
      </c>
      <c r="K15" s="13">
        <f>G15*$D$6</f>
        <v>180.64106666666663</v>
      </c>
      <c r="L15" s="14">
        <f>F15/(1-$D$4)</f>
        <v>89.32799999999999</v>
      </c>
      <c r="M15" s="14">
        <f>L15*$D$6</f>
        <v>125.05919999999998</v>
      </c>
      <c r="N15" s="15">
        <f>G15-F15</f>
        <v>70.96613333333332</v>
      </c>
      <c r="O15" s="16">
        <f>N15-H15</f>
        <v>25.80586666666666</v>
      </c>
      <c r="P15" s="40">
        <f>$F15/(1-$D$4-$P$9)</f>
        <v>165.89485714285712</v>
      </c>
      <c r="Q15" s="41">
        <f>P15*$D$4</f>
        <v>58.06319999999999</v>
      </c>
      <c r="R15" s="42">
        <f>P15-$F15-Q15</f>
        <v>49.76845714285714</v>
      </c>
      <c r="S15" s="43">
        <f>R15/P15</f>
        <v>0.3</v>
      </c>
      <c r="T15" s="40">
        <f>P15*$D$6</f>
        <v>232.25279999999995</v>
      </c>
      <c r="U15" s="40">
        <f>$F15/(1-$D$4-$U$9)</f>
        <v>145.158</v>
      </c>
      <c r="V15" s="41">
        <f>U15*$D$4</f>
        <v>50.805299999999995</v>
      </c>
      <c r="W15" s="42">
        <f>U15-$F15-V15</f>
        <v>36.2895</v>
      </c>
      <c r="X15" s="43">
        <f>W15/U15</f>
        <v>0.25</v>
      </c>
      <c r="Y15" s="40">
        <f>U15*$D$6</f>
        <v>203.22119999999998</v>
      </c>
      <c r="Z15" s="40">
        <f>$F15/(1-$D$4-$Z$9)</f>
        <v>129.0293333333333</v>
      </c>
      <c r="AA15" s="41">
        <f>Z15*$D$4</f>
        <v>45.16026666666666</v>
      </c>
      <c r="AB15" s="42">
        <f>Z15-$F15-AA15</f>
        <v>25.80586666666666</v>
      </c>
      <c r="AC15" s="43">
        <f>AB15/Z15</f>
        <v>0.19999999999999998</v>
      </c>
      <c r="AD15" s="40">
        <f>Z15*$D$6</f>
        <v>180.64106666666663</v>
      </c>
      <c r="AE15" s="40">
        <f>$F15/(1-$D$4-$AE$9)</f>
        <v>116.12639999999999</v>
      </c>
      <c r="AF15" s="41">
        <f>AE15*$D$4</f>
        <v>40.644239999999996</v>
      </c>
      <c r="AG15" s="42">
        <f>AE15-$F15-AF15</f>
        <v>17.41896</v>
      </c>
      <c r="AH15" s="43">
        <f>AG15/AE15</f>
        <v>0.15</v>
      </c>
      <c r="AI15" s="40">
        <f>AE15*$D$6</f>
        <v>162.57695999999999</v>
      </c>
    </row>
    <row r="16" ht="43.5" customHeight="1" s="71">
      <c r="A16" s="7" t="n">
        <v>6</v>
      </c>
      <c r="B16" s="7" t="inlineStr">
        <is>
          <t>SIAS — pack ramen</t>
        </is>
      </c>
      <c r="C16" s="7" t="inlineStr">
        <is>
          <t>Chicken Flavor 113 g</t>
        </is>
      </c>
      <c r="D16" s="7" t="n">
        <v>113</v>
      </c>
      <c r="E16" s="24" t="n">
        <v>1.134046875</v>
      </c>
      <c r="F16" s="8">
        <f>IF(AND(ISNUMBER(E16),ISNUMBER($D$8)),E16*$D$3,NA())</f>
        <v>58.063199999999995</v>
      </c>
      <c r="G16" s="9">
        <f>F16/$D$8</f>
        <v>129.0293333333333</v>
      </c>
      <c r="H16" s="10">
        <f>G16*$D$4</f>
        <v>45.16026666666666</v>
      </c>
      <c r="I16" s="11">
        <f>G16-F16-H16</f>
        <v>25.80586666666666</v>
      </c>
      <c r="J16" s="12">
        <f>I16/G16</f>
        <v>0.19999999999999998</v>
      </c>
      <c r="K16" s="13">
        <f>G16*$D$6</f>
        <v>180.64106666666663</v>
      </c>
      <c r="L16" s="14">
        <f>F16/(1-$D$4)</f>
        <v>89.32799999999999</v>
      </c>
      <c r="M16" s="14">
        <f>L16*$D$6</f>
        <v>125.05919999999998</v>
      </c>
      <c r="N16" s="15">
        <f>G16-F16</f>
        <v>70.96613333333332</v>
      </c>
      <c r="O16" s="16">
        <f>N16-H16</f>
        <v>25.80586666666666</v>
      </c>
      <c r="P16" s="40">
        <f>$F16/(1-$D$4-$P$9)</f>
        <v>165.89485714285712</v>
      </c>
      <c r="Q16" s="41">
        <f>P16*$D$4</f>
        <v>58.06319999999999</v>
      </c>
      <c r="R16" s="42">
        <f>P16-$F16-Q16</f>
        <v>49.76845714285714</v>
      </c>
      <c r="S16" s="43">
        <f>R16/P16</f>
        <v>0.3</v>
      </c>
      <c r="T16" s="40">
        <f>P16*$D$6</f>
        <v>232.25279999999995</v>
      </c>
      <c r="U16" s="40">
        <f>$F16/(1-$D$4-$U$9)</f>
        <v>145.158</v>
      </c>
      <c r="V16" s="41">
        <f>U16*$D$4</f>
        <v>50.805299999999995</v>
      </c>
      <c r="W16" s="42">
        <f>U16-$F16-V16</f>
        <v>36.2895</v>
      </c>
      <c r="X16" s="43">
        <f>W16/U16</f>
        <v>0.25</v>
      </c>
      <c r="Y16" s="40">
        <f>U16*$D$6</f>
        <v>203.22119999999998</v>
      </c>
      <c r="Z16" s="40">
        <f>$F16/(1-$D$4-$Z$9)</f>
        <v>129.0293333333333</v>
      </c>
      <c r="AA16" s="41">
        <f>Z16*$D$4</f>
        <v>45.16026666666666</v>
      </c>
      <c r="AB16" s="42">
        <f>Z16-$F16-AA16</f>
        <v>25.80586666666666</v>
      </c>
      <c r="AC16" s="43">
        <f>AB16/Z16</f>
        <v>0.19999999999999998</v>
      </c>
      <c r="AD16" s="40">
        <f>Z16*$D$6</f>
        <v>180.64106666666663</v>
      </c>
      <c r="AE16" s="40">
        <f>$F16/(1-$D$4-$AE$9)</f>
        <v>116.12639999999999</v>
      </c>
      <c r="AF16" s="41">
        <f>AE16*$D$4</f>
        <v>40.644239999999996</v>
      </c>
      <c r="AG16" s="42">
        <f>AE16-$F16-AF16</f>
        <v>17.41896</v>
      </c>
      <c r="AH16" s="43">
        <f>AG16/AE16</f>
        <v>0.15</v>
      </c>
      <c r="AI16" s="40">
        <f>AE16*$D$6</f>
        <v>162.57695999999999</v>
      </c>
    </row>
    <row r="17"/>
    <row r="18"/>
    <row r="19" ht="28.05" customHeight="1" s="71">
      <c r="A19" s="26" t="n"/>
      <c r="B19" s="88" t="inlineStr">
        <is>
          <t>Each step of price formation — per your example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What we calculate</t>
        </is>
      </c>
      <c r="D21" s="70" t="inlineStr">
        <is>
          <t>Action</t>
        </is>
      </c>
      <c r="F21" s="27" t="str">
        <f>C11</f>
        <v>Gouda Cheese 123 g</v>
      </c>
      <c r="G21" s="27" t="str">
        <f>C12</f>
        <v>Carbonara Spicy 131 g</v>
      </c>
      <c r="H21" s="27" t="str">
        <f>C13</f>
        <v>Vegetable Flavor 113 g</v>
      </c>
      <c r="I21" s="27" t="str">
        <f>C14</f>
        <v>Spicy Flavor 112.5 g</v>
      </c>
      <c r="J21" s="27" t="str">
        <f>C15</f>
        <v>Beef Flavor 113 g</v>
      </c>
      <c r="K21" s="27" t="str">
        <f>C16</f>
        <v>Chicken Flavor 113 g</v>
      </c>
    </row>
    <row r="22" ht="31.05" customHeight="1" s="71">
      <c r="A22" s="64" t="n">
        <v>1</v>
      </c>
      <c r="B22" s="64" t="inlineStr">
        <is>
          <t>Landed cost in Ukraine, EUR/pack</t>
        </is>
      </c>
      <c r="C22" s="65" t="n"/>
      <c r="D22" s="67" t="inlineStr">
        <is>
          <t>From Self-Cost</t>
        </is>
      </c>
      <c r="E22" s="65" t="n"/>
      <c r="F22" s="29">
        <f>E11</f>
        <v>1.308515625</v>
      </c>
      <c r="G22" s="29">
        <f>E12</f>
        <v>1.308515625</v>
      </c>
      <c r="H22" s="29">
        <f>E13</f>
        <v>1.134046875</v>
      </c>
      <c r="I22" s="29">
        <f>E14</f>
        <v>1.134046875</v>
      </c>
      <c r="J22" s="29">
        <f>E15</f>
        <v>1.134046875</v>
      </c>
      <c r="K22" s="29">
        <f>E16</f>
        <v>1.134046875</v>
      </c>
    </row>
    <row r="23" ht="31.05" customHeight="1" s="71">
      <c r="A23" s="64" t="n">
        <v>2</v>
      </c>
      <c r="B23" s="64" t="inlineStr">
        <is>
          <t>Rate, UAH/EUR</t>
        </is>
      </c>
      <c r="C23" s="65" t="n"/>
      <c r="D23" s="67" t="inlineStr">
        <is>
          <t>Input in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Landed cost in Ukraine, UAH/pack</t>
        </is>
      </c>
      <c r="C24" s="65" t="n"/>
      <c r="D24" s="67" t="inlineStr">
        <is>
          <t>Step 1 × step 2</t>
        </is>
      </c>
      <c r="E24" s="65" t="n"/>
      <c r="F24" s="31">
        <f>F11</f>
        <v>66.99600000000001</v>
      </c>
      <c r="G24" s="31">
        <f>F12</f>
        <v>66.99600000000001</v>
      </c>
      <c r="H24" s="31">
        <f>F13</f>
        <v>58.063199999999995</v>
      </c>
      <c r="I24" s="31">
        <f>F14</f>
        <v>58.063199999999995</v>
      </c>
      <c r="J24" s="31">
        <f>F15</f>
        <v>58.063199999999995</v>
      </c>
      <c r="K24" s="31">
        <f>F16</f>
        <v>58.063199999999995</v>
      </c>
    </row>
    <row r="25" ht="31.05" customHeight="1" s="71">
      <c r="A25" s="64" t="n">
        <v>4</v>
      </c>
      <c r="B25" s="64" t="inlineStr">
        <is>
          <t>Full partner price, %</t>
        </is>
      </c>
      <c r="C25" s="65" t="n"/>
      <c r="D25" s="67" t="inlineStr">
        <is>
          <t>Base for all percentages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Chain bonus, %</t>
        </is>
      </c>
      <c r="C26" s="65" t="n"/>
      <c r="D26" s="67" t="inlineStr">
        <is>
          <t>Input in D4</t>
        </is>
      </c>
      <c r="E26" s="65" t="n"/>
      <c r="F26" s="32">
        <f>$D$4</f>
        <v>0.35</v>
      </c>
      <c r="G26" s="32">
        <f>$D$4</f>
        <v>0.35</v>
      </c>
      <c r="H26" s="32">
        <f>$D$4</f>
        <v>0.35</v>
      </c>
      <c r="I26" s="32">
        <f>$D$4</f>
        <v>0.35</v>
      </c>
      <c r="J26" s="32">
        <f>$D$4</f>
        <v>0.35</v>
      </c>
      <c r="K26" s="32">
        <f>$D$4</f>
        <v>0.35</v>
      </c>
    </row>
    <row r="27" ht="31.05" customHeight="1" s="71">
      <c r="A27" s="64" t="n">
        <v>6</v>
      </c>
      <c r="B27" s="64" t="inlineStr">
        <is>
          <t>Share of price after bonus, %</t>
        </is>
      </c>
      <c r="C27" s="65" t="n"/>
      <c r="D27" s="67" t="inlineStr">
        <is>
          <t>Step 4 − step 5</t>
        </is>
      </c>
      <c r="E27" s="65" t="n"/>
      <c r="F27" s="32">
        <f>1-$D$4</f>
        <v>0.65</v>
      </c>
      <c r="G27" s="32">
        <f>1-$D$4</f>
        <v>0.65</v>
      </c>
      <c r="H27" s="32">
        <f>1-$D$4</f>
        <v>0.65</v>
      </c>
      <c r="I27" s="32">
        <f>1-$D$4</f>
        <v>0.65</v>
      </c>
      <c r="J27" s="32">
        <f>1-$D$4</f>
        <v>0.65</v>
      </c>
      <c r="K27" s="32">
        <f>1-$D$4</f>
        <v>0.65</v>
      </c>
    </row>
    <row r="28" ht="31.05" customHeight="1" s="71">
      <c r="A28" s="64" t="n">
        <v>7</v>
      </c>
      <c r="B28" s="64" t="inlineStr">
        <is>
          <t>Our target margin, %</t>
        </is>
      </c>
      <c r="C28" s="65" t="n"/>
      <c r="D28" s="67" t="inlineStr">
        <is>
          <t>Input in D5</t>
        </is>
      </c>
      <c r="E28" s="65" t="n"/>
      <c r="F28" s="32">
        <f>$D$5</f>
        <v>0.2</v>
      </c>
      <c r="G28" s="32">
        <f>$D$5</f>
        <v>0.2</v>
      </c>
      <c r="H28" s="32">
        <f>$D$5</f>
        <v>0.2</v>
      </c>
      <c r="I28" s="32">
        <f>$D$5</f>
        <v>0.2</v>
      </c>
      <c r="J28" s="32">
        <f>$D$5</f>
        <v>0.2</v>
      </c>
      <c r="K28" s="32">
        <f>$D$5</f>
        <v>0.2</v>
      </c>
    </row>
    <row r="29" ht="31.05" customHeight="1" s="71">
      <c r="A29" s="64" t="n">
        <v>8</v>
      </c>
      <c r="B29" s="64" t="inlineStr">
        <is>
          <t>Share of price for landed cost, %</t>
        </is>
      </c>
      <c r="C29" s="65" t="n"/>
      <c r="D29" s="67" t="inlineStr">
        <is>
          <t>Step 6 − step 7</t>
        </is>
      </c>
      <c r="E29" s="65" t="n"/>
      <c r="F29" s="32">
        <f>$D$8</f>
        <v>0.45</v>
      </c>
      <c r="G29" s="32">
        <f>$D$8</f>
        <v>0.45</v>
      </c>
      <c r="H29" s="32">
        <f>$D$8</f>
        <v>0.45</v>
      </c>
      <c r="I29" s="32">
        <f>$D$8</f>
        <v>0.45</v>
      </c>
      <c r="J29" s="32">
        <f>$D$8</f>
        <v>0.45</v>
      </c>
      <c r="K29" s="32">
        <f>$D$8</f>
        <v>0.45</v>
      </c>
    </row>
    <row r="30" ht="31.05" customHeight="1" s="71">
      <c r="A30" s="80" t="n">
        <v>9</v>
      </c>
      <c r="B30" s="80" t="inlineStr">
        <is>
          <t>Partner price incl. VAT, UAH/pack</t>
        </is>
      </c>
      <c r="C30" s="65" t="n"/>
      <c r="D30" s="82" t="inlineStr">
        <is>
          <t>Step 3 ÷ step 8</t>
        </is>
      </c>
      <c r="E30" s="65" t="n"/>
      <c r="F30" s="34">
        <f>G11</f>
        <v>148.88000000000002</v>
      </c>
      <c r="G30" s="34">
        <f>G12</f>
        <v>148.88000000000002</v>
      </c>
      <c r="H30" s="34">
        <f>G13</f>
        <v>129.0293333333333</v>
      </c>
      <c r="I30" s="34">
        <f>G14</f>
        <v>129.0293333333333</v>
      </c>
      <c r="J30" s="34">
        <f>G15</f>
        <v>129.0293333333333</v>
      </c>
      <c r="K30" s="34">
        <f>G16</f>
        <v>129.0293333333333</v>
      </c>
    </row>
    <row r="31" ht="31.05" customHeight="1" s="71">
      <c r="A31" s="64" t="n">
        <v>10</v>
      </c>
      <c r="B31" s="64" t="inlineStr">
        <is>
          <t>Gross profit before bonus, UAH/pack</t>
        </is>
      </c>
      <c r="C31" s="65" t="n"/>
      <c r="D31" s="67" t="inlineStr">
        <is>
          <t>Step 9 − step 3</t>
        </is>
      </c>
      <c r="E31" s="65" t="n"/>
      <c r="F31" s="31">
        <f>N11</f>
        <v>81.88400000000001</v>
      </c>
      <c r="G31" s="31">
        <f>N12</f>
        <v>81.88400000000001</v>
      </c>
      <c r="H31" s="31">
        <f>N13</f>
        <v>70.96613333333332</v>
      </c>
      <c r="I31" s="31">
        <f>N14</f>
        <v>70.96613333333332</v>
      </c>
      <c r="J31" s="31">
        <f>N15</f>
        <v>70.96613333333332</v>
      </c>
      <c r="K31" s="31">
        <f>N16</f>
        <v>70.96613333333332</v>
      </c>
    </row>
    <row r="32" ht="31.05" customHeight="1" s="71">
      <c r="A32" s="64" t="n">
        <v>11</v>
      </c>
      <c r="B32" s="64" t="inlineStr">
        <is>
          <t>Chain bonus, UAH/pack</t>
        </is>
      </c>
      <c r="C32" s="65" t="n"/>
      <c r="D32" s="67" t="inlineStr">
        <is>
          <t>Step 9 × step 5</t>
        </is>
      </c>
      <c r="E32" s="65" t="n"/>
      <c r="F32" s="31">
        <f>H11</f>
        <v>52.108000000000004</v>
      </c>
      <c r="G32" s="31">
        <f>H12</f>
        <v>52.108000000000004</v>
      </c>
      <c r="H32" s="31">
        <f>H13</f>
        <v>45.16026666666666</v>
      </c>
      <c r="I32" s="31">
        <f>H14</f>
        <v>45.16026666666666</v>
      </c>
      <c r="J32" s="31">
        <f>H15</f>
        <v>45.16026666666666</v>
      </c>
      <c r="K32" s="31">
        <f>H16</f>
        <v>45.16026666666666</v>
      </c>
    </row>
    <row r="33" ht="31.05" customHeight="1" s="71">
      <c r="A33" s="81" t="n">
        <v>12</v>
      </c>
      <c r="B33" s="81" t="inlineStr">
        <is>
          <t>Left for us after landed cost and bonus, UAH/pack</t>
        </is>
      </c>
      <c r="C33" s="65" t="n"/>
      <c r="D33" s="66" t="inlineStr">
        <is>
          <t>Step 10 − step 11</t>
        </is>
      </c>
      <c r="E33" s="65" t="n"/>
      <c r="F33" s="36">
        <f>I11</f>
        <v>29.77600000000001</v>
      </c>
      <c r="G33" s="36">
        <f>I12</f>
        <v>29.77600000000001</v>
      </c>
      <c r="H33" s="36">
        <f>I13</f>
        <v>25.80586666666666</v>
      </c>
      <c r="I33" s="36">
        <f>I14</f>
        <v>25.80586666666666</v>
      </c>
      <c r="J33" s="36">
        <f>I15</f>
        <v>25.80586666666666</v>
      </c>
      <c r="K33" s="36">
        <f>I16</f>
        <v>25.80586666666666</v>
      </c>
    </row>
    <row r="34" ht="31.05" customHeight="1" s="71">
      <c r="A34" s="81" t="n">
        <v>13</v>
      </c>
      <c r="B34" s="81" t="inlineStr">
        <is>
          <t>Check of our margin after bonus, %</t>
        </is>
      </c>
      <c r="C34" s="65" t="n"/>
      <c r="D34" s="66" t="inlineStr">
        <is>
          <t>Step 12 ÷ step 9</t>
        </is>
      </c>
      <c r="E34" s="65" t="n"/>
      <c r="F34" s="37">
        <f>J11</f>
        <v>0.20000000000000004</v>
      </c>
      <c r="G34" s="37">
        <f>J12</f>
        <v>0.20000000000000004</v>
      </c>
      <c r="H34" s="37">
        <f>J13</f>
        <v>0.19999999999999998</v>
      </c>
      <c r="I34" s="37">
        <f>J14</f>
        <v>0.19999999999999998</v>
      </c>
      <c r="J34" s="37">
        <f>J15</f>
        <v>0.19999999999999998</v>
      </c>
      <c r="K34" s="37">
        <f>J16</f>
        <v>0.19999999999999998</v>
      </c>
    </row>
    <row r="35" ht="31.05" customHeight="1" s="71">
      <c r="A35" s="64" t="n">
        <v>14</v>
      </c>
      <c r="B35" s="64" t="inlineStr">
        <is>
          <t>Retailer markup for shelf, %</t>
        </is>
      </c>
      <c r="C35" s="65" t="n"/>
      <c r="D35" s="67" t="inlineStr">
        <is>
          <t>Multiplier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Retailer multiplier</t>
        </is>
      </c>
      <c r="C36" s="65" t="n"/>
      <c r="D36" s="67" t="inlineStr">
        <is>
          <t>1 + step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Shelf price incl. VAT, UAH/pack</t>
        </is>
      </c>
      <c r="C37" s="65" t="n"/>
      <c r="D37" s="82" t="inlineStr">
        <is>
          <t>Step 9 × step 15</t>
        </is>
      </c>
      <c r="E37" s="65" t="n"/>
      <c r="F37" s="34">
        <f>K11</f>
        <v>208.43200000000002</v>
      </c>
      <c r="G37" s="34">
        <f>K12</f>
        <v>208.43200000000002</v>
      </c>
      <c r="H37" s="34">
        <f>K13</f>
        <v>180.64106666666663</v>
      </c>
      <c r="I37" s="34">
        <f>K14</f>
        <v>180.64106666666663</v>
      </c>
      <c r="J37" s="34">
        <f>K15</f>
        <v>180.64106666666663</v>
      </c>
      <c r="K37" s="34">
        <f>K16</f>
        <v>180.64106666666663</v>
      </c>
    </row>
    <row r="38" ht="31.05" customHeight="1" s="71">
      <c r="A38" s="64" t="n">
        <v>17</v>
      </c>
      <c r="B38" s="64" t="inlineStr">
        <is>
          <t>Partner price at zero profit for us, UAH/pack</t>
        </is>
      </c>
      <c r="C38" s="65" t="n"/>
      <c r="D38" s="67" t="inlineStr">
        <is>
          <t>Step 3 ÷ step 6</t>
        </is>
      </c>
      <c r="E38" s="65" t="n"/>
      <c r="F38" s="31">
        <f>L11</f>
        <v>103.07076923076924</v>
      </c>
      <c r="G38" s="31">
        <f>L12</f>
        <v>103.07076923076924</v>
      </c>
      <c r="H38" s="31">
        <f>L13</f>
        <v>89.32799999999999</v>
      </c>
      <c r="I38" s="31">
        <f>L14</f>
        <v>89.32799999999999</v>
      </c>
      <c r="J38" s="31">
        <f>L15</f>
        <v>89.32799999999999</v>
      </c>
      <c r="K38" s="31">
        <f>L16</f>
        <v>89.32799999999999</v>
      </c>
    </row>
    <row r="39" ht="31.05" customHeight="1" s="71">
      <c r="A39" s="64" t="n">
        <v>18</v>
      </c>
      <c r="B39" s="64" t="inlineStr">
        <is>
          <t>Shelf price at zero profit for us, UAH/pack</t>
        </is>
      </c>
      <c r="C39" s="65" t="n"/>
      <c r="D39" s="67" t="inlineStr">
        <is>
          <t>Step 17 × step 15</t>
        </is>
      </c>
      <c r="E39" s="65" t="n"/>
      <c r="F39" s="31">
        <f>M11</f>
        <v>144.29907692307694</v>
      </c>
      <c r="G39" s="31">
        <f>M12</f>
        <v>144.29907692307694</v>
      </c>
      <c r="H39" s="31">
        <f>M13</f>
        <v>125.05919999999998</v>
      </c>
      <c r="I39" s="31">
        <f>M14</f>
        <v>125.05919999999998</v>
      </c>
      <c r="J39" s="31">
        <f>M15</f>
        <v>125.05919999999998</v>
      </c>
      <c r="K39" s="31">
        <f>M16</f>
        <v>125.05919999999998</v>
      </c>
    </row>
  </sheetData>
  <mergeCells count="63">
    <mergeCell ref="U9:Y9"/>
    <mergeCell ref="B7:C7"/>
    <mergeCell ref="B25:C25"/>
    <mergeCell ref="B3:C3"/>
    <mergeCell ref="D34:E34"/>
    <mergeCell ref="B22:C22"/>
    <mergeCell ref="D22:E22"/>
    <mergeCell ref="B31:C31"/>
    <mergeCell ref="B27:C27"/>
    <mergeCell ref="D31:E31"/>
    <mergeCell ref="D36:E36"/>
    <mergeCell ref="E7:K7"/>
    <mergeCell ref="E2:K2"/>
    <mergeCell ref="P9:T9"/>
    <mergeCell ref="D21:E21"/>
    <mergeCell ref="B39:C39"/>
    <mergeCell ref="B21:C21"/>
    <mergeCell ref="B2:C2"/>
    <mergeCell ref="A9:D9"/>
    <mergeCell ref="G9:J9"/>
    <mergeCell ref="E3:K3"/>
    <mergeCell ref="D27:E27"/>
    <mergeCell ref="B23:C23"/>
    <mergeCell ref="D32:E32"/>
    <mergeCell ref="B8:C8"/>
    <mergeCell ref="E9:F9"/>
    <mergeCell ref="E5:K5"/>
    <mergeCell ref="B38:C38"/>
    <mergeCell ref="E8:K8"/>
    <mergeCell ref="B29:C29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  <ignoredErrors>
    <ignoredError sqref="A1:AI59" evalError="1" formula="1" formulaRange="1" unlockedFormula="1" numberStoredAsText="1" emptyCellReference="1" twoDigitTextYear="1" listDataValidation="1" calculatedColumn="1"/>
  </ignoredError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9"/>
  <sheetViews>
    <sheetView showGridLines="0" zoomScale="60" workbookViewId="0">
      <pane xSplit="4" ySplit="10" topLeftCell="E11" activePane="bottomRight" state="frozen"/>
      <selection activeCell="T11" sqref="T11"/>
      <selection pane="topRight" activeCell="T11" sqref="T11"/>
      <selection pane="bottomLeft" activeCell="T11" sqref="T11"/>
      <selection pane="bottomRight" activeCell="L1" sqref="L1:N8"/>
    </sheetView>
  </sheetViews>
  <sheetFormatPr baseColWidth="8" defaultColWidth="8.6640625" defaultRowHeight="14.4"/>
  <cols>
    <col width="4" customWidth="1" style="71" min="1" max="1"/>
    <col width="33" customWidth="1" style="71" min="2" max="2"/>
    <col width="49" customWidth="1" style="71" min="3" max="3"/>
    <col width="19" customWidth="1" style="71" min="4" max="4"/>
    <col width="14" customWidth="1" style="71" min="5" max="5"/>
    <col width="16" customWidth="1" style="71" min="6" max="6"/>
    <col width="19" customWidth="1" style="71" min="7" max="7"/>
    <col width="17" customWidth="1" style="71" min="8" max="8"/>
    <col width="28" customWidth="1" style="71" min="9" max="9"/>
    <col width="17" customWidth="1" style="71" min="10" max="10"/>
    <col width="19" customWidth="1" style="71" min="11" max="12"/>
    <col width="18" customWidth="1" style="71" min="13" max="13"/>
    <col width="31" customWidth="1" style="71" min="14" max="15"/>
    <col width="19" customWidth="1" style="71" min="16" max="35"/>
  </cols>
  <sheetData>
    <row r="1" ht="17.25" customHeight="1" s="71">
      <c r="A1" s="21" t="n"/>
      <c r="B1" s="85" t="inlineStr">
        <is>
          <t>Ramen. Partner price and shelf price — 33 pallets / Full Truck</t>
        </is>
      </c>
      <c r="C1" s="69" t="n"/>
      <c r="D1" s="69" t="n"/>
      <c r="E1" s="69" t="n"/>
      <c r="F1" s="69" t="n"/>
      <c r="G1" s="69" t="n"/>
      <c r="H1" s="69" t="n"/>
      <c r="I1" s="69" t="n"/>
      <c r="J1" s="69" t="n"/>
      <c r="K1" s="63" t="n"/>
    </row>
    <row r="2" ht="37.5" customHeight="1" s="71">
      <c r="B2" s="72" t="inlineStr">
        <is>
          <t>Delivery scenario</t>
        </is>
      </c>
      <c r="C2" s="73" t="n"/>
      <c r="D2" s="22" t="inlineStr">
        <is>
          <t>33 pallets</t>
        </is>
      </c>
      <c r="E2" s="86" t="inlineStr">
        <is>
          <t>Ready-made landed cost from Self-Cost_Sias: AJ30:AJ35. Cost composition preserved.</t>
        </is>
      </c>
      <c r="F2" s="87" t="n"/>
      <c r="G2" s="87" t="n"/>
      <c r="H2" s="87" t="n"/>
      <c r="I2" s="87" t="n"/>
      <c r="J2" s="87" t="n"/>
      <c r="K2" s="73" t="n"/>
    </row>
    <row r="3" ht="37.5" customHeight="1" s="71">
      <c r="B3" s="62" t="inlineStr">
        <is>
          <t>Rate, UAH/EUR</t>
        </is>
      </c>
      <c r="C3" s="63" t="n"/>
      <c r="D3" s="17" t="n">
        <v>51.2</v>
      </c>
      <c r="E3" s="68" t="inlineStr">
        <is>
          <t>Rate 51.20 UAH/EUR — from Self-Cost_Sias.</t>
        </is>
      </c>
      <c r="F3" s="69" t="n"/>
      <c r="G3" s="69" t="n"/>
      <c r="H3" s="69" t="n"/>
      <c r="I3" s="69" t="n"/>
      <c r="J3" s="69" t="n"/>
      <c r="K3" s="63" t="n"/>
    </row>
    <row r="4" ht="37.5" customHeight="1" s="71">
      <c r="B4" s="62" t="inlineStr">
        <is>
          <t>Chain bonus, %</t>
        </is>
      </c>
      <c r="C4" s="63" t="n"/>
      <c r="D4" s="18" t="n">
        <v>0.35</v>
      </c>
      <c r="E4" s="68" t="str">
        <f>"Chain bonus "&amp;ROUND(D4*100,0)&amp;"%; shelf = partner price × "&amp;D6&amp;"."</f>
        <v>Chain bonus 35%; shelf = partner price × 1.4.</v>
      </c>
      <c r="F4" s="69" t="n"/>
      <c r="G4" s="69" t="n"/>
      <c r="H4" s="69" t="n"/>
      <c r="I4" s="69" t="n"/>
      <c r="J4" s="69" t="n"/>
      <c r="K4" s="63" t="n"/>
    </row>
    <row r="5" ht="61.5" customHeight="1" s="71">
      <c r="B5" s="62" t="inlineStr">
        <is>
          <t>Target margin, %</t>
        </is>
      </c>
      <c r="C5" s="63" t="n"/>
      <c r="D5" s="18" t="n">
        <v>0.2</v>
      </c>
      <c r="E5" s="68" t="str">
        <f>ROUND(D5*100,0)&amp;"% = (partner price − landed cost − bonus) / full partner price."</f>
        <v>20% = (partner price − landed cost − bonus) / full partner price.</v>
      </c>
      <c r="F5" s="69" t="n"/>
      <c r="G5" s="69" t="n"/>
      <c r="H5" s="69" t="n"/>
      <c r="I5" s="69" t="n"/>
      <c r="J5" s="69" t="n"/>
      <c r="K5" s="63" t="n"/>
    </row>
    <row r="6" ht="27.75" customHeight="1" s="71">
      <c r="B6" s="62" t="inlineStr">
        <is>
          <t>Chain markup (x)</t>
        </is>
      </c>
      <c r="C6" s="63" t="n"/>
      <c r="D6" s="17" t="n">
        <v>1.4</v>
      </c>
      <c r="E6" s="68" t="inlineStr">
        <is>
          <t>Profit after bonus = partner price − landed cost − chain bonus.</t>
        </is>
      </c>
      <c r="F6" s="69" t="n"/>
      <c r="G6" s="69" t="n"/>
      <c r="H6" s="69" t="n"/>
      <c r="I6" s="69" t="n"/>
      <c r="J6" s="69" t="n"/>
      <c r="K6" s="63" t="n"/>
    </row>
    <row r="7" ht="27.75" customHeight="1" s="71">
      <c r="B7" s="62" t="inlineStr">
        <is>
          <t>Partner price</t>
        </is>
      </c>
      <c r="C7" s="63" t="n"/>
      <c r="D7" s="19" t="inlineStr">
        <is>
          <t>incl. VAT</t>
        </is>
      </c>
      <c r="E7" s="68" t="inlineStr">
        <is>
          <t>VAT as in the example: landed cost kept in full; the price already includes VAT. No multiplication by 1.20.</t>
        </is>
      </c>
      <c r="F7" s="69" t="n"/>
      <c r="G7" s="69" t="n"/>
      <c r="H7" s="69" t="n"/>
      <c r="I7" s="69" t="n"/>
      <c r="J7" s="69" t="n"/>
      <c r="K7" s="63" t="n"/>
    </row>
    <row r="8" ht="30" customFormat="1" customHeight="1" s="20">
      <c r="B8" s="76" t="inlineStr">
        <is>
          <t>Share of price for landed cost</t>
        </is>
      </c>
      <c r="C8" s="77" t="n"/>
      <c r="D8" s="23">
        <f>IF(AND(COUNT(D3:D6)=4,D3&gt;0,D4&gt;=0,D5&gt;=0,D4+D5&lt;1,D6&gt;0),1-D4-D5,NA())</f>
        <v>0.45</v>
      </c>
      <c r="E8" s="79" t="str">
        <f>"100% − bonus − margin. Current terms: 100% − "&amp;ROUND(D4*100,0)&amp;"% − "&amp;ROUND(D5*100,0)&amp;"% = "&amp;ROUND(D8*100,0)&amp;"%."</f>
        <v>100% − bonus − margin. Current terms: 100% − 35% − 20% = 45%.</v>
      </c>
      <c r="F8" s="69" t="n"/>
      <c r="G8" s="69" t="n"/>
      <c r="H8" s="69" t="n"/>
      <c r="I8" s="69" t="n"/>
      <c r="J8" s="69" t="n"/>
      <c r="K8" s="63" t="n"/>
    </row>
    <row r="9" ht="27" customHeight="1" s="71">
      <c r="A9" s="74" t="inlineStr">
        <is>
          <t>PRODUCT</t>
        </is>
      </c>
      <c r="B9" s="69" t="n"/>
      <c r="C9" s="69" t="n"/>
      <c r="D9" s="63" t="n"/>
      <c r="E9" s="78" t="inlineStr">
        <is>
          <t>LANDED COST</t>
        </is>
      </c>
      <c r="F9" s="63" t="n"/>
      <c r="G9" s="75" t="inlineStr">
        <is>
          <t>PARTNER PRICE AND PROFIT</t>
        </is>
      </c>
      <c r="H9" s="69" t="n"/>
      <c r="I9" s="69" t="n"/>
      <c r="J9" s="63" t="n"/>
      <c r="K9" s="5" t="inlineStr">
        <is>
          <t>SHELF</t>
        </is>
      </c>
      <c r="L9" s="83" t="inlineStr">
        <is>
          <t>MODEL: ZERO MARGIN</t>
        </is>
      </c>
      <c r="M9" s="63" t="n"/>
      <c r="N9" s="84" t="inlineStr">
        <is>
          <t>PROFIT PER PACK</t>
        </is>
      </c>
      <c r="O9" s="63" t="n"/>
      <c r="P9" s="172" t="n">
        <v>0.3</v>
      </c>
      <c r="Q9" s="59" t="n"/>
      <c r="R9" s="59" t="n"/>
      <c r="S9" s="59" t="n"/>
      <c r="T9" s="60" t="n"/>
      <c r="U9" s="173" t="n">
        <v>0.25</v>
      </c>
      <c r="V9" s="59" t="n"/>
      <c r="W9" s="59" t="n"/>
      <c r="X9" s="59" t="n"/>
      <c r="Y9" s="60" t="n"/>
      <c r="Z9" s="172" t="n">
        <v>0.2</v>
      </c>
      <c r="AA9" s="59" t="n"/>
      <c r="AB9" s="59" t="n"/>
      <c r="AC9" s="59" t="n"/>
      <c r="AD9" s="60" t="n"/>
      <c r="AE9" s="173" t="n">
        <v>0.15</v>
      </c>
      <c r="AF9" s="59" t="n"/>
      <c r="AG9" s="59" t="n"/>
      <c r="AH9" s="59" t="n"/>
      <c r="AI9" s="60" t="n"/>
    </row>
    <row r="10" ht="41.4" customHeight="1" s="71">
      <c r="A10" s="6" t="inlineStr">
        <is>
          <t>№</t>
        </is>
      </c>
      <c r="B10" s="6" t="inlineStr">
        <is>
          <t>Group</t>
        </is>
      </c>
      <c r="C10" s="6" t="inlineStr">
        <is>
          <t>Item</t>
        </is>
      </c>
      <c r="D10" s="6" t="inlineStr">
        <is>
          <t>Weight, g</t>
        </is>
      </c>
      <c r="E10" s="78" t="inlineStr">
        <is>
          <t>Landed cost, EUR/pack</t>
        </is>
      </c>
      <c r="F10" s="78" t="inlineStr">
        <is>
          <t>1. Landed cost, UAH/pack</t>
        </is>
      </c>
      <c r="G10" s="75" t="inlineStr">
        <is>
          <t>2. Partner price incl. VAT</t>
        </is>
      </c>
      <c r="H10" s="75" t="inlineStr">
        <is>
          <t>3. Chain bonus, UAH</t>
        </is>
      </c>
      <c r="I10" s="75" t="inlineStr">
        <is>
          <t>4. Profit after bonus, UAH</t>
        </is>
      </c>
      <c r="J10" s="75" t="inlineStr">
        <is>
          <t>5. Margin per example</t>
        </is>
      </c>
      <c r="K10" s="5" t="inlineStr">
        <is>
          <t>6. Shelf price incl. VAT, UAH</t>
        </is>
      </c>
      <c r="L10" s="83" t="inlineStr">
        <is>
          <t>Min. partner price</t>
        </is>
      </c>
      <c r="M10" s="83" t="inlineStr">
        <is>
          <t>Min. shelf price</t>
        </is>
      </c>
      <c r="N10" s="84" t="inlineStr">
        <is>
          <t>Gross profit per example, before bonus, UAH/pack</t>
        </is>
      </c>
      <c r="O10" s="84" t="inlineStr">
        <is>
          <t>Profit after bonus per example, UAH/pack</t>
        </is>
      </c>
      <c r="P10" s="39" t="inlineStr">
        <is>
          <t>Partner price incl. VAT, UAH</t>
        </is>
      </c>
      <c r="Q10" s="39" t="inlineStr">
        <is>
          <t>Chain bonus, UAH</t>
        </is>
      </c>
      <c r="R10" s="39" t="inlineStr">
        <is>
          <t>Profit after bonus, UAH</t>
        </is>
      </c>
      <c r="S10" s="39" t="inlineStr">
        <is>
          <t>Margin check</t>
        </is>
      </c>
      <c r="T10" s="39" t="inlineStr">
        <is>
          <t>Shelf price incl. VAT, UAH</t>
        </is>
      </c>
      <c r="U10" s="44" t="inlineStr">
        <is>
          <t>Partner price incl. VAT, UAH</t>
        </is>
      </c>
      <c r="V10" s="44" t="inlineStr">
        <is>
          <t>Chain bonus, UAH</t>
        </is>
      </c>
      <c r="W10" s="44" t="inlineStr">
        <is>
          <t>Profit after bonus, UAH</t>
        </is>
      </c>
      <c r="X10" s="44" t="inlineStr">
        <is>
          <t>Margin check</t>
        </is>
      </c>
      <c r="Y10" s="44" t="inlineStr">
        <is>
          <t>Shelf price incl. VAT, UAH</t>
        </is>
      </c>
      <c r="Z10" s="39" t="inlineStr">
        <is>
          <t>Partner price incl. VAT, UAH</t>
        </is>
      </c>
      <c r="AA10" s="39" t="inlineStr">
        <is>
          <t>Chain bonus, UAH</t>
        </is>
      </c>
      <c r="AB10" s="39" t="inlineStr">
        <is>
          <t>Profit after bonus, UAH</t>
        </is>
      </c>
      <c r="AC10" s="39" t="inlineStr">
        <is>
          <t>Margin check</t>
        </is>
      </c>
      <c r="AD10" s="39" t="inlineStr">
        <is>
          <t>Shelf price incl. VAT, UAH</t>
        </is>
      </c>
      <c r="AE10" s="44" t="inlineStr">
        <is>
          <t>Partner price incl. VAT, UAH</t>
        </is>
      </c>
      <c r="AF10" s="44" t="inlineStr">
        <is>
          <t>Chain bonus, UAH</t>
        </is>
      </c>
      <c r="AG10" s="44" t="inlineStr">
        <is>
          <t>Profit after bonus, UAH</t>
        </is>
      </c>
      <c r="AH10" s="44" t="inlineStr">
        <is>
          <t>Margin check</t>
        </is>
      </c>
      <c r="AI10" s="44" t="inlineStr">
        <is>
          <t>Shelf price incl. VAT, UAH</t>
        </is>
      </c>
    </row>
    <row r="11" ht="43.5" customHeight="1" s="71">
      <c r="A11" s="7" t="n">
        <v>1</v>
      </c>
      <c r="B11" s="7" t="inlineStr">
        <is>
          <t>SIAS — pack ramen</t>
        </is>
      </c>
      <c r="C11" s="7" t="inlineStr">
        <is>
          <t>Gouda Cheese 123 g</t>
        </is>
      </c>
      <c r="D11" s="7" t="n">
        <v>123</v>
      </c>
      <c r="E11" s="24" t="n">
        <v>1.018131154266958</v>
      </c>
      <c r="F11" s="8">
        <f>IF(AND(ISNUMBER(E11),ISNUMBER($D$8)),E11*$D$3,NA())</f>
        <v>52.12831509846825</v>
      </c>
      <c r="G11" s="9">
        <f>F11/$D$8</f>
        <v>115.84070021881833</v>
      </c>
      <c r="H11" s="10">
        <f>G11*$D$4</f>
        <v>40.544245076586414</v>
      </c>
      <c r="I11" s="11">
        <f>G11-F11-H11</f>
        <v>23.168140043763664</v>
      </c>
      <c r="J11" s="12">
        <f>I11/G11</f>
        <v>0.19999999999999998</v>
      </c>
      <c r="K11" s="13">
        <f>G11*$D$6</f>
        <v>162.17698030634565</v>
      </c>
      <c r="L11" s="14">
        <f>F11/(1-$D$4)</f>
        <v>80.19740784379731</v>
      </c>
      <c r="M11" s="14">
        <f>L11*$D$6</f>
        <v>112.27637098131622</v>
      </c>
      <c r="N11" s="15">
        <f>G11-F11</f>
        <v>63.71238512035008</v>
      </c>
      <c r="O11" s="16">
        <f>N11-H11</f>
        <v>23.168140043763664</v>
      </c>
      <c r="P11" s="40">
        <f>$F11/(1-$D$4-$P$9)</f>
        <v>148.9380431384807</v>
      </c>
      <c r="Q11" s="41">
        <f>P11*$D$4</f>
        <v>52.12831509846824</v>
      </c>
      <c r="R11" s="42">
        <f>P11-$F11-Q11</f>
        <v>44.68141294154422</v>
      </c>
      <c r="S11" s="43">
        <f>R11/P11</f>
        <v>0.30000000000000004</v>
      </c>
      <c r="T11" s="40">
        <f>P11*$D$6</f>
        <v>208.51326039387297</v>
      </c>
      <c r="U11" s="40">
        <f>$F11/(1-$D$4-$U$9)</f>
        <v>130.32078774617062</v>
      </c>
      <c r="V11" s="41">
        <f>U11*$D$4</f>
        <v>45.61227571115972</v>
      </c>
      <c r="W11" s="42">
        <f>U11-$F11-V11</f>
        <v>32.580196936542656</v>
      </c>
      <c r="X11" s="43">
        <f>W11/U11</f>
        <v>0.25</v>
      </c>
      <c r="Y11" s="40">
        <f>U11*$D$6</f>
        <v>182.44910284463887</v>
      </c>
      <c r="Z11" s="40">
        <f>$F11/(1-$D$4-$Z$9)</f>
        <v>115.84070021881833</v>
      </c>
      <c r="AA11" s="41">
        <f>Z11*$D$4</f>
        <v>40.544245076586414</v>
      </c>
      <c r="AB11" s="42">
        <f>Z11-$F11-AA11</f>
        <v>23.168140043763664</v>
      </c>
      <c r="AC11" s="43">
        <f>AB11/Z11</f>
        <v>0.19999999999999998</v>
      </c>
      <c r="AD11" s="40">
        <f>Z11*$D$6</f>
        <v>162.17698030634565</v>
      </c>
      <c r="AE11" s="40">
        <f>$F11/(1-$D$4-$AE$9)</f>
        <v>104.2566301969365</v>
      </c>
      <c r="AF11" s="41">
        <f>AE11*$D$4</f>
        <v>36.48982056892777</v>
      </c>
      <c r="AG11" s="42">
        <f>AE11-$F11-AF11</f>
        <v>15.63849452954048</v>
      </c>
      <c r="AH11" s="43">
        <f>AG11/AE11</f>
        <v>0.15000000000000005</v>
      </c>
      <c r="AI11" s="40">
        <f>AE11*$D$6</f>
        <v>145.95928227571108</v>
      </c>
    </row>
    <row r="12" ht="43.5" customHeight="1" s="71">
      <c r="A12" s="7" t="n">
        <v>2</v>
      </c>
      <c r="B12" s="7" t="inlineStr">
        <is>
          <t>SIAS — pack ramen</t>
        </is>
      </c>
      <c r="C12" s="7" t="inlineStr">
        <is>
          <t>Carbonara Spicy 131 g</t>
        </is>
      </c>
      <c r="D12" s="7" t="n">
        <v>131</v>
      </c>
      <c r="E12" s="24" t="n">
        <v>1.018131154266958</v>
      </c>
      <c r="F12" s="8">
        <f>IF(AND(ISNUMBER(E12),ISNUMBER($D$8)),E12*$D$3,NA())</f>
        <v>52.12831509846825</v>
      </c>
      <c r="G12" s="9">
        <f>F12/$D$8</f>
        <v>115.84070021881833</v>
      </c>
      <c r="H12" s="10">
        <f>G12*$D$4</f>
        <v>40.544245076586414</v>
      </c>
      <c r="I12" s="11">
        <f>G12-F12-H12</f>
        <v>23.168140043763664</v>
      </c>
      <c r="J12" s="12">
        <f>I12/G12</f>
        <v>0.19999999999999998</v>
      </c>
      <c r="K12" s="13">
        <f>G12*$D$6</f>
        <v>162.17698030634565</v>
      </c>
      <c r="L12" s="14">
        <f>F12/(1-$D$4)</f>
        <v>80.19740784379731</v>
      </c>
      <c r="M12" s="14">
        <f>L12*$D$6</f>
        <v>112.27637098131622</v>
      </c>
      <c r="N12" s="15">
        <f>G12-F12</f>
        <v>63.71238512035008</v>
      </c>
      <c r="O12" s="16">
        <f>N12-H12</f>
        <v>23.168140043763664</v>
      </c>
      <c r="P12" s="40">
        <f>$F12/(1-$D$4-$P$9)</f>
        <v>148.9380431384807</v>
      </c>
      <c r="Q12" s="41">
        <f>P12*$D$4</f>
        <v>52.12831509846824</v>
      </c>
      <c r="R12" s="42">
        <f>P12-$F12-Q12</f>
        <v>44.68141294154422</v>
      </c>
      <c r="S12" s="43">
        <f>R12/P12</f>
        <v>0.30000000000000004</v>
      </c>
      <c r="T12" s="40">
        <f>P12*$D$6</f>
        <v>208.51326039387297</v>
      </c>
      <c r="U12" s="40">
        <f>$F12/(1-$D$4-$U$9)</f>
        <v>130.32078774617062</v>
      </c>
      <c r="V12" s="41">
        <f>U12*$D$4</f>
        <v>45.61227571115972</v>
      </c>
      <c r="W12" s="42">
        <f>U12-$F12-V12</f>
        <v>32.580196936542656</v>
      </c>
      <c r="X12" s="43">
        <f>W12/U12</f>
        <v>0.25</v>
      </c>
      <c r="Y12" s="40">
        <f>U12*$D$6</f>
        <v>182.44910284463887</v>
      </c>
      <c r="Z12" s="40">
        <f>$F12/(1-$D$4-$Z$9)</f>
        <v>115.84070021881833</v>
      </c>
      <c r="AA12" s="41">
        <f>Z12*$D$4</f>
        <v>40.544245076586414</v>
      </c>
      <c r="AB12" s="42">
        <f>Z12-$F12-AA12</f>
        <v>23.168140043763664</v>
      </c>
      <c r="AC12" s="43">
        <f>AB12/Z12</f>
        <v>0.19999999999999998</v>
      </c>
      <c r="AD12" s="40">
        <f>Z12*$D$6</f>
        <v>162.17698030634565</v>
      </c>
      <c r="AE12" s="40">
        <f>$F12/(1-$D$4-$AE$9)</f>
        <v>104.2566301969365</v>
      </c>
      <c r="AF12" s="41">
        <f>AE12*$D$4</f>
        <v>36.48982056892777</v>
      </c>
      <c r="AG12" s="42">
        <f>AE12-$F12-AF12</f>
        <v>15.63849452954048</v>
      </c>
      <c r="AH12" s="43">
        <f>AG12/AE12</f>
        <v>0.15000000000000005</v>
      </c>
      <c r="AI12" s="40">
        <f>AE12*$D$6</f>
        <v>145.95928227571108</v>
      </c>
    </row>
    <row r="13" ht="43.5" customHeight="1" s="71">
      <c r="A13" s="7" t="n">
        <v>3</v>
      </c>
      <c r="B13" s="7" t="inlineStr">
        <is>
          <t>SIAS — pack ramen</t>
        </is>
      </c>
      <c r="C13" s="7" t="inlineStr">
        <is>
          <t>Vegetable Flavor 113 g</t>
        </is>
      </c>
      <c r="D13" s="7" t="n">
        <v>113</v>
      </c>
      <c r="E13" s="24" t="n">
        <v>0.8823803336980306</v>
      </c>
      <c r="F13" s="8">
        <f>IF(AND(ISNUMBER(E13),ISNUMBER($D$8)),E13*$D$3,NA())</f>
        <v>45.17787308533919</v>
      </c>
      <c r="G13" s="9">
        <f>F13/$D$8</f>
        <v>100.39527352297598</v>
      </c>
      <c r="H13" s="10">
        <f>G13*$D$4</f>
        <v>35.13834573304159</v>
      </c>
      <c r="I13" s="11">
        <f>G13-F13-H13</f>
        <v>20.0790547045952</v>
      </c>
      <c r="J13" s="12">
        <f>I13/G13</f>
        <v>0.20000000000000004</v>
      </c>
      <c r="K13" s="13">
        <f>G13*$D$6</f>
        <v>140.55338293216636</v>
      </c>
      <c r="L13" s="14">
        <f>F13/(1-$D$4)</f>
        <v>69.50442013129107</v>
      </c>
      <c r="M13" s="14">
        <f>L13*$D$6</f>
        <v>97.30618818380749</v>
      </c>
      <c r="N13" s="15">
        <f>G13-F13</f>
        <v>55.21740043763679</v>
      </c>
      <c r="O13" s="16">
        <f>N13-H13</f>
        <v>20.0790547045952</v>
      </c>
      <c r="P13" s="40">
        <f>$F13/(1-$D$4-$P$9)</f>
        <v>129.0796373866834</v>
      </c>
      <c r="Q13" s="41">
        <f>P13*$D$4</f>
        <v>45.177873085339186</v>
      </c>
      <c r="R13" s="42">
        <f>P13-$F13-Q13</f>
        <v>38.723891216005015</v>
      </c>
      <c r="S13" s="43">
        <f>R13/P13</f>
        <v>0.29999999999999993</v>
      </c>
      <c r="T13" s="40">
        <f>P13*$D$6</f>
        <v>180.71149234135675</v>
      </c>
      <c r="U13" s="40">
        <f>$F13/(1-$D$4-$U$9)</f>
        <v>112.94468271334797</v>
      </c>
      <c r="V13" s="41">
        <f>U13*$D$4</f>
        <v>39.53063894967179</v>
      </c>
      <c r="W13" s="42">
        <f>U13-$F13-V13</f>
        <v>28.236170678336997</v>
      </c>
      <c r="X13" s="43">
        <f>W13/U13</f>
        <v>0.25000000000000006</v>
      </c>
      <c r="Y13" s="40">
        <f>U13*$D$6</f>
        <v>158.12255579868716</v>
      </c>
      <c r="Z13" s="40">
        <f>$F13/(1-$D$4-$Z$9)</f>
        <v>100.39527352297598</v>
      </c>
      <c r="AA13" s="41">
        <f>Z13*$D$4</f>
        <v>35.13834573304159</v>
      </c>
      <c r="AB13" s="42">
        <f>Z13-$F13-AA13</f>
        <v>20.0790547045952</v>
      </c>
      <c r="AC13" s="43">
        <f>AB13/Z13</f>
        <v>0.20000000000000004</v>
      </c>
      <c r="AD13" s="40">
        <f>Z13*$D$6</f>
        <v>140.55338293216636</v>
      </c>
      <c r="AE13" s="40">
        <f>$F13/(1-$D$4-$AE$9)</f>
        <v>90.35574617067839</v>
      </c>
      <c r="AF13" s="41">
        <f>AE13*$D$4</f>
        <v>31.624511159737434</v>
      </c>
      <c r="AG13" s="42">
        <f>AE13-$F13-AF13</f>
        <v>13.55336192560176</v>
      </c>
      <c r="AH13" s="43">
        <f>AG13/AE13</f>
        <v>0.15000000000000002</v>
      </c>
      <c r="AI13" s="40">
        <f>AE13*$D$6</f>
        <v>126.49804463894974</v>
      </c>
    </row>
    <row r="14" ht="43.5" customHeight="1" s="71">
      <c r="A14" s="7" t="n">
        <v>4</v>
      </c>
      <c r="B14" s="7" t="inlineStr">
        <is>
          <t>SIAS — pack ramen</t>
        </is>
      </c>
      <c r="C14" s="7" t="inlineStr">
        <is>
          <t>Spicy Flavor 112.5 g</t>
        </is>
      </c>
      <c r="D14" s="25" t="n">
        <v>112.5</v>
      </c>
      <c r="E14" s="24" t="n">
        <v>0.8823803336980306</v>
      </c>
      <c r="F14" s="8">
        <f>IF(AND(ISNUMBER(E14),ISNUMBER($D$8)),E14*$D$3,NA())</f>
        <v>45.17787308533919</v>
      </c>
      <c r="G14" s="9">
        <f>F14/$D$8</f>
        <v>100.39527352297598</v>
      </c>
      <c r="H14" s="10">
        <f>G14*$D$4</f>
        <v>35.13834573304159</v>
      </c>
      <c r="I14" s="11">
        <f>G14-F14-H14</f>
        <v>20.0790547045952</v>
      </c>
      <c r="J14" s="12">
        <f>I14/G14</f>
        <v>0.20000000000000004</v>
      </c>
      <c r="K14" s="13">
        <f>G14*$D$6</f>
        <v>140.55338293216636</v>
      </c>
      <c r="L14" s="14">
        <f>F14/(1-$D$4)</f>
        <v>69.50442013129107</v>
      </c>
      <c r="M14" s="14">
        <f>L14*$D$6</f>
        <v>97.30618818380749</v>
      </c>
      <c r="N14" s="15">
        <f>G14-F14</f>
        <v>55.21740043763679</v>
      </c>
      <c r="O14" s="16">
        <f>N14-H14</f>
        <v>20.0790547045952</v>
      </c>
      <c r="P14" s="40">
        <f>$F14/(1-$D$4-$P$9)</f>
        <v>129.0796373866834</v>
      </c>
      <c r="Q14" s="41">
        <f>P14*$D$4</f>
        <v>45.177873085339186</v>
      </c>
      <c r="R14" s="42">
        <f>P14-$F14-Q14</f>
        <v>38.723891216005015</v>
      </c>
      <c r="S14" s="43">
        <f>R14/P14</f>
        <v>0.29999999999999993</v>
      </c>
      <c r="T14" s="40">
        <f>P14*$D$6</f>
        <v>180.71149234135675</v>
      </c>
      <c r="U14" s="40">
        <f>$F14/(1-$D$4-$U$9)</f>
        <v>112.94468271334797</v>
      </c>
      <c r="V14" s="41">
        <f>U14*$D$4</f>
        <v>39.53063894967179</v>
      </c>
      <c r="W14" s="42">
        <f>U14-$F14-V14</f>
        <v>28.236170678336997</v>
      </c>
      <c r="X14" s="43">
        <f>W14/U14</f>
        <v>0.25000000000000006</v>
      </c>
      <c r="Y14" s="40">
        <f>U14*$D$6</f>
        <v>158.12255579868716</v>
      </c>
      <c r="Z14" s="40">
        <f>$F14/(1-$D$4-$Z$9)</f>
        <v>100.39527352297598</v>
      </c>
      <c r="AA14" s="41">
        <f>Z14*$D$4</f>
        <v>35.13834573304159</v>
      </c>
      <c r="AB14" s="42">
        <f>Z14-$F14-AA14</f>
        <v>20.0790547045952</v>
      </c>
      <c r="AC14" s="43">
        <f>AB14/Z14</f>
        <v>0.20000000000000004</v>
      </c>
      <c r="AD14" s="40">
        <f>Z14*$D$6</f>
        <v>140.55338293216636</v>
      </c>
      <c r="AE14" s="40">
        <f>$F14/(1-$D$4-$AE$9)</f>
        <v>90.35574617067839</v>
      </c>
      <c r="AF14" s="41">
        <f>AE14*$D$4</f>
        <v>31.624511159737434</v>
      </c>
      <c r="AG14" s="42">
        <f>AE14-$F14-AF14</f>
        <v>13.55336192560176</v>
      </c>
      <c r="AH14" s="43">
        <f>AG14/AE14</f>
        <v>0.15000000000000002</v>
      </c>
      <c r="AI14" s="40">
        <f>AE14*$D$6</f>
        <v>126.49804463894974</v>
      </c>
    </row>
    <row r="15" ht="43.5" customHeight="1" s="71">
      <c r="A15" s="7" t="n">
        <v>5</v>
      </c>
      <c r="B15" s="7" t="inlineStr">
        <is>
          <t>SIAS — pack ramen</t>
        </is>
      </c>
      <c r="C15" s="7" t="inlineStr">
        <is>
          <t>Beef Flavor 113 g</t>
        </is>
      </c>
      <c r="D15" s="7" t="n">
        <v>113</v>
      </c>
      <c r="E15" s="24" t="n">
        <v>0.8823803336980306</v>
      </c>
      <c r="F15" s="8">
        <f>IF(AND(ISNUMBER(E15),ISNUMBER($D$8)),E15*$D$3,NA())</f>
        <v>45.17787308533919</v>
      </c>
      <c r="G15" s="9">
        <f>F15/$D$8</f>
        <v>100.39527352297598</v>
      </c>
      <c r="H15" s="10">
        <f>G15*$D$4</f>
        <v>35.13834573304159</v>
      </c>
      <c r="I15" s="11">
        <f>G15-F15-H15</f>
        <v>20.0790547045952</v>
      </c>
      <c r="J15" s="12">
        <f>I15/G15</f>
        <v>0.20000000000000004</v>
      </c>
      <c r="K15" s="13">
        <f>G15*$D$6</f>
        <v>140.55338293216636</v>
      </c>
      <c r="L15" s="14">
        <f>F15/(1-$D$4)</f>
        <v>69.50442013129107</v>
      </c>
      <c r="M15" s="14">
        <f>L15*$D$6</f>
        <v>97.30618818380749</v>
      </c>
      <c r="N15" s="15">
        <f>G15-F15</f>
        <v>55.21740043763679</v>
      </c>
      <c r="O15" s="16">
        <f>N15-H15</f>
        <v>20.0790547045952</v>
      </c>
      <c r="P15" s="40">
        <f>$F15/(1-$D$4-$P$9)</f>
        <v>129.0796373866834</v>
      </c>
      <c r="Q15" s="41">
        <f>P15*$D$4</f>
        <v>45.177873085339186</v>
      </c>
      <c r="R15" s="42">
        <f>P15-$F15-Q15</f>
        <v>38.723891216005015</v>
      </c>
      <c r="S15" s="43">
        <f>R15/P15</f>
        <v>0.29999999999999993</v>
      </c>
      <c r="T15" s="40">
        <f>P15*$D$6</f>
        <v>180.71149234135675</v>
      </c>
      <c r="U15" s="40">
        <f>$F15/(1-$D$4-$U$9)</f>
        <v>112.94468271334797</v>
      </c>
      <c r="V15" s="41">
        <f>U15*$D$4</f>
        <v>39.53063894967179</v>
      </c>
      <c r="W15" s="42">
        <f>U15-$F15-V15</f>
        <v>28.236170678336997</v>
      </c>
      <c r="X15" s="43">
        <f>W15/U15</f>
        <v>0.25000000000000006</v>
      </c>
      <c r="Y15" s="40">
        <f>U15*$D$6</f>
        <v>158.12255579868716</v>
      </c>
      <c r="Z15" s="40">
        <f>$F15/(1-$D$4-$Z$9)</f>
        <v>100.39527352297598</v>
      </c>
      <c r="AA15" s="41">
        <f>Z15*$D$4</f>
        <v>35.13834573304159</v>
      </c>
      <c r="AB15" s="42">
        <f>Z15-$F15-AA15</f>
        <v>20.0790547045952</v>
      </c>
      <c r="AC15" s="43">
        <f>AB15/Z15</f>
        <v>0.20000000000000004</v>
      </c>
      <c r="AD15" s="40">
        <f>Z15*$D$6</f>
        <v>140.55338293216636</v>
      </c>
      <c r="AE15" s="40">
        <f>$F15/(1-$D$4-$AE$9)</f>
        <v>90.35574617067839</v>
      </c>
      <c r="AF15" s="41">
        <f>AE15*$D$4</f>
        <v>31.624511159737434</v>
      </c>
      <c r="AG15" s="42">
        <f>AE15-$F15-AF15</f>
        <v>13.55336192560176</v>
      </c>
      <c r="AH15" s="43">
        <f>AG15/AE15</f>
        <v>0.15000000000000002</v>
      </c>
      <c r="AI15" s="40">
        <f>AE15*$D$6</f>
        <v>126.49804463894974</v>
      </c>
    </row>
    <row r="16" ht="43.5" customHeight="1" s="71">
      <c r="A16" s="7" t="n">
        <v>6</v>
      </c>
      <c r="B16" s="7" t="inlineStr">
        <is>
          <t>SIAS — pack ramen</t>
        </is>
      </c>
      <c r="C16" s="7" t="inlineStr">
        <is>
          <t>Chicken Flavor 113 g</t>
        </is>
      </c>
      <c r="D16" s="7" t="n">
        <v>113</v>
      </c>
      <c r="E16" s="24" t="n">
        <v>0.8823803336980306</v>
      </c>
      <c r="F16" s="8">
        <f>IF(AND(ISNUMBER(E16),ISNUMBER($D$8)),E16*$D$3,NA())</f>
        <v>45.17787308533919</v>
      </c>
      <c r="G16" s="9">
        <f>F16/$D$8</f>
        <v>100.39527352297598</v>
      </c>
      <c r="H16" s="10">
        <f>G16*$D$4</f>
        <v>35.13834573304159</v>
      </c>
      <c r="I16" s="11">
        <f>G16-F16-H16</f>
        <v>20.0790547045952</v>
      </c>
      <c r="J16" s="12">
        <f>I16/G16</f>
        <v>0.20000000000000004</v>
      </c>
      <c r="K16" s="13">
        <f>G16*$D$6</f>
        <v>140.55338293216636</v>
      </c>
      <c r="L16" s="14">
        <f>F16/(1-$D$4)</f>
        <v>69.50442013129107</v>
      </c>
      <c r="M16" s="14">
        <f>L16*$D$6</f>
        <v>97.30618818380749</v>
      </c>
      <c r="N16" s="15">
        <f>G16-F16</f>
        <v>55.21740043763679</v>
      </c>
      <c r="O16" s="16">
        <f>N16-H16</f>
        <v>20.0790547045952</v>
      </c>
      <c r="P16" s="40">
        <f>$F16/(1-$D$4-$P$9)</f>
        <v>129.0796373866834</v>
      </c>
      <c r="Q16" s="41">
        <f>P16*$D$4</f>
        <v>45.177873085339186</v>
      </c>
      <c r="R16" s="42">
        <f>P16-$F16-Q16</f>
        <v>38.723891216005015</v>
      </c>
      <c r="S16" s="43">
        <f>R16/P16</f>
        <v>0.29999999999999993</v>
      </c>
      <c r="T16" s="40">
        <f>P16*$D$6</f>
        <v>180.71149234135675</v>
      </c>
      <c r="U16" s="40">
        <f>$F16/(1-$D$4-$U$9)</f>
        <v>112.94468271334797</v>
      </c>
      <c r="V16" s="41">
        <f>U16*$D$4</f>
        <v>39.53063894967179</v>
      </c>
      <c r="W16" s="42">
        <f>U16-$F16-V16</f>
        <v>28.236170678336997</v>
      </c>
      <c r="X16" s="43">
        <f>W16/U16</f>
        <v>0.25000000000000006</v>
      </c>
      <c r="Y16" s="40">
        <f>U16*$D$6</f>
        <v>158.12255579868716</v>
      </c>
      <c r="Z16" s="40">
        <f>$F16/(1-$D$4-$Z$9)</f>
        <v>100.39527352297598</v>
      </c>
      <c r="AA16" s="41">
        <f>Z16*$D$4</f>
        <v>35.13834573304159</v>
      </c>
      <c r="AB16" s="42">
        <f>Z16-$F16-AA16</f>
        <v>20.0790547045952</v>
      </c>
      <c r="AC16" s="43">
        <f>AB16/Z16</f>
        <v>0.20000000000000004</v>
      </c>
      <c r="AD16" s="40">
        <f>Z16*$D$6</f>
        <v>140.55338293216636</v>
      </c>
      <c r="AE16" s="40">
        <f>$F16/(1-$D$4-$AE$9)</f>
        <v>90.35574617067839</v>
      </c>
      <c r="AF16" s="41">
        <f>AE16*$D$4</f>
        <v>31.624511159737434</v>
      </c>
      <c r="AG16" s="42">
        <f>AE16-$F16-AF16</f>
        <v>13.55336192560176</v>
      </c>
      <c r="AH16" s="43">
        <f>AG16/AE16</f>
        <v>0.15000000000000002</v>
      </c>
      <c r="AI16" s="40">
        <f>AE16*$D$6</f>
        <v>126.49804463894974</v>
      </c>
    </row>
    <row r="17"/>
    <row r="18"/>
    <row r="19" ht="28.05" customHeight="1" s="71">
      <c r="A19" s="26" t="n"/>
      <c r="B19" s="88" t="inlineStr">
        <is>
          <t>Each step of price formation — per your example</t>
        </is>
      </c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</row>
    <row r="21" ht="43.95" customHeight="1" s="71">
      <c r="A21" s="27" t="inlineStr">
        <is>
          <t>№</t>
        </is>
      </c>
      <c r="B21" s="70" t="inlineStr">
        <is>
          <t>What we calculate</t>
        </is>
      </c>
      <c r="D21" s="70" t="inlineStr">
        <is>
          <t>Action</t>
        </is>
      </c>
      <c r="F21" s="27" t="str">
        <f>C11</f>
        <v>Gouda Cheese 123 g</v>
      </c>
      <c r="G21" s="27" t="str">
        <f>C12</f>
        <v>Carbonara Spicy 131 g</v>
      </c>
      <c r="H21" s="27" t="str">
        <f>C13</f>
        <v>Vegetable Flavor 113 g</v>
      </c>
      <c r="I21" s="27" t="str">
        <f>C14</f>
        <v>Spicy Flavor 112.5 g</v>
      </c>
      <c r="J21" s="27" t="str">
        <f>C15</f>
        <v>Beef Flavor 113 g</v>
      </c>
      <c r="K21" s="27" t="str">
        <f>C16</f>
        <v>Chicken Flavor 113 g</v>
      </c>
    </row>
    <row r="22" ht="31.05" customHeight="1" s="71">
      <c r="A22" s="64" t="n">
        <v>1</v>
      </c>
      <c r="B22" s="64" t="inlineStr">
        <is>
          <t>Landed cost in Ukraine, EUR/pack</t>
        </is>
      </c>
      <c r="C22" s="65" t="n"/>
      <c r="D22" s="67" t="inlineStr">
        <is>
          <t>From Self-Cost</t>
        </is>
      </c>
      <c r="E22" s="65" t="n"/>
      <c r="F22" s="29">
        <f>E11</f>
        <v>1.018131154266958</v>
      </c>
      <c r="G22" s="29">
        <f>E12</f>
        <v>1.018131154266958</v>
      </c>
      <c r="H22" s="29">
        <f>E13</f>
        <v>0.882380333698031</v>
      </c>
      <c r="I22" s="29">
        <f>E14</f>
        <v>0.882380333698031</v>
      </c>
      <c r="J22" s="29">
        <f>E15</f>
        <v>0.882380333698031</v>
      </c>
      <c r="K22" s="29">
        <f>E16</f>
        <v>0.882380333698031</v>
      </c>
    </row>
    <row r="23" ht="31.05" customHeight="1" s="71">
      <c r="A23" s="64" t="n">
        <v>2</v>
      </c>
      <c r="B23" s="64" t="inlineStr">
        <is>
          <t>Rate, UAH/EUR</t>
        </is>
      </c>
      <c r="C23" s="65" t="n"/>
      <c r="D23" s="67" t="inlineStr">
        <is>
          <t>Input in D3</t>
        </is>
      </c>
      <c r="E23" s="65" t="n"/>
      <c r="F23" s="30">
        <f>$D$3</f>
        <v>51.2</v>
      </c>
      <c r="G23" s="30">
        <f>$D$3</f>
        <v>51.2</v>
      </c>
      <c r="H23" s="30">
        <f>$D$3</f>
        <v>51.2</v>
      </c>
      <c r="I23" s="30">
        <f>$D$3</f>
        <v>51.2</v>
      </c>
      <c r="J23" s="30">
        <f>$D$3</f>
        <v>51.2</v>
      </c>
      <c r="K23" s="30">
        <f>$D$3</f>
        <v>51.2</v>
      </c>
    </row>
    <row r="24" ht="31.05" customHeight="1" s="71">
      <c r="A24" s="64" t="n">
        <v>3</v>
      </c>
      <c r="B24" s="64" t="inlineStr">
        <is>
          <t>Landed cost in Ukraine, UAH/pack</t>
        </is>
      </c>
      <c r="C24" s="65" t="n"/>
      <c r="D24" s="67" t="inlineStr">
        <is>
          <t>Step 1 × step 2</t>
        </is>
      </c>
      <c r="E24" s="65" t="n"/>
      <c r="F24" s="31">
        <f>F11</f>
        <v>52.12831509846825</v>
      </c>
      <c r="G24" s="31">
        <f>F12</f>
        <v>52.12831509846825</v>
      </c>
      <c r="H24" s="31">
        <f>F13</f>
        <v>45.17787308533919</v>
      </c>
      <c r="I24" s="31">
        <f>F14</f>
        <v>45.17787308533919</v>
      </c>
      <c r="J24" s="31">
        <f>F15</f>
        <v>45.17787308533919</v>
      </c>
      <c r="K24" s="31">
        <f>F16</f>
        <v>45.17787308533919</v>
      </c>
    </row>
    <row r="25" ht="31.05" customHeight="1" s="71">
      <c r="A25" s="64" t="n">
        <v>4</v>
      </c>
      <c r="B25" s="64" t="inlineStr">
        <is>
          <t>Full partner price, %</t>
        </is>
      </c>
      <c r="C25" s="65" t="n"/>
      <c r="D25" s="67" t="inlineStr">
        <is>
          <t>Base for all percentages</t>
        </is>
      </c>
      <c r="E25" s="65" t="n"/>
      <c r="F25" s="32" t="n">
        <v>1</v>
      </c>
      <c r="G25" s="32" t="n">
        <v>1</v>
      </c>
      <c r="H25" s="32" t="n">
        <v>1</v>
      </c>
      <c r="I25" s="32" t="n">
        <v>1</v>
      </c>
      <c r="J25" s="32" t="n">
        <v>1</v>
      </c>
      <c r="K25" s="32" t="n">
        <v>1</v>
      </c>
    </row>
    <row r="26" ht="31.05" customHeight="1" s="71">
      <c r="A26" s="64" t="n">
        <v>5</v>
      </c>
      <c r="B26" s="64" t="inlineStr">
        <is>
          <t>Chain bonus, %</t>
        </is>
      </c>
      <c r="C26" s="65" t="n"/>
      <c r="D26" s="67" t="inlineStr">
        <is>
          <t>Input in D4</t>
        </is>
      </c>
      <c r="E26" s="65" t="n"/>
      <c r="F26" s="32">
        <f>$D$4</f>
        <v>0.35</v>
      </c>
      <c r="G26" s="32">
        <f>$D$4</f>
        <v>0.35</v>
      </c>
      <c r="H26" s="32">
        <f>$D$4</f>
        <v>0.35</v>
      </c>
      <c r="I26" s="32">
        <f>$D$4</f>
        <v>0.35</v>
      </c>
      <c r="J26" s="32">
        <f>$D$4</f>
        <v>0.35</v>
      </c>
      <c r="K26" s="32">
        <f>$D$4</f>
        <v>0.35</v>
      </c>
    </row>
    <row r="27" ht="31.05" customHeight="1" s="71">
      <c r="A27" s="64" t="n">
        <v>6</v>
      </c>
      <c r="B27" s="64" t="inlineStr">
        <is>
          <t>Share of price after bonus, %</t>
        </is>
      </c>
      <c r="C27" s="65" t="n"/>
      <c r="D27" s="67" t="inlineStr">
        <is>
          <t>Step 4 − step 5</t>
        </is>
      </c>
      <c r="E27" s="65" t="n"/>
      <c r="F27" s="32">
        <f>1-$D$4</f>
        <v>0.65</v>
      </c>
      <c r="G27" s="32">
        <f>1-$D$4</f>
        <v>0.65</v>
      </c>
      <c r="H27" s="32">
        <f>1-$D$4</f>
        <v>0.65</v>
      </c>
      <c r="I27" s="32">
        <f>1-$D$4</f>
        <v>0.65</v>
      </c>
      <c r="J27" s="32">
        <f>1-$D$4</f>
        <v>0.65</v>
      </c>
      <c r="K27" s="32">
        <f>1-$D$4</f>
        <v>0.65</v>
      </c>
    </row>
    <row r="28" ht="31.05" customHeight="1" s="71">
      <c r="A28" s="64" t="n">
        <v>7</v>
      </c>
      <c r="B28" s="64" t="inlineStr">
        <is>
          <t>Our target margin, %</t>
        </is>
      </c>
      <c r="C28" s="65" t="n"/>
      <c r="D28" s="67" t="inlineStr">
        <is>
          <t>Input in D5</t>
        </is>
      </c>
      <c r="E28" s="65" t="n"/>
      <c r="F28" s="32">
        <f>$D$5</f>
        <v>0.2</v>
      </c>
      <c r="G28" s="32">
        <f>$D$5</f>
        <v>0.2</v>
      </c>
      <c r="H28" s="32">
        <f>$D$5</f>
        <v>0.2</v>
      </c>
      <c r="I28" s="32">
        <f>$D$5</f>
        <v>0.2</v>
      </c>
      <c r="J28" s="32">
        <f>$D$5</f>
        <v>0.2</v>
      </c>
      <c r="K28" s="32">
        <f>$D$5</f>
        <v>0.2</v>
      </c>
    </row>
    <row r="29" ht="31.05" customHeight="1" s="71">
      <c r="A29" s="64" t="n">
        <v>8</v>
      </c>
      <c r="B29" s="64" t="inlineStr">
        <is>
          <t>Share of price for landed cost, %</t>
        </is>
      </c>
      <c r="C29" s="65" t="n"/>
      <c r="D29" s="67" t="inlineStr">
        <is>
          <t>Step 6 − step 7</t>
        </is>
      </c>
      <c r="E29" s="65" t="n"/>
      <c r="F29" s="32">
        <f>$D$8</f>
        <v>0.45</v>
      </c>
      <c r="G29" s="32">
        <f>$D$8</f>
        <v>0.45</v>
      </c>
      <c r="H29" s="32">
        <f>$D$8</f>
        <v>0.45</v>
      </c>
      <c r="I29" s="32">
        <f>$D$8</f>
        <v>0.45</v>
      </c>
      <c r="J29" s="32">
        <f>$D$8</f>
        <v>0.45</v>
      </c>
      <c r="K29" s="32">
        <f>$D$8</f>
        <v>0.45</v>
      </c>
    </row>
    <row r="30" ht="31.05" customHeight="1" s="71">
      <c r="A30" s="80" t="n">
        <v>9</v>
      </c>
      <c r="B30" s="80" t="inlineStr">
        <is>
          <t>Partner price incl. VAT, UAH/pack</t>
        </is>
      </c>
      <c r="C30" s="65" t="n"/>
      <c r="D30" s="82" t="inlineStr">
        <is>
          <t>Step 3 ÷ step 8</t>
        </is>
      </c>
      <c r="E30" s="65" t="n"/>
      <c r="F30" s="34">
        <f>G11</f>
        <v>115.84070021881833</v>
      </c>
      <c r="G30" s="34">
        <f>G12</f>
        <v>115.84070021881833</v>
      </c>
      <c r="H30" s="34">
        <f>G13</f>
        <v>100.39527352297598</v>
      </c>
      <c r="I30" s="34">
        <f>G14</f>
        <v>100.39527352297598</v>
      </c>
      <c r="J30" s="34">
        <f>G15</f>
        <v>100.39527352297598</v>
      </c>
      <c r="K30" s="34">
        <f>G16</f>
        <v>100.39527352297598</v>
      </c>
    </row>
    <row r="31" ht="31.05" customHeight="1" s="71">
      <c r="A31" s="64" t="n">
        <v>10</v>
      </c>
      <c r="B31" s="64" t="inlineStr">
        <is>
          <t>Gross profit before bonus, UAH/pack</t>
        </is>
      </c>
      <c r="C31" s="65" t="n"/>
      <c r="D31" s="67" t="inlineStr">
        <is>
          <t>Step 9 − step 3</t>
        </is>
      </c>
      <c r="E31" s="65" t="n"/>
      <c r="F31" s="31">
        <f>N11</f>
        <v>63.71238512035008</v>
      </c>
      <c r="G31" s="31">
        <f>N12</f>
        <v>63.71238512035008</v>
      </c>
      <c r="H31" s="31">
        <f>N13</f>
        <v>55.21740043763679</v>
      </c>
      <c r="I31" s="31">
        <f>N14</f>
        <v>55.21740043763679</v>
      </c>
      <c r="J31" s="31">
        <f>N15</f>
        <v>55.21740043763679</v>
      </c>
      <c r="K31" s="31">
        <f>N16</f>
        <v>55.21740043763679</v>
      </c>
    </row>
    <row r="32" ht="31.05" customHeight="1" s="71">
      <c r="A32" s="64" t="n">
        <v>11</v>
      </c>
      <c r="B32" s="64" t="inlineStr">
        <is>
          <t>Chain bonus, UAH/pack</t>
        </is>
      </c>
      <c r="C32" s="65" t="n"/>
      <c r="D32" s="67" t="inlineStr">
        <is>
          <t>Step 9 × step 5</t>
        </is>
      </c>
      <c r="E32" s="65" t="n"/>
      <c r="F32" s="31">
        <f>H11</f>
        <v>40.544245076586414</v>
      </c>
      <c r="G32" s="31">
        <f>H12</f>
        <v>40.544245076586414</v>
      </c>
      <c r="H32" s="31">
        <f>H13</f>
        <v>35.13834573304159</v>
      </c>
      <c r="I32" s="31">
        <f>H14</f>
        <v>35.13834573304159</v>
      </c>
      <c r="J32" s="31">
        <f>H15</f>
        <v>35.13834573304159</v>
      </c>
      <c r="K32" s="31">
        <f>H16</f>
        <v>35.13834573304159</v>
      </c>
    </row>
    <row r="33" ht="31.05" customHeight="1" s="71">
      <c r="A33" s="81" t="n">
        <v>12</v>
      </c>
      <c r="B33" s="81" t="inlineStr">
        <is>
          <t>Left for us after landed cost and bonus, UAH/pack</t>
        </is>
      </c>
      <c r="C33" s="65" t="n"/>
      <c r="D33" s="66" t="inlineStr">
        <is>
          <t>Step 10 − step 11</t>
        </is>
      </c>
      <c r="E33" s="65" t="n"/>
      <c r="F33" s="36">
        <f>I11</f>
        <v>23.168140043763664</v>
      </c>
      <c r="G33" s="36">
        <f>I12</f>
        <v>23.168140043763664</v>
      </c>
      <c r="H33" s="36">
        <f>I13</f>
        <v>20.0790547045952</v>
      </c>
      <c r="I33" s="36">
        <f>I14</f>
        <v>20.0790547045952</v>
      </c>
      <c r="J33" s="36">
        <f>I15</f>
        <v>20.0790547045952</v>
      </c>
      <c r="K33" s="36">
        <f>I16</f>
        <v>20.0790547045952</v>
      </c>
    </row>
    <row r="34" ht="31.05" customHeight="1" s="71">
      <c r="A34" s="81" t="n">
        <v>13</v>
      </c>
      <c r="B34" s="81" t="inlineStr">
        <is>
          <t>Check of our margin after bonus, %</t>
        </is>
      </c>
      <c r="C34" s="65" t="n"/>
      <c r="D34" s="66" t="inlineStr">
        <is>
          <t>Step 12 ÷ step 9</t>
        </is>
      </c>
      <c r="E34" s="65" t="n"/>
      <c r="F34" s="37">
        <f>J11</f>
        <v>0.19999999999999998</v>
      </c>
      <c r="G34" s="37">
        <f>J12</f>
        <v>0.19999999999999998</v>
      </c>
      <c r="H34" s="37">
        <f>J13</f>
        <v>0.20000000000000004</v>
      </c>
      <c r="I34" s="37">
        <f>J14</f>
        <v>0.20000000000000004</v>
      </c>
      <c r="J34" s="37">
        <f>J15</f>
        <v>0.20000000000000004</v>
      </c>
      <c r="K34" s="37">
        <f>J16</f>
        <v>0.20000000000000004</v>
      </c>
    </row>
    <row r="35" ht="31.05" customHeight="1" s="71">
      <c r="A35" s="64" t="n">
        <v>14</v>
      </c>
      <c r="B35" s="64" t="inlineStr">
        <is>
          <t>Retailer markup for shelf, %</t>
        </is>
      </c>
      <c r="C35" s="65" t="n"/>
      <c r="D35" s="67" t="inlineStr">
        <is>
          <t>Multiplier D6 − 1</t>
        </is>
      </c>
      <c r="E35" s="65" t="n"/>
      <c r="F35" s="32">
        <f>$D$6-1</f>
        <v>0.3999999999999999</v>
      </c>
      <c r="G35" s="32">
        <f>$D$6-1</f>
        <v>0.3999999999999999</v>
      </c>
      <c r="H35" s="32">
        <f>$D$6-1</f>
        <v>0.3999999999999999</v>
      </c>
      <c r="I35" s="32">
        <f>$D$6-1</f>
        <v>0.3999999999999999</v>
      </c>
      <c r="J35" s="32">
        <f>$D$6-1</f>
        <v>0.3999999999999999</v>
      </c>
      <c r="K35" s="32">
        <f>$D$6-1</f>
        <v>0.3999999999999999</v>
      </c>
    </row>
    <row r="36" ht="31.05" customHeight="1" s="71">
      <c r="A36" s="64" t="n">
        <v>15</v>
      </c>
      <c r="B36" s="64" t="inlineStr">
        <is>
          <t>Retailer multiplier</t>
        </is>
      </c>
      <c r="C36" s="65" t="n"/>
      <c r="D36" s="67" t="inlineStr">
        <is>
          <t>1 + step 14</t>
        </is>
      </c>
      <c r="E36" s="65" t="n"/>
      <c r="F36" s="38">
        <f>$D$6</f>
        <v>1.4</v>
      </c>
      <c r="G36" s="38">
        <f>$D$6</f>
        <v>1.4</v>
      </c>
      <c r="H36" s="38">
        <f>$D$6</f>
        <v>1.4</v>
      </c>
      <c r="I36" s="38">
        <f>$D$6</f>
        <v>1.4</v>
      </c>
      <c r="J36" s="38">
        <f>$D$6</f>
        <v>1.4</v>
      </c>
      <c r="K36" s="38">
        <f>$D$6</f>
        <v>1.4</v>
      </c>
    </row>
    <row r="37" ht="31.05" customHeight="1" s="71">
      <c r="A37" s="80" t="n">
        <v>16</v>
      </c>
      <c r="B37" s="80" t="inlineStr">
        <is>
          <t>Shelf price incl. VAT, UAH/pack</t>
        </is>
      </c>
      <c r="C37" s="65" t="n"/>
      <c r="D37" s="82" t="inlineStr">
        <is>
          <t>Step 9 × step 15</t>
        </is>
      </c>
      <c r="E37" s="65" t="n"/>
      <c r="F37" s="34">
        <f>K11</f>
        <v>162.17698030634565</v>
      </c>
      <c r="G37" s="34">
        <f>K12</f>
        <v>162.17698030634565</v>
      </c>
      <c r="H37" s="34">
        <f>K13</f>
        <v>140.55338293216636</v>
      </c>
      <c r="I37" s="34">
        <f>K14</f>
        <v>140.55338293216636</v>
      </c>
      <c r="J37" s="34">
        <f>K15</f>
        <v>140.55338293216636</v>
      </c>
      <c r="K37" s="34">
        <f>K16</f>
        <v>140.55338293216636</v>
      </c>
    </row>
    <row r="38" ht="31.05" customHeight="1" s="71">
      <c r="A38" s="64" t="n">
        <v>17</v>
      </c>
      <c r="B38" s="64" t="inlineStr">
        <is>
          <t>Partner price at zero profit for us, UAH/pack</t>
        </is>
      </c>
      <c r="C38" s="65" t="n"/>
      <c r="D38" s="67" t="inlineStr">
        <is>
          <t>Step 3 ÷ step 6</t>
        </is>
      </c>
      <c r="E38" s="65" t="n"/>
      <c r="F38" s="31">
        <f>L11</f>
        <v>80.19740784379731</v>
      </c>
      <c r="G38" s="31">
        <f>L12</f>
        <v>80.19740784379731</v>
      </c>
      <c r="H38" s="31">
        <f>L13</f>
        <v>69.50442013129107</v>
      </c>
      <c r="I38" s="31">
        <f>L14</f>
        <v>69.50442013129107</v>
      </c>
      <c r="J38" s="31">
        <f>L15</f>
        <v>69.50442013129107</v>
      </c>
      <c r="K38" s="31">
        <f>L16</f>
        <v>69.50442013129107</v>
      </c>
    </row>
    <row r="39" ht="31.05" customHeight="1" s="71">
      <c r="A39" s="64" t="n">
        <v>18</v>
      </c>
      <c r="B39" s="64" t="inlineStr">
        <is>
          <t>Shelf price at zero profit for us, UAH/pack</t>
        </is>
      </c>
      <c r="C39" s="65" t="n"/>
      <c r="D39" s="67" t="inlineStr">
        <is>
          <t>Step 17 × step 15</t>
        </is>
      </c>
      <c r="E39" s="65" t="n"/>
      <c r="F39" s="31">
        <f>M11</f>
        <v>112.27637098131622</v>
      </c>
      <c r="G39" s="31">
        <f>M12</f>
        <v>112.27637098131622</v>
      </c>
      <c r="H39" s="31">
        <f>M13</f>
        <v>97.30618818380749</v>
      </c>
      <c r="I39" s="31">
        <f>M14</f>
        <v>97.30618818380749</v>
      </c>
      <c r="J39" s="31">
        <f>M15</f>
        <v>97.30618818380749</v>
      </c>
      <c r="K39" s="31">
        <f>M16</f>
        <v>97.30618818380749</v>
      </c>
    </row>
  </sheetData>
  <mergeCells count="63">
    <mergeCell ref="U9:Y9"/>
    <mergeCell ref="B7:C7"/>
    <mergeCell ref="B25:C25"/>
    <mergeCell ref="B3:C3"/>
    <mergeCell ref="D34:E34"/>
    <mergeCell ref="B22:C22"/>
    <mergeCell ref="D22:E22"/>
    <mergeCell ref="B31:C31"/>
    <mergeCell ref="B27:C27"/>
    <mergeCell ref="D31:E31"/>
    <mergeCell ref="D36:E36"/>
    <mergeCell ref="E7:K7"/>
    <mergeCell ref="E2:K2"/>
    <mergeCell ref="P9:T9"/>
    <mergeCell ref="D21:E21"/>
    <mergeCell ref="B39:C39"/>
    <mergeCell ref="B21:C21"/>
    <mergeCell ref="B2:C2"/>
    <mergeCell ref="A9:D9"/>
    <mergeCell ref="G9:J9"/>
    <mergeCell ref="E3:K3"/>
    <mergeCell ref="D27:E27"/>
    <mergeCell ref="B23:C23"/>
    <mergeCell ref="D32:E32"/>
    <mergeCell ref="B8:C8"/>
    <mergeCell ref="E9:F9"/>
    <mergeCell ref="E5:K5"/>
    <mergeCell ref="B38:C38"/>
    <mergeCell ref="E8:K8"/>
    <mergeCell ref="B29:C29"/>
    <mergeCell ref="B37:C37"/>
    <mergeCell ref="B34:C34"/>
    <mergeCell ref="B28:C28"/>
    <mergeCell ref="D37:E37"/>
    <mergeCell ref="E4:K4"/>
    <mergeCell ref="D28:E28"/>
    <mergeCell ref="L9:M9"/>
    <mergeCell ref="AE9:AI9"/>
    <mergeCell ref="D39:E39"/>
    <mergeCell ref="D25:E25"/>
    <mergeCell ref="N9:O9"/>
    <mergeCell ref="B6:C6"/>
    <mergeCell ref="B30:C30"/>
    <mergeCell ref="B24:C24"/>
    <mergeCell ref="B1:K1"/>
    <mergeCell ref="D24:E24"/>
    <mergeCell ref="D30:E30"/>
    <mergeCell ref="B33:C33"/>
    <mergeCell ref="D33:E33"/>
    <mergeCell ref="B5:C5"/>
    <mergeCell ref="D29:E29"/>
    <mergeCell ref="D23:E23"/>
    <mergeCell ref="D38:E38"/>
    <mergeCell ref="B19:K19"/>
    <mergeCell ref="B36:C36"/>
    <mergeCell ref="E6:K6"/>
    <mergeCell ref="B32:C32"/>
    <mergeCell ref="B26:C26"/>
    <mergeCell ref="Z9:AD9"/>
    <mergeCell ref="D26:E26"/>
    <mergeCell ref="B35:C35"/>
    <mergeCell ref="B4:C4"/>
    <mergeCell ref="D35:E35"/>
  </mergeCells>
  <conditionalFormatting sqref="E33:K36">
    <cfRule type="expression" priority="2" dxfId="0">
      <formula>$D$2="Збірний 17 м³"</formula>
    </cfRule>
  </conditionalFormatting>
  <pageMargins left="0.7" right="0.7" top="0.75" bottom="0.75" header="0.3" footer="0.3"/>
  <ignoredErrors>
    <ignoredError sqref="A1:AI59" evalError="1" formula="1" formulaRange="1" unlockedFormula="1" numberStoredAsText="1" emptyCellReference="1" twoDigitTextYear="1" listDataValidation="1" calculatedColumn="1"/>
  </ignoredErrors>
</worksheet>
</file>

<file path=xl/worksheets/sheet3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5"/>
  <sheetViews>
    <sheetView showGridLines="0" workbookViewId="0">
      <selection activeCell="C6" sqref="C6"/>
    </sheetView>
  </sheetViews>
  <sheetFormatPr baseColWidth="8" defaultRowHeight="14.4"/>
  <cols>
    <col width="38" customWidth="1" style="71" min="1" max="1"/>
    <col width="17" customWidth="1" style="71" min="2" max="2"/>
    <col width="23.88671875" customWidth="1" style="71" min="3" max="3"/>
    <col width="17" customWidth="1" style="71" min="4" max="8"/>
    <col width="17" customWidth="1" style="71" min="8" max="8"/>
    <col width="2" customWidth="1" style="71" min="9" max="9"/>
  </cols>
  <sheetData>
    <row r="1">
      <c r="A1" s="134" t="inlineStr">
        <is>
          <t>INTERNAL — not for SIAS · real chain bonus shown, landed cost not adjusted · 6 pallets</t>
        </is>
      </c>
    </row>
    <row r="2" ht="26.4" customHeight="1" s="71">
      <c r="A2" s="125" t="inlineStr">
        <is>
          <t>REQUEST TO SIAS, €/pack</t>
        </is>
      </c>
      <c r="B2" s="135">
        <f>B20</f>
        <v>0.32</v>
      </c>
      <c r="C2" s="63" t="n"/>
      <c r="D2" s="129" t="str">
        <f>"now €"&amp;B5&amp;" (4 SKUs) / €"&amp;B7&amp;" (2 SKUs)"</f>
        <v>now €0.65 (4 SKUs) / €0.75 (2 SKUs)</v>
      </c>
      <c r="E2" s="63" t="n"/>
      <c r="F2" s="128" t="str">
        <f>"reduction −"&amp;ROUND((1-B20/B5)*100,0)&amp;" % / −"&amp;ROUND((1-B20/B7)*100,0)&amp;" %"</f>
        <v>reduction −51 % / −57 %</v>
      </c>
      <c r="G2" s="63" t="n"/>
      <c r="H2" s="129" t="inlineStr">
        <is>
          <t>one price for all 6 SKUs</t>
        </is>
      </c>
    </row>
    <row r="3" ht="78" customHeight="1" s="71">
      <c r="A3" s="99" t="inlineStr">
        <is>
          <t>Scenario</t>
        </is>
      </c>
      <c r="B3" s="99" t="inlineStr">
        <is>
          <t>SIAS purchase
per pack</t>
        </is>
      </c>
      <c r="C3" s="99" t="str">
        <f>"Landed cost in Ukraine"&amp;CHAR(10)&amp;"product + costs in Ukraine"&amp;IF(G14&gt;0," + "&amp;ROUND(G14,2)&amp;" ₴ bonus compensation","")</f>
        <v>Landed cost in Ukraine
product + costs in Ukraine</v>
      </c>
      <c r="D3" s="99" t="inlineStr">
        <is>
          <t>Partner price
cost ÷ (1 − bonus − margin)</t>
        </is>
      </c>
      <c r="E3" s="99" t="str">
        <f>"Chain bonus (shown)"&amp;CHAR(10)&amp;ROUND(D14*100,0)&amp;" % of partner price"</f>
        <v>Chain bonus (shown)
35 % of partner price</v>
      </c>
      <c r="F3" s="99" t="str">
        <f>"Our profit"&amp;CHAR(10)&amp;ROUND(C14*100,0)&amp;" % of partner price"</f>
        <v>Our profit
20 % of partner price</v>
      </c>
      <c r="G3" s="99" t="inlineStr">
        <is>
          <t>Store markup
+40 % on partner price</t>
        </is>
      </c>
      <c r="H3" s="99" t="inlineStr">
        <is>
          <t>SHELF PRICE incl. VAT
partner price × 1.40</t>
        </is>
      </c>
    </row>
    <row r="4" ht="25.95" customHeight="1" s="71">
      <c r="A4" s="100" t="inlineStr">
        <is>
          <t>BEFORE · Vegetable, Spicy, Beef, Chicken
(4 SKUs)</t>
        </is>
      </c>
      <c r="B4" s="101">
        <f>B5*F14</f>
        <v>33.28</v>
      </c>
      <c r="C4" s="101">
        <f>$B$24*F14+$G$14</f>
        <v>58.063199999999995</v>
      </c>
      <c r="D4" s="101">
        <f>C4/(1-D14-C14)</f>
        <v>129.0293333333333</v>
      </c>
      <c r="E4" s="102">
        <f>D4*D14</f>
        <v>45.16026666666666</v>
      </c>
      <c r="F4" s="102">
        <f>D4-C4-E4</f>
        <v>25.80586666666666</v>
      </c>
      <c r="G4" s="102">
        <f>D4*(E14-1)</f>
        <v>51.61173333333331</v>
      </c>
      <c r="H4" s="103">
        <f>D4*E14</f>
        <v>180.64106666666663</v>
      </c>
    </row>
    <row r="5" ht="19.95" customHeight="1" s="71">
      <c r="A5" s="136" t="n"/>
      <c r="B5" s="137" t="n">
        <v>0.65</v>
      </c>
      <c r="C5" s="138">
        <f>C4/F14</f>
        <v>1.134046875</v>
      </c>
      <c r="D5" s="139">
        <f>D4/F14</f>
        <v>2.520104166666666</v>
      </c>
      <c r="E5" s="139">
        <f>E4/F14</f>
        <v>0.8820364583333331</v>
      </c>
      <c r="F5" s="139">
        <f>F4/F14</f>
        <v>0.5040208333333331</v>
      </c>
      <c r="G5" s="139">
        <f>G4/F14</f>
        <v>1.0080416666666663</v>
      </c>
      <c r="H5" s="139">
        <f>H4/F14</f>
        <v>3.5281458333333324</v>
      </c>
    </row>
    <row r="6" ht="25.95" customHeight="1" s="71">
      <c r="A6" s="108" t="inlineStr">
        <is>
          <t>BEFORE · Gouda Cheese, Carbonara Spicy
(2 SKUs)</t>
        </is>
      </c>
      <c r="B6" s="109">
        <f>B7*F14</f>
        <v>38.400000000000006</v>
      </c>
      <c r="C6" s="109">
        <f>$B$25*F14+$G$14</f>
        <v>66.99600000000001</v>
      </c>
      <c r="D6" s="109">
        <f>C6/(1-D14-C14)</f>
        <v>148.88000000000002</v>
      </c>
      <c r="E6" s="110">
        <f>D6*D14</f>
        <v>52.108000000000004</v>
      </c>
      <c r="F6" s="110">
        <f>D6-C6-E6</f>
        <v>29.77600000000001</v>
      </c>
      <c r="G6" s="110">
        <f>D6*(E14-1)</f>
        <v>59.552</v>
      </c>
      <c r="H6" s="111">
        <f>D6*E14</f>
        <v>208.43200000000002</v>
      </c>
    </row>
    <row r="7" ht="19.95" customHeight="1" s="71">
      <c r="A7" s="136" t="n"/>
      <c r="B7" s="137" t="n">
        <v>0.75</v>
      </c>
      <c r="C7" s="138">
        <f>C6/F14</f>
        <v>1.308515625</v>
      </c>
      <c r="D7" s="140">
        <f>D6/F14</f>
        <v>2.9078125000000004</v>
      </c>
      <c r="E7" s="140">
        <f>E6/F14</f>
        <v>1.017734375</v>
      </c>
      <c r="F7" s="140">
        <f>F6/F14</f>
        <v>0.5815625000000002</v>
      </c>
      <c r="G7" s="140">
        <f>G6/F14</f>
        <v>1.163125</v>
      </c>
      <c r="H7" s="140">
        <f>H6/F14</f>
        <v>4.0709375</v>
      </c>
    </row>
    <row r="8" ht="25.95" customHeight="1" s="71">
      <c r="A8" s="114" t="inlineStr">
        <is>
          <t>AFTER · SIAS request
(all 6 SKUs)</t>
        </is>
      </c>
      <c r="B8" s="115">
        <f>B9*F14</f>
        <v>16.384</v>
      </c>
      <c r="C8" s="115">
        <f>B22</f>
        <v>38.15951999999999</v>
      </c>
      <c r="D8" s="115">
        <f>C8/(1-D14-C14)</f>
        <v>84.79893333333332</v>
      </c>
      <c r="E8" s="116">
        <f>D8*D14</f>
        <v>29.67962666666666</v>
      </c>
      <c r="F8" s="116">
        <f>D8-C8-E8</f>
        <v>16.95978666666667</v>
      </c>
      <c r="G8" s="116">
        <f>D8*(E14-1)</f>
        <v>33.919573333333325</v>
      </c>
      <c r="H8" s="117">
        <f>D8*E14</f>
        <v>118.71850666666664</v>
      </c>
    </row>
    <row r="9" ht="19.95" customHeight="1" s="71">
      <c r="A9" s="136" t="n"/>
      <c r="B9" s="141">
        <f>B20</f>
        <v>0.32</v>
      </c>
      <c r="C9" s="142">
        <f>C8/F14</f>
        <v>0.7453031249999998</v>
      </c>
      <c r="D9" s="142">
        <f>D8/F14</f>
        <v>1.6562291666666664</v>
      </c>
      <c r="E9" s="142">
        <f>E8/F14</f>
        <v>0.5796802083333332</v>
      </c>
      <c r="F9" s="142">
        <f>F8/F14</f>
        <v>0.33124583333333335</v>
      </c>
      <c r="G9" s="142">
        <f>G8/F14</f>
        <v>0.6624916666666665</v>
      </c>
      <c r="H9" s="142">
        <f>H8/F14</f>
        <v>2.318720833333333</v>
      </c>
    </row>
    <row r="10" ht="24" customHeight="1" s="71">
      <c r="A10" s="121" t="inlineStr">
        <is>
          <t>CHANGE: AFTER − BEFORE (4 SKUs)</t>
        </is>
      </c>
      <c r="B10" s="143">
        <f>B8-B4</f>
        <v>-16.896</v>
      </c>
      <c r="C10" s="143">
        <f>C8-C4</f>
        <v>-19.90368</v>
      </c>
      <c r="D10" s="143">
        <f>D8-D4</f>
        <v>-44.23039999999999</v>
      </c>
      <c r="E10" s="143">
        <f>E8-E4</f>
        <v>-15.480639999999998</v>
      </c>
      <c r="F10" s="143">
        <f>F8-F4</f>
        <v>-8.84607999999999</v>
      </c>
      <c r="G10" s="143">
        <f>G8-G4</f>
        <v>-17.692159999999987</v>
      </c>
      <c r="H10" s="143">
        <f>H8-H4</f>
        <v>-61.92255999999999</v>
      </c>
    </row>
    <row r="11" ht="18" customHeight="1" s="71">
      <c r="A11" s="136" t="n"/>
      <c r="B11" s="144">
        <f>B9-B5</f>
        <v>-0.33</v>
      </c>
      <c r="C11" s="144">
        <f>C9-C5</f>
        <v>-0.38874375000000005</v>
      </c>
      <c r="D11" s="144">
        <f>D9-D5</f>
        <v>-0.8638749999999997</v>
      </c>
      <c r="E11" s="144">
        <f>E9-E5</f>
        <v>-0.3023562499999999</v>
      </c>
      <c r="F11" s="144">
        <f>F9-F5</f>
        <v>-0.1727749999999998</v>
      </c>
      <c r="G11" s="144">
        <f>G9-G5</f>
        <v>-0.3455499999999998</v>
      </c>
      <c r="H11" s="144">
        <f>H9-H5</f>
        <v>-1.2094249999999995</v>
      </c>
    </row>
    <row r="12" ht="15" customHeight="1" s="71" thickBot="1">
      <c r="A12" s="90" t="inlineStr">
        <is>
          <t>INPUTS — yellow cells can be changed, green ones are linked from the sheet "Model 6 pallets"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36" customHeight="1" s="71">
      <c r="B13" s="45" t="inlineStr">
        <is>
          <t>Shelf price, ₴</t>
        </is>
      </c>
      <c r="C13" s="45" t="inlineStr">
        <is>
          <t>Our margin</t>
        </is>
      </c>
      <c r="D13" s="45" t="inlineStr">
        <is>
          <t>Chain bonus (shown)</t>
        </is>
      </c>
      <c r="E13" s="45" t="inlineStr">
        <is>
          <t>Shelf multiplier</t>
        </is>
      </c>
      <c r="F13" s="45" t="inlineStr">
        <is>
          <t>Rate ₴/€</t>
        </is>
      </c>
      <c r="G13" s="45" t="inlineStr">
        <is>
          <t>Extra cost, ₴/pack (bonus-gap compensation)</t>
        </is>
      </c>
      <c r="H13" s="45" t="inlineStr">
        <is>
          <t>Real chain bonus (internal)</t>
        </is>
      </c>
    </row>
    <row r="14" ht="22.05" customHeight="1" s="71">
      <c r="A14" s="46" t="inlineStr">
        <is>
          <t>Target and model terms</t>
        </is>
      </c>
      <c r="B14" s="47" t="n">
        <v>120</v>
      </c>
      <c r="C14" s="145" t="n">
        <v>0.2</v>
      </c>
      <c r="D14" s="146">
        <f>'Model 6 pallets'!D4</f>
        <v>0.35</v>
      </c>
      <c r="E14" s="50">
        <f>'Model 6 pallets'!D6</f>
        <v>1.4</v>
      </c>
      <c r="F14" s="51">
        <f>'Model 6 pallets'!D3</f>
        <v>51.2</v>
      </c>
      <c r="G14" s="174">
        <f>ROUND(B14/E14*(H14-D14),2)</f>
        <v>0</v>
      </c>
      <c r="H14" s="145" t="n">
        <v>0.35</v>
      </c>
    </row>
    <row r="15">
      <c r="B15" s="45" t="inlineStr">
        <is>
          <t>Import VAT</t>
        </is>
      </c>
      <c r="C15" s="45" t="inlineStr">
        <is>
          <t>Financing</t>
        </is>
      </c>
      <c r="D15" s="45" t="inlineStr">
        <is>
          <t>Customs duty</t>
        </is>
      </c>
      <c r="E15" s="45" t="inlineStr">
        <is>
          <t>Batch freight, €</t>
        </is>
      </c>
      <c r="F15" s="45" t="inlineStr">
        <is>
          <t>Broker, €</t>
        </is>
      </c>
      <c r="G15" s="45" t="inlineStr">
        <is>
          <t>Other,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2600</v>
      </c>
      <c r="F16" s="52" t="n">
        <v>288</v>
      </c>
      <c r="G16" s="52" t="n">
        <v>42</v>
      </c>
    </row>
    <row r="17" ht="20.4" customHeight="1" s="71">
      <c r="B17" s="45" t="inlineStr">
        <is>
          <t>Freight share in customs value</t>
        </is>
      </c>
      <c r="C17" s="45" t="inlineStr">
        <is>
          <t>Pallets in batch</t>
        </is>
      </c>
      <c r="D17" s="45" t="inlineStr">
        <is>
          <t>Packs per pallet</t>
        </is>
      </c>
    </row>
    <row r="18">
      <c r="B18" s="53" t="n">
        <v>0.7</v>
      </c>
      <c r="C18" s="52" t="n">
        <v>6</v>
      </c>
      <c r="D18" s="52" t="n">
        <v>1600</v>
      </c>
    </row>
    <row r="19"/>
    <row r="20">
      <c r="A20" s="54" t="inlineStr">
        <is>
          <t>Request to SIAS, €/pack (rounded down to the euro cent)</t>
        </is>
      </c>
      <c r="B20" s="147">
        <f>ROUNDDOWN(((B14/E14*(1-D14-C14)-G14)/F14/(1+C16)-(E16+F16+G16+E16*B18*(D16+B16*(1+D16)))/(C18*D18))/((1+D16)*(1+B16)),2)</f>
        <v>0.32</v>
      </c>
    </row>
    <row r="21">
      <c r="A21" s="54" t="inlineStr">
        <is>
          <t>Maximum purchase price before rounding, €/pack</t>
        </is>
      </c>
      <c r="B21" s="148">
        <f>((B14/E14*(1-D14-C14)-G14)/F14/(1+C16)-(E16+F16+G16+E16*B18*(D16+B16*(1+D16)))/(C18*D18))/((1+D16)*(1+B16))</f>
        <v>0.3265407229965157</v>
      </c>
    </row>
    <row r="22" ht="30" customHeight="1" s="71">
      <c r="A22" s="54" t="inlineStr">
        <is>
          <t>Landed cost in Ukraine at the request (incl. extra cost), ₴/pack</t>
        </is>
      </c>
      <c r="B22" s="57">
        <f>(B20*F14+(E16+F16+G16)/(C18*D18)*F14+(B20+E16*B18/(C18*D18))*D16*F14+(B20+E16*B18/(C18*D18))*(1+D16)*B16*F14)*(1+C16)+G14</f>
        <v>38.15951999999999</v>
      </c>
    </row>
    <row r="23"/>
    <row r="24" ht="30" customHeight="1" s="71">
      <c r="A24" s="54" t="inlineStr">
        <is>
          <t>Landed cost per Self-Cost, 4 SKUs (Vegetable…), €/pack — without extra cost</t>
        </is>
      </c>
      <c r="B24" s="149">
        <f>'Model 6 pallets'!E13</f>
        <v>1.134046875</v>
      </c>
    </row>
    <row r="25" ht="30" customHeight="1" s="71">
      <c r="A25" s="54" t="inlineStr">
        <is>
          <t>Landed cost per Self-Cost, 2 SKUs (Gouda, Carbonara), €/pack — without extra cost</t>
        </is>
      </c>
      <c r="B25" s="149">
        <f>'Model 6 pallets'!E11</f>
        <v>1.308515625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  <ignoredErrors>
    <ignoredError sqref="A1:H45" evalError="1" formula="1" formulaRange="1" unlockedFormula="1" numberStoredAsText="1" emptyCellReference="1" twoDigitTextYear="1" listDataValidation="1" calculatedColumn="1"/>
  </ignoredErrors>
</worksheet>
</file>

<file path=xl/worksheets/sheet4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4"/>
  <sheetViews>
    <sheetView showGridLines="0" tabSelected="1" workbookViewId="0">
      <selection activeCell="B8" sqref="B8"/>
    </sheetView>
  </sheetViews>
  <sheetFormatPr baseColWidth="8" defaultRowHeight="14.4"/>
  <cols>
    <col width="38" customWidth="1" style="71" min="1" max="1"/>
    <col width="17" customWidth="1" style="71" min="2" max="8"/>
    <col width="17" customWidth="1" style="71" min="8" max="8"/>
    <col width="2" customWidth="1" style="71" min="9" max="9"/>
  </cols>
  <sheetData>
    <row r="1">
      <c r="A1" s="150" t="inlineStr">
        <is>
          <t>INTERNAL — not for SIAS · real chain bonus shown, landed cost not adjusted · 33 pallets (Full Truck)</t>
        </is>
      </c>
    </row>
    <row r="2" ht="26.4" customHeight="1" s="71">
      <c r="A2" s="92" t="inlineStr">
        <is>
          <t>REQUEST TO SIAS, €/pack</t>
        </is>
      </c>
      <c r="B2" s="151">
        <f>B19</f>
        <v>0.54</v>
      </c>
      <c r="C2" s="152" t="n"/>
      <c r="D2" s="98" t="str">
        <f>"now €"&amp;B5&amp;" (4 SKUs) / €"&amp;B7&amp;" (2 SKUs)"</f>
        <v>now €0.65 (4 SKUs) / €0.75 (2 SKUs)</v>
      </c>
      <c r="E2" s="152" t="n"/>
      <c r="F2" s="97" t="str">
        <f>"reduction −"&amp;ROUND((1-B19/B5)*100,0)&amp;" % / −"&amp;ROUND((1-B19/B7)*100,0)&amp;" %"</f>
        <v>reduction −17 % / −28 %</v>
      </c>
      <c r="G2" s="152" t="n"/>
      <c r="H2" s="98" t="inlineStr">
        <is>
          <t>one price for all 6 SKUs</t>
        </is>
      </c>
    </row>
    <row r="3" ht="78" customHeight="1" s="71">
      <c r="A3" s="99" t="inlineStr">
        <is>
          <t>Scenario</t>
        </is>
      </c>
      <c r="B3" s="99" t="inlineStr">
        <is>
          <t>SIAS purchase
per pack</t>
        </is>
      </c>
      <c r="C3" s="99" t="str">
        <f>"Landed cost in Ukraine"&amp;CHAR(10)&amp;"product + costs in Ukraine"&amp;IF(G14&gt;0," + "&amp;ROUND(G14,2)&amp;" ₴ bonus compensation","")</f>
        <v>Landed cost in Ukraine
product + costs in Ukraine</v>
      </c>
      <c r="D3" s="99" t="inlineStr">
        <is>
          <t>Partner price
cost ÷ (1 − bonus − margin)</t>
        </is>
      </c>
      <c r="E3" s="99" t="str">
        <f>"Chain bonus (shown)"&amp;CHAR(10)&amp;ROUND(D14*100,0)&amp;" % of partner price"</f>
        <v>Chain bonus (shown)
35 % of partner price</v>
      </c>
      <c r="F3" s="99" t="str">
        <f>"Our profit"&amp;CHAR(10)&amp;ROUND(C14*100,0)&amp;" % of partner price"</f>
        <v>Our profit
20 % of partner price</v>
      </c>
      <c r="G3" s="99" t="inlineStr">
        <is>
          <t>Store markup
+40 % on partner price</t>
        </is>
      </c>
      <c r="H3" s="99" t="inlineStr">
        <is>
          <t>SHELF PRICE incl. VAT
partner price × 1.40</t>
        </is>
      </c>
    </row>
    <row r="4" ht="25.95" customHeight="1" s="71">
      <c r="A4" s="100" t="inlineStr">
        <is>
          <t>BEFORE · Vegetable, Spicy, Beef, Chicken
(4 SKUs)</t>
        </is>
      </c>
      <c r="B4" s="101">
        <f>B5*F14</f>
        <v>33.28</v>
      </c>
      <c r="C4" s="101">
        <f>$B$23*F14+$G$14</f>
        <v>45.17787308533919</v>
      </c>
      <c r="D4" s="101">
        <f>C4/(1-D14-C14)</f>
        <v>100.39527352297598</v>
      </c>
      <c r="E4" s="102">
        <f>D4*D14</f>
        <v>35.13834573304159</v>
      </c>
      <c r="F4" s="102">
        <f>D4-C4-E4</f>
        <v>20.0790547045952</v>
      </c>
      <c r="G4" s="102">
        <f>D4*(E14-1)</f>
        <v>40.15810940919039</v>
      </c>
      <c r="H4" s="103">
        <f>D4*E14</f>
        <v>140.55338293216636</v>
      </c>
    </row>
    <row r="5">
      <c r="A5" s="136" t="n"/>
      <c r="B5" s="137" t="n">
        <v>0.65</v>
      </c>
      <c r="C5" s="138">
        <f>C4/F14</f>
        <v>0.882380333698031</v>
      </c>
      <c r="D5" s="139">
        <f>D4/F14</f>
        <v>1.9608451859956246</v>
      </c>
      <c r="E5" s="139">
        <f>E4/F14</f>
        <v>0.6862958150984685</v>
      </c>
      <c r="F5" s="139">
        <f>F4/F14</f>
        <v>0.392169037199125</v>
      </c>
      <c r="G5" s="139">
        <f>G4/F14</f>
        <v>0.7843380743982498</v>
      </c>
      <c r="H5" s="139">
        <f>H4/F14</f>
        <v>2.745183260393874</v>
      </c>
    </row>
    <row r="6" ht="25.95" customHeight="1" s="71">
      <c r="A6" s="108" t="inlineStr">
        <is>
          <t>BEFORE · Gouda Cheese, Carbonara Spicy
(2 SKUs)</t>
        </is>
      </c>
      <c r="B6" s="109">
        <f>B7*F14</f>
        <v>38.400000000000006</v>
      </c>
      <c r="C6" s="109">
        <f>$B$24*F14+$G$14</f>
        <v>52.12831509846825</v>
      </c>
      <c r="D6" s="109">
        <f>C6/(1-D14-C14)</f>
        <v>115.84070021881833</v>
      </c>
      <c r="E6" s="110">
        <f>D6*D14</f>
        <v>40.544245076586414</v>
      </c>
      <c r="F6" s="110">
        <f>D6-C6-E6</f>
        <v>23.168140043763664</v>
      </c>
      <c r="G6" s="110">
        <f>D6*(E14-1)</f>
        <v>46.33628008752732</v>
      </c>
      <c r="H6" s="111">
        <f>D6*E14</f>
        <v>162.17698030634565</v>
      </c>
    </row>
    <row r="7" ht="19.95" customHeight="1" s="71">
      <c r="A7" s="136" t="n"/>
      <c r="B7" s="137" t="n">
        <v>0.75</v>
      </c>
      <c r="C7" s="138">
        <f>C6/F14</f>
        <v>1.018131154266958</v>
      </c>
      <c r="D7" s="140">
        <f>D6/F14</f>
        <v>2.2625136761487954</v>
      </c>
      <c r="E7" s="140">
        <f>E6/F14</f>
        <v>0.7918797866520784</v>
      </c>
      <c r="F7" s="140">
        <f>F6/F14</f>
        <v>0.45250273522975903</v>
      </c>
      <c r="G7" s="140">
        <f>G6/F14</f>
        <v>0.905005470459518</v>
      </c>
      <c r="H7" s="140">
        <f>H6/F14</f>
        <v>3.1675191466083135</v>
      </c>
    </row>
    <row r="8" ht="25.95" customHeight="1" s="71">
      <c r="A8" s="114" t="inlineStr">
        <is>
          <t>AFTER · SIAS request
(all 6 SKUs)</t>
        </is>
      </c>
      <c r="B8" s="115">
        <f>B9*F14</f>
        <v>27.648000000000003</v>
      </c>
      <c r="C8" s="115">
        <f>B21</f>
        <v>38.52747636363637</v>
      </c>
      <c r="D8" s="115">
        <f>C8/(1-D14-C14)</f>
        <v>85.61661414141415</v>
      </c>
      <c r="E8" s="116">
        <f>D8*D14</f>
        <v>29.96581494949495</v>
      </c>
      <c r="F8" s="116">
        <f>D8-C8-E8</f>
        <v>17.12332282828283</v>
      </c>
      <c r="G8" s="116">
        <f>D8*(E14-1)</f>
        <v>34.246645656565654</v>
      </c>
      <c r="H8" s="117">
        <f>D8*E14</f>
        <v>119.8632597979798</v>
      </c>
    </row>
    <row r="9" ht="19.95" customHeight="1" s="71">
      <c r="A9" s="136" t="n"/>
      <c r="B9" s="141">
        <f>B19</f>
        <v>0.54</v>
      </c>
      <c r="C9" s="142">
        <f>C8/F14</f>
        <v>0.7524897727272728</v>
      </c>
      <c r="D9" s="142">
        <f>D8/F14</f>
        <v>1.672199494949495</v>
      </c>
      <c r="E9" s="142">
        <f>E8/F14</f>
        <v>0.5852698232323231</v>
      </c>
      <c r="F9" s="142">
        <f>F8/F14</f>
        <v>0.334439898989899</v>
      </c>
      <c r="G9" s="142">
        <f>G8/F14</f>
        <v>0.6688797979797979</v>
      </c>
      <c r="H9" s="142">
        <f>H8/F14</f>
        <v>2.3410792929292925</v>
      </c>
    </row>
    <row r="10" ht="24" customHeight="1" s="71">
      <c r="A10" s="121" t="inlineStr">
        <is>
          <t>CHANGE: AFTER − BEFORE (4 SKUs)</t>
        </is>
      </c>
      <c r="B10" s="143">
        <f>B8-B4</f>
        <v>-5.631999999999998</v>
      </c>
      <c r="C10" s="143">
        <f>C8-C4</f>
        <v>-6.650396721702826</v>
      </c>
      <c r="D10" s="143">
        <f>D8-D4</f>
        <v>-14.778659381561837</v>
      </c>
      <c r="E10" s="143">
        <f>E8-E4</f>
        <v>-5.172530783546641</v>
      </c>
      <c r="F10" s="143">
        <f>F8-F4</f>
        <v>-2.9557318763123703</v>
      </c>
      <c r="G10" s="143">
        <f>G8-G4</f>
        <v>-5.911463752624734</v>
      </c>
      <c r="H10" s="143">
        <f>H8-H4</f>
        <v>-20.690123134186564</v>
      </c>
    </row>
    <row r="11" ht="18" customHeight="1" s="71">
      <c r="A11" s="136" t="n"/>
      <c r="B11" s="144">
        <f>B9-B5</f>
        <v>-0.10999999999999999</v>
      </c>
      <c r="C11" s="144">
        <f>C9-C5</f>
        <v>-0.12989056097075824</v>
      </c>
      <c r="D11" s="144">
        <f>D9-D5</f>
        <v>-0.2886456910461297</v>
      </c>
      <c r="E11" s="144">
        <f>E9-E5</f>
        <v>-0.10102599186614536</v>
      </c>
      <c r="F11" s="144">
        <f>F9-F5</f>
        <v>-0.05772913820922598</v>
      </c>
      <c r="G11" s="144">
        <f>G9-G5</f>
        <v>-0.11545827641845186</v>
      </c>
      <c r="H11" s="144">
        <f>H9-H5</f>
        <v>-0.40410396746458144</v>
      </c>
    </row>
    <row r="12" ht="15" customHeight="1" s="71" thickBot="1">
      <c r="A12" s="90" t="inlineStr">
        <is>
          <t>INPUTS — yellow cells can be changed, green ones are linked from the sheet "Model 33 pallets"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36" customHeight="1" s="71">
      <c r="B13" s="45" t="inlineStr">
        <is>
          <t>Shelf price, ₴</t>
        </is>
      </c>
      <c r="C13" s="45" t="inlineStr">
        <is>
          <t>Our margin</t>
        </is>
      </c>
      <c r="D13" s="45" t="inlineStr">
        <is>
          <t>Chain bonus (shown)</t>
        </is>
      </c>
      <c r="E13" s="45" t="inlineStr">
        <is>
          <t>Shelf multiplier</t>
        </is>
      </c>
      <c r="F13" s="45" t="inlineStr">
        <is>
          <t>Rate ₴/€</t>
        </is>
      </c>
      <c r="G13" s="45" t="inlineStr">
        <is>
          <t>Extra cost, ₴/pack (bonus-gap compensation)</t>
        </is>
      </c>
      <c r="H13" s="45" t="inlineStr">
        <is>
          <t>Real chain bonus (internal)</t>
        </is>
      </c>
    </row>
    <row r="14" ht="22.05" customHeight="1" s="71">
      <c r="A14" s="46" t="inlineStr">
        <is>
          <t>Target and model terms</t>
        </is>
      </c>
      <c r="B14" s="47" t="n">
        <v>120</v>
      </c>
      <c r="C14" s="145" t="n">
        <v>0.2</v>
      </c>
      <c r="D14" s="146">
        <f>'Model 33 pallets'!D4</f>
        <v>0.35</v>
      </c>
      <c r="E14" s="50">
        <f>'Model 33 pallets'!D6</f>
        <v>1.4</v>
      </c>
      <c r="F14" s="51">
        <f>'Model 33 pallets'!D3</f>
        <v>51.2</v>
      </c>
      <c r="G14" s="174">
        <f>ROUND(B14/E14*(H14-D14),2)</f>
        <v>0</v>
      </c>
      <c r="H14" s="145" t="n">
        <v>0.35</v>
      </c>
    </row>
    <row r="15">
      <c r="B15" s="45" t="inlineStr">
        <is>
          <t>Import VAT</t>
        </is>
      </c>
      <c r="C15" s="45" t="inlineStr">
        <is>
          <t>Financing</t>
        </is>
      </c>
      <c r="D15" s="45" t="inlineStr">
        <is>
          <t>Customs duty</t>
        </is>
      </c>
      <c r="E15" s="45" t="inlineStr">
        <is>
          <t>Batch freight, €</t>
        </is>
      </c>
      <c r="F15" s="45" t="inlineStr">
        <is>
          <t>Broker, €</t>
        </is>
      </c>
      <c r="G15" s="45" t="inlineStr">
        <is>
          <t>Other,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3700</v>
      </c>
      <c r="F16" s="52" t="n">
        <v>288</v>
      </c>
      <c r="G16" s="52" t="n">
        <v>42</v>
      </c>
    </row>
    <row r="17" ht="20.4" customHeight="1" s="71">
      <c r="B17" s="45" t="inlineStr">
        <is>
          <t>Freight share in customs value</t>
        </is>
      </c>
      <c r="C17" s="45" t="inlineStr">
        <is>
          <t>Pallets in batch</t>
        </is>
      </c>
      <c r="D17" s="45" t="inlineStr">
        <is>
          <t>Packs per pallet</t>
        </is>
      </c>
    </row>
    <row r="18">
      <c r="B18" s="53" t="n">
        <v>0.7</v>
      </c>
      <c r="C18" s="52" t="n">
        <v>33</v>
      </c>
      <c r="D18" s="52" t="n">
        <v>1600</v>
      </c>
    </row>
    <row r="19">
      <c r="A19" s="54" t="inlineStr">
        <is>
          <t>Request to SIAS, €/pack (rounded down to the euro cent)</t>
        </is>
      </c>
      <c r="B19" s="147">
        <f>ROUNDDOWN(((B14/E14*(1-D14-C14)-G14)/F14/(1+C16)-(E16+F16+G16+E16*B18*(D16+B16*(1+D16)))/(C18*D18))/((1+D16)*(1+B16)),2)</f>
        <v>0.54</v>
      </c>
    </row>
    <row r="20">
      <c r="A20" s="54" t="inlineStr">
        <is>
          <t>Maximum purchase price before rounding, €/pack</t>
        </is>
      </c>
      <c r="B20" s="148">
        <f>((B14/E14*(1-D14-C14)-G14)/F14/(1+C16)-(E16+F16+G16+E16*B18*(D16+B16*(1+D16)))/(C18*D18))/((1+D16)*(1+B16))</f>
        <v>0.5406979199662126</v>
      </c>
    </row>
    <row r="21" ht="30" customHeight="1" s="71">
      <c r="A21" s="54" t="inlineStr">
        <is>
          <t>Landed cost in Ukraine at the request (incl. extra cost), ₴/pack</t>
        </is>
      </c>
      <c r="B21" s="57">
        <f>(B19*F14+(E16+F16+G16)/(C18*D18)*F14+(B19+E16*B18/(C18*D18))*D16*F14+(B19+E16*B18/(C18*D18))*(1+D16)*B16*F14)*(1+C16)+G14</f>
        <v>38.52747636363637</v>
      </c>
    </row>
    <row r="22"/>
    <row r="23" ht="30" customHeight="1" s="71">
      <c r="A23" s="54" t="inlineStr">
        <is>
          <t>Landed cost per Self-Cost, 4 SKUs (Vegetable…), €/pack — without extra cost</t>
        </is>
      </c>
      <c r="B23" s="149">
        <f>'Model 33 pallets'!E13</f>
        <v>0.882380333698031</v>
      </c>
    </row>
    <row r="24" ht="30" customHeight="1" s="71">
      <c r="A24" s="54" t="inlineStr">
        <is>
          <t>Landed cost per Self-Cost, 2 SKUs (Gouda, Carbonara), €/pack — without extra cost</t>
        </is>
      </c>
      <c r="B24" s="149">
        <f>'Model 33 pallets'!E11</f>
        <v>1.018131154266958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  <ignoredErrors>
    <ignoredError sqref="A1:H44" evalError="1" formula="1" formulaRange="1" unlockedFormula="1" numberStoredAsText="1" emptyCellReference="1" twoDigitTextYear="1" listDataValidation="1" calculatedColumn="1"/>
  </ignoredError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style="71" min="1" max="1"/>
    <col width="12" customWidth="1" style="71" min="2" max="2"/>
    <col width="14" customWidth="1" style="71" min="3" max="3"/>
    <col width="15" customWidth="1" style="71" min="4" max="4"/>
    <col width="14" customWidth="1" style="71" min="5" max="5"/>
    <col width="14" customWidth="1" style="71" min="6" max="6"/>
    <col width="18" customWidth="1" style="71" min="7" max="7"/>
    <col width="16" customWidth="1" style="71" min="8" max="8"/>
    <col width="15" customWidth="1" style="71" min="9" max="9"/>
    <col width="15" customWidth="1" style="71" min="10" max="10"/>
    <col width="12" customWidth="1" style="71" min="11" max="11"/>
    <col width="15" customWidth="1" style="71" min="12" max="12"/>
    <col width="15" customWidth="1" style="71" min="13" max="13"/>
    <col width="12" customWidth="1" style="71" min="14" max="14"/>
  </cols>
  <sheetData>
    <row r="1" ht="26" customHeight="1" s="71">
      <c r="A1" s="153" t="inlineStr">
        <is>
          <t>INTERNAL FILE — for us only · Price-structure scenarios: the request to SIAS at a different margin, chain bonus and extra cost</t>
        </is>
      </c>
    </row>
    <row r="2" ht="30" customHeight="1" s="71">
      <c r="A2" s="154" t="str">
        <f>"The request depends on the sum of bonus + margin and on extra cost: allowed landed cost = partner price × (1 − bonus − margin) − extra cost. 1 p.p. of margin or bonus = "&amp;ROUND(E5/100,2)&amp;" ₴ per pack = €"&amp;ROUND(E5/100/D5/(1+C5)/((1+G5)*(1+F5)),4)&amp;" on the request."</f>
        <v>The request depends on the sum of bonus + margin and on extra cost: allowed landed cost = partner price × (1 − bonus − margin) − extra cost. 1 p.p. of margin or bonus = 0.86 ₴ per pack = €0.0136 on the request.</v>
      </c>
    </row>
    <row r="3"/>
    <row r="4" ht="24" customHeight="1" s="71">
      <c r="A4" s="155" t="inlineStr">
        <is>
          <t>Shelf price, ₴</t>
        </is>
      </c>
      <c r="B4" s="155" t="inlineStr">
        <is>
          <t>Shelf multiplier</t>
        </is>
      </c>
      <c r="C4" s="155" t="inlineStr">
        <is>
          <t>Financing</t>
        </is>
      </c>
      <c r="D4" s="155" t="inlineStr">
        <is>
          <t>Rate ₴/€</t>
        </is>
      </c>
      <c r="E4" s="155" t="inlineStr">
        <is>
          <t>Partner price at shelf price, ₴</t>
        </is>
      </c>
      <c r="F4" s="155" t="inlineStr">
        <is>
          <t>Import VAT</t>
        </is>
      </c>
      <c r="G4" s="155" t="inlineStr">
        <is>
          <t>Customs duty</t>
        </is>
      </c>
    </row>
    <row r="5" ht="22" customHeight="1" s="71">
      <c r="A5" s="156">
        <f>'Price 120 UAH - 33 pallets'!B14</f>
        <v>120</v>
      </c>
      <c r="B5" s="157">
        <f>'Price 120 UAH - 33 pallets'!E14</f>
        <v>1.4</v>
      </c>
      <c r="C5" s="158">
        <f>'Price 120 UAH - 33 pallets'!C16</f>
        <v>0.025</v>
      </c>
      <c r="D5" s="159">
        <f>'Price 120 UAH - 33 pallets'!F14</f>
        <v>51.2</v>
      </c>
      <c r="E5" s="160">
        <f>A5/B5</f>
        <v>85.71428571428572</v>
      </c>
      <c r="F5" s="158">
        <f>'Price 120 UAH - 33 pallets'!B16</f>
        <v>0.2</v>
      </c>
      <c r="G5" s="158">
        <f>'Price 120 UAH - 33 pallets'!D16</f>
        <v>0</v>
      </c>
    </row>
    <row r="6"/>
    <row r="7" ht="52" customHeight="1" s="71">
      <c r="A7" s="161" t="inlineStr">
        <is>
          <t>Scenario</t>
        </is>
      </c>
      <c r="B7" s="161" t="inlineStr">
        <is>
          <t>Chain bonus</t>
        </is>
      </c>
      <c r="C7" s="161" t="inlineStr">
        <is>
          <t>Margin shown</t>
        </is>
      </c>
      <c r="D7" s="161" t="inlineStr">
        <is>
          <t>Extra cost in landed cost, ₴/pack</t>
        </is>
      </c>
      <c r="E7" s="161" t="inlineStr">
        <is>
          <t>Chain bonus, ₴</t>
        </is>
      </c>
      <c r="F7" s="161" t="inlineStr">
        <is>
          <t>Our profit, ₴</t>
        </is>
      </c>
      <c r="G7" s="161" t="inlineStr">
        <is>
          <t>Landed-cost budget (product + costs + extra), ₴</t>
        </is>
      </c>
      <c r="H7" s="161" t="inlineStr">
        <is>
          <t>Product landed cost in Ukraine, ₴</t>
        </is>
      </c>
      <c r="I7" s="161" t="inlineStr">
        <is>
          <t>33 pallets: max purchase, €</t>
        </is>
      </c>
      <c r="J7" s="161" t="inlineStr">
        <is>
          <t>33 pallets: REQUEST TO SIAS, €</t>
        </is>
      </c>
      <c r="K7" s="161" t="inlineStr">
        <is>
          <t>vs current €0.65, %</t>
        </is>
      </c>
      <c r="L7" s="161" t="inlineStr">
        <is>
          <t>6 pallets: max purchase, €</t>
        </is>
      </c>
      <c r="M7" s="161" t="inlineStr">
        <is>
          <t>6 pallets: REQUEST TO SIAS, €</t>
        </is>
      </c>
      <c r="N7" s="161" t="inlineStr">
        <is>
          <t>vs current €0.65, %</t>
        </is>
      </c>
    </row>
    <row r="8" ht="20" customHeight="1" s="71">
      <c r="A8" s="162" t="inlineStr">
        <is>
          <t>BASE · previous version of the model</t>
        </is>
      </c>
    </row>
    <row r="9" ht="34" customHeight="1" s="71">
      <c r="A9" s="163" t="inlineStr">
        <is>
          <t>Previous: bonus 25 % + margin 30 %</t>
        </is>
      </c>
      <c r="B9" s="164" t="n">
        <v>0.25</v>
      </c>
      <c r="C9" s="164" t="n">
        <v>0.3</v>
      </c>
      <c r="D9" s="165" t="n">
        <v>0</v>
      </c>
      <c r="E9" s="166">
        <f>$E$5*B9</f>
        <v>21.42857142857143</v>
      </c>
      <c r="F9" s="166">
        <f>$E$5*C9</f>
        <v>25.714285714285715</v>
      </c>
      <c r="G9" s="166">
        <f>$E$5-E9-F9</f>
        <v>38.57142857142858</v>
      </c>
      <c r="H9" s="166">
        <f>G9-D9</f>
        <v>38.57142857142858</v>
      </c>
      <c r="I9" s="167">
        <f>(($H9/$D$5/(1+$C$5)-('Price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0.5406979199662126</v>
      </c>
      <c r="J9" s="168">
        <f>ROUNDDOWN((($H9/$D$5/(1+$C$5)-('Price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9" s="175">
        <f>J9/0.65-1</f>
        <v>-0.16923076923076918</v>
      </c>
      <c r="L9" s="167">
        <f>(($H9/$D$5/(1+$C$5)-('Price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0.3265407229965157</v>
      </c>
      <c r="M9" s="168">
        <f>ROUNDDOWN((($H9/$D$5/(1+$C$5)-('Price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9" s="175">
        <f>M9/0.65-1</f>
        <v>-0.5076923076923077</v>
      </c>
    </row>
    <row r="10" ht="20" customHeight="1" s="71">
      <c r="A10" s="162" t="inlineStr">
        <is>
          <t>SAME REQUEST PRICE, different structure (the sum of bonus + margin + extra cost does not change)</t>
        </is>
      </c>
    </row>
    <row r="11" ht="34" customHeight="1" s="71">
      <c r="A11" s="170" t="inlineStr">
        <is>
          <t>★ Chain bonus 35 % + margin 20 % (no extra cost)</t>
        </is>
      </c>
      <c r="B11" s="164" t="n">
        <v>0.35</v>
      </c>
      <c r="C11" s="164" t="n">
        <v>0.2</v>
      </c>
      <c r="D11" s="165" t="n">
        <v>0</v>
      </c>
      <c r="E11" s="166">
        <f>$E$5*B11</f>
        <v>30</v>
      </c>
      <c r="F11" s="166">
        <f>$E$5*C11</f>
        <v>17.142857142857146</v>
      </c>
      <c r="G11" s="166">
        <f>$E$5-E11-F11</f>
        <v>38.57142857142858</v>
      </c>
      <c r="H11" s="166">
        <f>G11-D11</f>
        <v>38.57142857142858</v>
      </c>
      <c r="I11" s="167">
        <f>(($H11/$D$5/(1+$C$5)-('Price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0.5406979199662126</v>
      </c>
      <c r="J11" s="168">
        <f>ROUNDDOWN((($H11/$D$5/(1+$C$5)-('Price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1" s="175">
        <f>J11/0.65-1</f>
        <v>-0.16923076923076918</v>
      </c>
      <c r="L11" s="167">
        <f>(($H11/$D$5/(1+$C$5)-('Price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0.3265407229965157</v>
      </c>
      <c r="M11" s="168">
        <f>ROUNDDOWN((($H11/$D$5/(1+$C$5)-('Price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1" s="175">
        <f>M11/0.65-1</f>
        <v>-0.5076923076923077</v>
      </c>
    </row>
    <row r="12" ht="34" customHeight="1" s="71">
      <c r="A12" s="163" t="inlineStr">
        <is>
          <t>Bonus 30 % + margin 25 %</t>
        </is>
      </c>
      <c r="B12" s="164" t="n">
        <v>0.3</v>
      </c>
      <c r="C12" s="164" t="n">
        <v>0.25</v>
      </c>
      <c r="D12" s="165" t="n">
        <v>0</v>
      </c>
      <c r="E12" s="166">
        <f>$E$5*B12</f>
        <v>25.714285714285715</v>
      </c>
      <c r="F12" s="166">
        <f>$E$5*C12</f>
        <v>21.42857142857143</v>
      </c>
      <c r="G12" s="166">
        <f>$E$5-E12-F12</f>
        <v>38.57142857142858</v>
      </c>
      <c r="H12" s="166">
        <f>G12-D12</f>
        <v>38.57142857142858</v>
      </c>
      <c r="I12" s="167">
        <f>(($H12/$D$5/(1+$C$5)-('Price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0.5406979199662126</v>
      </c>
      <c r="J12" s="168">
        <f>ROUNDDOWN((($H12/$D$5/(1+$C$5)-('Price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2" s="175">
        <f>J12/0.65-1</f>
        <v>-0.16923076923076918</v>
      </c>
      <c r="L12" s="167">
        <f>(($H12/$D$5/(1+$C$5)-('Price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0.3265407229965157</v>
      </c>
      <c r="M12" s="168">
        <f>ROUNDDOWN((($H12/$D$5/(1+$C$5)-('Price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2" s="175">
        <f>M12/0.65-1</f>
        <v>-0.5076923076923077</v>
      </c>
    </row>
    <row r="13" ht="34" customHeight="1" s="71">
      <c r="A13" s="163" t="inlineStr">
        <is>
          <t>Bonus 25 % + margin 20 % + extra cost matched to the same request</t>
        </is>
      </c>
      <c r="B13" s="164" t="n">
        <v>0.25</v>
      </c>
      <c r="C13" s="164" t="n">
        <v>0.2</v>
      </c>
      <c r="D13" s="165">
        <f>ROUND($E$5*((1-B13-C13)-(1-$B$9-$C$9)),2)</f>
        <v>8.57</v>
      </c>
      <c r="E13" s="166">
        <f>$E$5*B13</f>
        <v>21.42857142857143</v>
      </c>
      <c r="F13" s="166">
        <f>$E$5*C13</f>
        <v>17.142857142857146</v>
      </c>
      <c r="G13" s="166">
        <f>$E$5-E13-F13</f>
        <v>47.142857142857146</v>
      </c>
      <c r="H13" s="166">
        <f>G13-D13</f>
        <v>38.572857142857146</v>
      </c>
      <c r="I13" s="167">
        <f>(($H13/$D$5/(1+$C$5)-('Price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0.5407206043448423</v>
      </c>
      <c r="J13" s="168">
        <f>ROUNDDOWN((($H13/$D$5/(1+$C$5)-('Price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3" s="175">
        <f>J13/0.65-1</f>
        <v>-0.16923076923076918</v>
      </c>
      <c r="L13" s="167">
        <f>(($H13/$D$5/(1+$C$5)-('Price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0.3265634073751453</v>
      </c>
      <c r="M13" s="168">
        <f>ROUNDDOWN((($H13/$D$5/(1+$C$5)-('Price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3" s="175">
        <f>M13/0.65-1</f>
        <v>-0.5076923076923077</v>
      </c>
    </row>
    <row r="14" ht="34" customHeight="1" s="71">
      <c r="A14" s="163" t="inlineStr">
        <is>
          <t>Bonus 25 % + margin 25 % + extra cost matched to the same request</t>
        </is>
      </c>
      <c r="B14" s="164" t="n">
        <v>0.25</v>
      </c>
      <c r="C14" s="164" t="n">
        <v>0.25</v>
      </c>
      <c r="D14" s="165">
        <f>ROUND($E$5*((1-B14-C14)-(1-$B$9-$C$9)),2)</f>
        <v>4.29</v>
      </c>
      <c r="E14" s="166">
        <f>$E$5*B14</f>
        <v>21.42857142857143</v>
      </c>
      <c r="F14" s="166">
        <f>$E$5*C14</f>
        <v>21.42857142857143</v>
      </c>
      <c r="G14" s="166">
        <f>$E$5-E14-F14</f>
        <v>42.85714285714286</v>
      </c>
      <c r="H14" s="166">
        <f>G14-D14</f>
        <v>38.56714285714286</v>
      </c>
      <c r="I14" s="167">
        <f>(($H14/$D$5/(1+$C$5)-('Price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0.5406298668303242</v>
      </c>
      <c r="J14" s="168">
        <f>ROUNDDOWN((($H14/$D$5/(1+$C$5)-('Price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0.54</v>
      </c>
      <c r="K14" s="175">
        <f>J14/0.65-1</f>
        <v>-0.16923076923076918</v>
      </c>
      <c r="L14" s="167">
        <f>(($H14/$D$5/(1+$C$5)-('Price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0.32647266986062723</v>
      </c>
      <c r="M14" s="168">
        <f>ROUNDDOWN((($H14/$D$5/(1+$C$5)-('Price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0.32</v>
      </c>
      <c r="N14" s="175">
        <f>M14/0.65-1</f>
        <v>-0.5076923076923077</v>
      </c>
    </row>
    <row r="15" ht="20" customHeight="1" s="71">
      <c r="A15" s="162" t="inlineStr">
        <is>
          <t>EXAMPLE: +10 ₴ in landed cost (the request gets lower)</t>
        </is>
      </c>
    </row>
    <row r="16" ht="34" customHeight="1" s="71">
      <c r="A16" s="163" t="inlineStr">
        <is>
          <t>Bonus 25 % + margin 20 % + 10 ₴</t>
        </is>
      </c>
      <c r="B16" s="164" t="n">
        <v>0.25</v>
      </c>
      <c r="C16" s="164" t="n">
        <v>0.2</v>
      </c>
      <c r="D16" s="165" t="n">
        <v>10</v>
      </c>
      <c r="E16" s="166">
        <f>$E$5*B16</f>
        <v>21.42857142857143</v>
      </c>
      <c r="F16" s="166">
        <f>$E$5*C16</f>
        <v>17.142857142857146</v>
      </c>
      <c r="G16" s="166">
        <f>$E$5-E16-F16</f>
        <v>47.142857142857146</v>
      </c>
      <c r="H16" s="166">
        <f>G16-D16</f>
        <v>37.142857142857146</v>
      </c>
      <c r="I16" s="167">
        <f>(($H16/$D$5/(1+$C$5)-('Price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0.5180135413367121</v>
      </c>
      <c r="J16" s="168">
        <f>ROUNDDOWN((($H16/$D$5/(1+$C$5)-('Price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0.51</v>
      </c>
      <c r="K16" s="175">
        <f>J16/0.65-1</f>
        <v>-0.2153846153846154</v>
      </c>
      <c r="L16" s="167">
        <f>(($H16/$D$5/(1+$C$5)-('Price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0.30385634436701514</v>
      </c>
      <c r="M16" s="168">
        <f>ROUNDDOWN((($H16/$D$5/(1+$C$5)-('Price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</v>
      </c>
      <c r="N16" s="175">
        <f>M16/0.65-1</f>
        <v>-0.5384615384615385</v>
      </c>
    </row>
    <row r="17" ht="34" customHeight="1" s="71">
      <c r="A17" s="163" t="inlineStr">
        <is>
          <t>Bonus 25 % + margin 25 % + 10 ₴</t>
        </is>
      </c>
      <c r="B17" s="164" t="n">
        <v>0.25</v>
      </c>
      <c r="C17" s="164" t="n">
        <v>0.25</v>
      </c>
      <c r="D17" s="165" t="n">
        <v>10</v>
      </c>
      <c r="E17" s="166">
        <f>$E$5*B17</f>
        <v>21.42857142857143</v>
      </c>
      <c r="F17" s="166">
        <f>$E$5*C17</f>
        <v>21.42857142857143</v>
      </c>
      <c r="G17" s="166">
        <f>$E$5-E17-F17</f>
        <v>42.85714285714286</v>
      </c>
      <c r="H17" s="166">
        <f>G17-D17</f>
        <v>32.85714285714286</v>
      </c>
      <c r="I17" s="167">
        <f>(($H17/$D$5/(1+$C$5)-('Price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0.44996040544821037</v>
      </c>
      <c r="J17" s="168">
        <f>ROUNDDOWN((($H17/$D$5/(1+$C$5)-('Price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0.44</v>
      </c>
      <c r="K17" s="175">
        <f>J17/0.65-1</f>
        <v>-0.32307692307692315</v>
      </c>
      <c r="L17" s="167">
        <f>(($H17/$D$5/(1+$C$5)-('Price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0.23580320847851344</v>
      </c>
      <c r="M17" s="168">
        <f>ROUNDDOWN((($H17/$D$5/(1+$C$5)-('Price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0.23</v>
      </c>
      <c r="N17" s="175">
        <f>M17/0.65-1</f>
        <v>-0.6461538461538461</v>
      </c>
    </row>
    <row r="18" ht="34" customHeight="1" s="71">
      <c r="A18" s="163" t="inlineStr">
        <is>
          <t>Bonus 35 % + margin 20 % + 10 ₴</t>
        </is>
      </c>
      <c r="B18" s="164" t="n">
        <v>0.35</v>
      </c>
      <c r="C18" s="164" t="n">
        <v>0.2</v>
      </c>
      <c r="D18" s="165" t="n">
        <v>10</v>
      </c>
      <c r="E18" s="166">
        <f>$E$5*B18</f>
        <v>30</v>
      </c>
      <c r="F18" s="166">
        <f>$E$5*C18</f>
        <v>17.142857142857146</v>
      </c>
      <c r="G18" s="166">
        <f>$E$5-E18-F18</f>
        <v>38.57142857142858</v>
      </c>
      <c r="H18" s="166">
        <f>G18-D18</f>
        <v>28.571428571428577</v>
      </c>
      <c r="I18" s="167">
        <f>(($H18/$D$5/(1+$C$5)-('Price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0.3819072695597086</v>
      </c>
      <c r="J18" s="168">
        <f>ROUNDDOWN((($H18/$D$5/(1+$C$5)-('Price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0.38</v>
      </c>
      <c r="K18" s="175">
        <f>J18/0.65-1</f>
        <v>-0.41538461538461535</v>
      </c>
      <c r="L18" s="167">
        <f>(($H18/$D$5/(1+$C$5)-('Price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0.16775007259001162</v>
      </c>
      <c r="M18" s="168">
        <f>ROUNDDOWN((($H18/$D$5/(1+$C$5)-('Price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0.16</v>
      </c>
      <c r="N18" s="175">
        <f>M18/0.65-1</f>
        <v>-0.7538461538461538</v>
      </c>
    </row>
    <row r="19" ht="34" customHeight="1" s="71">
      <c r="A19" s="163" t="inlineStr">
        <is>
          <t>Bonus 35 % + margin 25 % + 10 ₴</t>
        </is>
      </c>
      <c r="B19" s="164" t="n">
        <v>0.35</v>
      </c>
      <c r="C19" s="164" t="n">
        <v>0.25</v>
      </c>
      <c r="D19" s="165" t="n">
        <v>10</v>
      </c>
      <c r="E19" s="166">
        <f>$E$5*B19</f>
        <v>30</v>
      </c>
      <c r="F19" s="166">
        <f>$E$5*C19</f>
        <v>21.42857142857143</v>
      </c>
      <c r="G19" s="166">
        <f>$E$5-E19-F19</f>
        <v>34.28571428571429</v>
      </c>
      <c r="H19" s="166">
        <f>G19-D19</f>
        <v>24.285714285714292</v>
      </c>
      <c r="I19" s="167">
        <f>(($H19/$D$5/(1+$C$5)-('Price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0.313854133671207</v>
      </c>
      <c r="J19" s="168">
        <f>ROUNDDOWN((($H19/$D$5/(1+$C$5)-('Price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0.31</v>
      </c>
      <c r="K19" s="175">
        <f>J19/0.65-1</f>
        <v>-0.5230769230769231</v>
      </c>
      <c r="L19" s="167">
        <f>(($H19/$D$5/(1+$C$5)-('Price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0.09969693670151002</v>
      </c>
      <c r="M19" s="168">
        <f>ROUNDDOWN((($H19/$D$5/(1+$C$5)-('Price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0.09</v>
      </c>
      <c r="N19" s="175">
        <f>M19/0.65-1</f>
        <v>-0.8615384615384616</v>
      </c>
    </row>
    <row r="20" ht="20" customHeight="1" s="71">
      <c r="A20" s="162" t="inlineStr">
        <is>
          <t>CHAIN BONUS 35 %: if the margin must stay above 20 %, the request falls</t>
        </is>
      </c>
    </row>
    <row r="21" ht="34" customHeight="1" s="71">
      <c r="A21" s="163" t="inlineStr">
        <is>
          <t>Bonus 35 % + margin 25 %</t>
        </is>
      </c>
      <c r="B21" s="164" t="n">
        <v>0.35</v>
      </c>
      <c r="C21" s="164" t="n">
        <v>0.25</v>
      </c>
      <c r="D21" s="165" t="n">
        <v>0</v>
      </c>
      <c r="E21" s="166">
        <f>$E$5*B21</f>
        <v>30</v>
      </c>
      <c r="F21" s="166">
        <f>$E$5*C21</f>
        <v>21.42857142857143</v>
      </c>
      <c r="G21" s="166">
        <f>$E$5-E21-F21</f>
        <v>34.28571428571429</v>
      </c>
      <c r="H21" s="166">
        <f>G21-D21</f>
        <v>34.28571428571429</v>
      </c>
      <c r="I21" s="167">
        <f>(($H21/$D$5/(1+$C$5)-('Price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0.47264478407771093</v>
      </c>
      <c r="J21" s="168">
        <f>ROUNDDOWN((($H21/$D$5/(1+$C$5)-('Price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0.47</v>
      </c>
      <c r="K21" s="175">
        <f>J21/0.65-1</f>
        <v>-0.27692307692307694</v>
      </c>
      <c r="L21" s="167">
        <f>(($H21/$D$5/(1+$C$5)-('Price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0.258487587108014</v>
      </c>
      <c r="M21" s="168">
        <f>ROUNDDOWN((($H21/$D$5/(1+$C$5)-('Price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0.25</v>
      </c>
      <c r="N21" s="175">
        <f>M21/0.65-1</f>
        <v>-0.6153846153846154</v>
      </c>
    </row>
    <row r="22" ht="34" customHeight="1" s="71">
      <c r="A22" s="163" t="inlineStr">
        <is>
          <t>Bonus 35 % + margin 30 %</t>
        </is>
      </c>
      <c r="B22" s="164" t="n">
        <v>0.35</v>
      </c>
      <c r="C22" s="164" t="n">
        <v>0.3</v>
      </c>
      <c r="D22" s="165" t="n">
        <v>0</v>
      </c>
      <c r="E22" s="166">
        <f>$E$5*B22</f>
        <v>30</v>
      </c>
      <c r="F22" s="166">
        <f>$E$5*C22</f>
        <v>25.714285714285715</v>
      </c>
      <c r="G22" s="166">
        <f>$E$5-E22-F22</f>
        <v>30.000000000000007</v>
      </c>
      <c r="H22" s="166">
        <f>G22-D22</f>
        <v>30.000000000000007</v>
      </c>
      <c r="I22" s="167">
        <f>(($H22/$D$5/(1+$C$5)-('Price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0.4045916481892093</v>
      </c>
      <c r="J22" s="168">
        <f>ROUNDDOWN((($H22/$D$5/(1+$C$5)-('Price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0.4</v>
      </c>
      <c r="K22" s="175">
        <f>J22/0.65-1</f>
        <v>-0.3846153846153846</v>
      </c>
      <c r="L22" s="167">
        <f>(($H22/$D$5/(1+$C$5)-('Price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0.1904344512195123</v>
      </c>
      <c r="M22" s="168">
        <f>ROUNDDOWN((($H22/$D$5/(1+$C$5)-('Price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0.19</v>
      </c>
      <c r="N22" s="175">
        <f>M22/0.65-1</f>
        <v>-0.7076923076923076</v>
      </c>
    </row>
    <row r="23" ht="20" customHeight="1" s="71">
      <c r="A23" s="162" t="inlineStr">
        <is>
          <t>ONLY THE MARGIN LOWERED (bonus 25 %, no extra cost): the allowed purchase price rises — the argument toward SIAS weakens</t>
        </is>
      </c>
    </row>
    <row r="24" ht="34" customHeight="1" s="71">
      <c r="A24" s="163" t="inlineStr">
        <is>
          <t>Bonus 25 % + margin 25 %</t>
        </is>
      </c>
      <c r="B24" s="164" t="n">
        <v>0.25</v>
      </c>
      <c r="C24" s="164" t="n">
        <v>0.25</v>
      </c>
      <c r="D24" s="165" t="n">
        <v>0</v>
      </c>
      <c r="E24" s="166">
        <f>$E$5*B24</f>
        <v>21.42857142857143</v>
      </c>
      <c r="F24" s="166">
        <f>$E$5*C24</f>
        <v>21.42857142857143</v>
      </c>
      <c r="G24" s="166">
        <f>$E$5-E24-F24</f>
        <v>42.85714285714286</v>
      </c>
      <c r="H24" s="166">
        <f>G24-D24</f>
        <v>42.85714285714286</v>
      </c>
      <c r="I24" s="167">
        <f>(($H24/$D$5/(1+$C$5)-('Price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0.6087510558547146</v>
      </c>
      <c r="J24" s="168">
        <f>ROUNDDOWN((($H24/$D$5/(1+$C$5)-('Price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0.6</v>
      </c>
      <c r="K24" s="175">
        <f>J24/0.65-1</f>
        <v>-0.07692307692307698</v>
      </c>
      <c r="L24" s="167">
        <f>(($H24/$D$5/(1+$C$5)-('Price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0.3945938588850176</v>
      </c>
      <c r="M24" s="168">
        <f>ROUNDDOWN((($H24/$D$5/(1+$C$5)-('Price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0.39</v>
      </c>
      <c r="N24" s="175">
        <f>M24/0.65-1</f>
        <v>-0.4</v>
      </c>
    </row>
    <row r="25" ht="34" customHeight="1" s="71">
      <c r="A25" s="163" t="inlineStr">
        <is>
          <t>Bonus 25 % + margin 20 %</t>
        </is>
      </c>
      <c r="B25" s="164" t="n">
        <v>0.25</v>
      </c>
      <c r="C25" s="164" t="n">
        <v>0.2</v>
      </c>
      <c r="D25" s="165" t="n">
        <v>0</v>
      </c>
      <c r="E25" s="166">
        <f>$E$5*B25</f>
        <v>21.42857142857143</v>
      </c>
      <c r="F25" s="166">
        <f>$E$5*C25</f>
        <v>17.142857142857146</v>
      </c>
      <c r="G25" s="166">
        <f>$E$5-E25-F25</f>
        <v>47.142857142857146</v>
      </c>
      <c r="H25" s="166">
        <f>G25-D25</f>
        <v>47.142857142857146</v>
      </c>
      <c r="I25" s="167">
        <f>(($H25/$D$5/(1+$C$5)-('Price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</f>
        <v>0.6768041917432163</v>
      </c>
      <c r="J25" s="168">
        <f>ROUNDDOWN((($H25/$D$5/(1+$C$5)-('Price 120 UAH - 33 pallets'!E16+'Price 120 UAH - 33 pallets'!F16+'Price 120 UAH - 33 pallets'!G16+'Price 120 UAH - 33 pallets'!E16*'Price 120 UAH - 33 pallets'!B18*($G$5+$F$5*(1+$G$5)))/('Price 120 UAH - 33 pallets'!C18*'Price 120 UAH - 33 pallets'!D18))/((1+$G$5)*(1+$F$5))),2)</f>
        <v>0.67</v>
      </c>
      <c r="K25" s="175">
        <f>J25/0.65-1</f>
        <v>0.030769230769230882</v>
      </c>
      <c r="L25" s="167">
        <f>(($H25/$D$5/(1+$C$5)-('Price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</f>
        <v>0.4626469947735193</v>
      </c>
      <c r="M25" s="168">
        <f>ROUNDDOWN((($H25/$D$5/(1+$C$5)-('Price 120 UAH - 6 pallets'!E16+'Price 120 UAH - 6 pallets'!F16+'Price 120 UAH - 6 pallets'!G16+'Price 120 UAH - 6 pallets'!E16*'Price 120 UAH - 6 pallets'!B18*($G$5+$F$5*(1+$G$5)))/('Price 120 UAH - 6 pallets'!C18*'Price 120 UAH - 6 pallets'!D18))/((1+$G$5)*(1+$F$5))),2)</f>
        <v>0.46</v>
      </c>
      <c r="N25" s="175">
        <f>M25/0.65-1</f>
        <v>-0.29230769230769227</v>
      </c>
    </row>
    <row r="26"/>
    <row r="27" ht="28" customHeight="1" s="71">
      <c r="A27" s="171" t="inlineStr">
        <is>
          <t>How to read: yellow cells (bonus, margin, extra cost) can be changed — requests recalculate. Shelf price and batch parameters come from the "Price 120 UAH" sheets.</t>
        </is>
      </c>
    </row>
    <row r="28" ht="28" customHeight="1" s="71">
      <c r="A28" s="171" t="inlineStr">
        <is>
          <t>Assumptions: bonus and margin are taken from the partner price (incl. VAT), as in the main model; extra cost is added to landed cost after financing. Current SIAS purchase price: €0.65 (4 SKUs) / €0.75 (2 SKUs).</t>
        </is>
      </c>
    </row>
    <row r="29" ht="28" customHeight="1" s="71">
      <c r="A29" s="171" t="inlineStr">
        <is>
          <t>What to show SIAS is your decision. Any margin, bonus and extra cost shown externally should match the real price structure: SIAS may ask for confirmation.</t>
        </is>
      </c>
    </row>
  </sheetData>
  <mergeCells count="10">
    <mergeCell ref="A27:N27"/>
    <mergeCell ref="A8:N8"/>
    <mergeCell ref="A20:N20"/>
    <mergeCell ref="A2:N2"/>
    <mergeCell ref="A15:N15"/>
    <mergeCell ref="A29:N29"/>
    <mergeCell ref="A10:N10"/>
    <mergeCell ref="A28:N28"/>
    <mergeCell ref="A23:N23"/>
    <mergeCell ref="A1:N1"/>
  </mergeCells>
  <pageMargins left="0.75" right="0.75" top="1" bottom="1" header="0.5" footer="0.5"/>
  <ignoredErrors>
    <ignoredError sqref="A1:N49" evalError="1" formula="1" formulaRange="1" unlockedFormula="1" numberStoredAsText="1" emptyCellReference="1" twoDigitTextYear="1" listDataValidation="1" calculatedColumn="1"/>
  </ignoredError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Ramen financial model — internal (EN)</dc:title>
  <dcterms:created xmlns:dcterms="http://purl.org/dc/terms/" xmlns:xsi="http://www.w3.org/2001/XMLSchema-instance" xsi:type="dcterms:W3CDTF">2026-10-07T10:19:31Z</dcterms:created>
  <dcterms:modified xmlns:dcterms="http://purl.org/dc/terms/" xmlns:xsi="http://www.w3.org/2001/XMLSchema-instance" xsi:type="dcterms:W3CDTF">2026-10-16T12:56:15Z</dcterms:modified>
  <cp:lastModifiedBy/>
</cp:coreProperties>
</file>