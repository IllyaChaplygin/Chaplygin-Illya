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#,##0.00&quot; ₴&quot;;-#,##0.00&quot; ₴&quot;"/>
    <numFmt numFmtId="180" formatCode="+0.0%;-0.0%"/>
    <numFmt numFmtId="181" formatCode="_(* #,##0.00_);_(* \(#,##0.00\);_(* \-??_);_(@_)"/>
    <numFmt numFmtId="182" formatCode="_(* #,##0_);_(* \(#,##0\);_(* \-_);_(@_)"/>
    <numFmt numFmtId="183" formatCode="_(\$* #,##0.00_);_(\$* \(#,##0.00\);_(\$* \-??_);_(@_)"/>
    <numFmt numFmtId="184" formatCode="_(\$* #,##0_);_(\$* \(#,##0\);_(\$* \-_);_(@_)"/>
  </numFmts>
  <fonts count="44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203864"/>
      <sz val="10"/>
    </font>
    <font>
      <name val="Arial"/>
      <b val="1"/>
      <color rgb="FF203864"/>
      <sz val="10"/>
    </font>
    <font>
      <name val="Arial"/>
      <b val="1"/>
      <color rgb="FFA33A3A"/>
      <sz val="11"/>
    </font>
    <font>
      <name val="Arial"/>
      <b val="1"/>
      <color rgb="FFA33A3A"/>
      <sz val="9"/>
    </font>
    <font>
      <name val="Arial"/>
      <color rgb="FF222222"/>
      <sz val="10"/>
    </font>
    <font>
      <name val="Arial"/>
      <b val="1"/>
      <color rgb="FF203864"/>
      <sz val="12"/>
    </font>
  </fonts>
  <fills count="32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FFB07A12"/>
      </patternFill>
    </fill>
    <fill>
      <patternFill patternType="solid">
        <fgColor rgb="FFA33A3A"/>
      </patternFill>
    </fill>
    <fill>
      <patternFill patternType="solid">
        <fgColor rgb="FFD9A441"/>
      </patternFill>
    </fill>
    <fill>
      <patternFill patternType="solid">
        <fgColor rgb="FFC26A6A"/>
      </patternFill>
    </fill>
    <fill>
      <patternFill patternType="solid">
        <fgColor rgb="FFF5F8FC"/>
      </patternFill>
    </fill>
    <fill>
      <patternFill patternType="solid">
        <fgColor rgb="FFFEF4DC"/>
      </patternFill>
    </fill>
    <fill>
      <patternFill patternType="solid">
        <fgColor rgb="FFFBE9E9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>
      <left/>
      <right/>
      <top style="thin">
        <color rgb="00C9D3E0"/>
      </top>
      <bottom/>
      <diagonal/>
    </border>
    <border>
      <left/>
      <right style="thin">
        <color rgb="00C9D3E0"/>
      </right>
      <top style="thin">
        <color rgb="00C9D3E0"/>
      </top>
      <bottom/>
      <diagonal/>
    </border>
    <border>
      <left/>
      <right/>
      <top style="thin">
        <color rgb="00C9D3E0"/>
      </top>
      <bottom style="thin">
        <color rgb="00C9D3E0"/>
      </bottom>
      <diagonal/>
    </border>
    <border>
      <left/>
      <right style="thin">
        <color rgb="00C9D3E0"/>
      </right>
      <top style="thin">
        <color rgb="00C9D3E0"/>
      </top>
      <bottom style="thin">
        <color rgb="00C9D3E0"/>
      </bottom>
      <diagonal/>
    </border>
  </borders>
  <cellStyleXfs count="7">
    <xf numFmtId="0" fontId="11" fillId="19" borderId="10"/>
    <xf numFmtId="181" fontId="1" fillId="19" borderId="10"/>
    <xf numFmtId="182" fontId="1" fillId="19" borderId="10"/>
    <xf numFmtId="183" fontId="1" fillId="19" borderId="10"/>
    <xf numFmtId="184" fontId="1" fillId="19" borderId="10"/>
    <xf numFmtId="0" fontId="11" fillId="19" borderId="10"/>
    <xf numFmtId="9" fontId="1" fillId="19" borderId="10"/>
  </cellStyleXfs>
  <cellXfs count="184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18" borderId="30" applyAlignment="1" pivotButton="0" quotePrefix="0" xfId="0">
      <alignment horizontal="center" vertical="center" wrapText="1"/>
    </xf>
    <xf numFmtId="0" fontId="7" fillId="25" borderId="30" applyAlignment="1" pivotButton="0" quotePrefix="0" xfId="0">
      <alignment horizontal="center" vertical="center" wrapText="1"/>
    </xf>
    <xf numFmtId="0" fontId="7" fillId="26" borderId="30" applyAlignment="1" pivotButton="0" quotePrefix="0" xfId="0">
      <alignment horizontal="center" vertical="center" wrapText="1"/>
    </xf>
    <xf numFmtId="0" fontId="21" fillId="4" borderId="30" applyAlignment="1" pivotButton="0" quotePrefix="0" xfId="0">
      <alignment horizontal="center" vertical="center" wrapText="1"/>
    </xf>
    <xf numFmtId="0" fontId="21" fillId="6" borderId="30" applyAlignment="1" pivotButton="0" quotePrefix="0" xfId="0">
      <alignment horizontal="center" vertical="center" wrapText="1"/>
    </xf>
    <xf numFmtId="0" fontId="21" fillId="27" borderId="30" applyAlignment="1" pivotButton="0" quotePrefix="0" xfId="0">
      <alignment horizontal="center" vertical="center" wrapText="1"/>
    </xf>
    <xf numFmtId="0" fontId="21" fillId="28" borderId="30" applyAlignment="1" pivotButton="0" quotePrefix="0" xfId="0">
      <alignment horizontal="center" vertical="center" wrapText="1"/>
    </xf>
    <xf numFmtId="0" fontId="38" fillId="23" borderId="30" applyAlignment="1" pivotButton="0" quotePrefix="0" xfId="0">
      <alignment horizontal="center" vertical="center" wrapText="1"/>
    </xf>
    <xf numFmtId="0" fontId="39" fillId="23" borderId="30" applyAlignment="1" pivotButton="0" quotePrefix="0" xfId="0">
      <alignment horizontal="left" vertical="center" wrapText="1"/>
    </xf>
    <xf numFmtId="176" fontId="10" fillId="29" borderId="30" applyAlignment="1" pivotButton="0" quotePrefix="0" xfId="0">
      <alignment horizontal="center" vertical="center" wrapText="1"/>
    </xf>
    <xf numFmtId="171" fontId="10" fillId="29" borderId="30" applyAlignment="1" pivotButton="0" quotePrefix="0" xfId="0">
      <alignment horizontal="center" vertical="center" wrapText="1"/>
    </xf>
    <xf numFmtId="171" fontId="5" fillId="9" borderId="30" applyAlignment="1" pivotButton="0" quotePrefix="0" xfId="0">
      <alignment horizontal="center" vertical="center" wrapText="1"/>
    </xf>
    <xf numFmtId="176" fontId="10" fillId="30" borderId="30" applyAlignment="1" pivotButton="0" quotePrefix="0" xfId="0">
      <alignment horizontal="center" vertical="center" wrapText="1"/>
    </xf>
    <xf numFmtId="171" fontId="10" fillId="30" borderId="30" applyAlignment="1" pivotButton="0" quotePrefix="0" xfId="0">
      <alignment horizontal="center" vertical="center" wrapText="1"/>
    </xf>
    <xf numFmtId="171" fontId="5" fillId="21" borderId="30" applyAlignment="1" pivotButton="0" quotePrefix="0" xfId="0">
      <alignment horizontal="center" vertical="center" wrapText="1"/>
    </xf>
    <xf numFmtId="179" fontId="40" fillId="31" borderId="30" applyAlignment="1" pivotButton="0" quotePrefix="0" xfId="0">
      <alignment horizontal="center" vertical="center" wrapText="1"/>
    </xf>
    <xf numFmtId="180" fontId="40" fillId="31" borderId="30" applyAlignment="1" pivotButton="0" quotePrefix="0" xfId="0">
      <alignment horizontal="center" vertical="center" wrapText="1"/>
    </xf>
    <xf numFmtId="0" fontId="30" fillId="0" borderId="0" applyAlignment="1" pivotButton="0" quotePrefix="0" xfId="0">
      <alignment vertical="top" wrapText="1"/>
    </xf>
    <xf numFmtId="0" fontId="0" fillId="0" borderId="33" pivotButton="0" quotePrefix="0" xfId="0"/>
    <xf numFmtId="0" fontId="0" fillId="0" borderId="34" pivotButton="0" quotePrefix="0" xfId="0"/>
    <xf numFmtId="179" fontId="40" fillId="31" borderId="30" applyAlignment="1" pivotButton="0" quotePrefix="0" xfId="0">
      <alignment horizontal="center" vertical="center" wrapText="1"/>
    </xf>
    <xf numFmtId="180" fontId="40" fillId="31" borderId="30" applyAlignment="1" pivotButton="0" quotePrefix="0" xfId="0">
      <alignment horizontal="center" vertical="center" wrapText="1"/>
    </xf>
    <xf numFmtId="9" fontId="5" fillId="23" borderId="30" applyAlignment="1" pivotButton="0" quotePrefix="0" xfId="0">
      <alignment horizontal="center" vertical="center" wrapText="1"/>
    </xf>
    <xf numFmtId="0" fontId="41" fillId="23" borderId="30" applyAlignment="1" pivotButton="0" quotePrefix="0" xfId="0">
      <alignment horizontal="center" vertical="center" wrapText="1"/>
    </xf>
    <xf numFmtId="9" fontId="42" fillId="23" borderId="30" applyAlignment="1" pivotButton="0" quotePrefix="0" xfId="0">
      <alignment horizontal="center" vertical="center" wrapText="1"/>
    </xf>
    <xf numFmtId="171" fontId="5" fillId="3" borderId="30" applyAlignment="1" pivotButton="0" quotePrefix="0" xfId="0">
      <alignment horizontal="center" vertical="center" wrapText="1"/>
    </xf>
    <xf numFmtId="171" fontId="14" fillId="3" borderId="30" applyAlignment="1" pivotButton="0" quotePrefix="0" xfId="0">
      <alignment horizontal="center" vertical="center" wrapText="1"/>
    </xf>
    <xf numFmtId="173" fontId="43" fillId="21" borderId="30" applyAlignment="1" pivotButton="0" quotePrefix="0" xfId="0">
      <alignment horizontal="center" vertical="center" wrapText="1"/>
    </xf>
    <xf numFmtId="171" fontId="14" fillId="30" borderId="30" applyAlignment="1" pivotButton="0" quotePrefix="0" xfId="0">
      <alignment horizontal="center" vertical="center" wrapText="1"/>
    </xf>
    <xf numFmtId="171" fontId="5" fillId="30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5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Рамен. Ціна партнеру та полиця — 6 палет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Сценарій поставки</t>
        </is>
      </c>
      <c r="C2" s="73" t="n"/>
      <c r="D2" s="22" t="inlineStr">
        <is>
          <t>6 палет</t>
        </is>
      </c>
      <c r="E2" s="86" t="inlineStr">
        <is>
          <t>Готова СС із Self-Cost_Sias: AJ6:AJ11. Склад СС збережено.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Курс, грн/EUR</t>
        </is>
      </c>
      <c r="C3" s="63" t="n"/>
      <c r="D3" s="17" t="n">
        <v>51.2</v>
      </c>
      <c r="E3" s="68" t="inlineStr">
        <is>
          <t>Курс 51,20 грн/EUR — із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Бонуси мережі, %</t>
        </is>
      </c>
      <c r="C4" s="63" t="n"/>
      <c r="D4" s="18" t="n">
        <v>0.25</v>
      </c>
      <c r="E4" s="68" t="str">
        <f>"Бонус мережі "&amp;ROUND(D4*100,0)&amp;"%; полиця = ціна партнера × "&amp;D6&amp;"."</f>
        <v>Бонус мережі 25%; полиця = ціна партнера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Цільова маржа, %</t>
        </is>
      </c>
      <c r="C5" s="63" t="n"/>
      <c r="D5" s="18">
        <f>'Цена 120 грн — 6 паллет'!C14</f>
        <v>0.3</v>
      </c>
      <c r="E5" s="68" t="str">
        <f>ROUND(D5*100,0)&amp;"% = (ціна партнеру − собівартість − бонус) / повна ціна партнеру. Береться з аркуша «Цена 120 грн»."</f>
        <v>30% = (ціна партнеру − собівартість − бонус) / повна ціна партнеру. Береться з аркуша «Цена 120 грн».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Націнка мережі (x)</t>
        </is>
      </c>
      <c r="C6" s="63" t="n"/>
      <c r="D6" s="17" t="n">
        <v>1.4</v>
      </c>
      <c r="E6" s="68" t="inlineStr">
        <is>
          <t>Прибуток після бонусу = ціна партнеру − собівартість − бонус мережі.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Ціна партнера</t>
        </is>
      </c>
      <c r="C7" s="63" t="n"/>
      <c r="D7" s="19" t="inlineStr">
        <is>
          <t>вже з ПДВ</t>
        </is>
      </c>
      <c r="E7" s="68" t="inlineStr">
        <is>
          <t>ПДВ як у прикладі: СС збережено повністю; ціна вже з ПДВ. Множення на 1,20 немає.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Частка ціни для собівартості</t>
        </is>
      </c>
      <c r="C8" s="77" t="n"/>
      <c r="D8" s="23">
        <f>IF(AND(COUNT(D3:D6)=4,D3&gt;0,D4&gt;=0,D5&gt;=0,D4+D5&lt;1,D6&gt;0),1-D4-D5,NA())</f>
        <v>0.45</v>
      </c>
      <c r="E8" s="79" t="str">
        <f>"100% − бонус − маржа. За поточних умов: 100% − "&amp;ROUND(D4*100,0)&amp;"% − "&amp;ROUND(D5*100,0)&amp;"% = "&amp;ROUND(D8*100,0)&amp;"%."</f>
        <v>100% − бонус − маржа. За поточних умов: 100% − 25% − 30%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ТОВАР</t>
        </is>
      </c>
      <c r="B9" s="69" t="n"/>
      <c r="C9" s="69" t="n"/>
      <c r="D9" s="63" t="n"/>
      <c r="E9" s="78" t="inlineStr">
        <is>
          <t>СОБІВАРТІСТЬ</t>
        </is>
      </c>
      <c r="F9" s="63" t="n"/>
      <c r="G9" s="75" t="inlineStr">
        <is>
          <t>ЦІНА ПАРТНЕРУ ТА ПРИБУТОК</t>
        </is>
      </c>
      <c r="H9" s="69" t="n"/>
      <c r="I9" s="69" t="n"/>
      <c r="J9" s="63" t="n"/>
      <c r="K9" s="5" t="inlineStr">
        <is>
          <t>ПОЛИЦЯ</t>
        </is>
      </c>
      <c r="L9" s="83" t="inlineStr">
        <is>
          <t>МОДЕЛЬ: НУЛЬОВА МАРЖА</t>
        </is>
      </c>
      <c r="M9" s="63" t="n"/>
      <c r="N9" s="84" t="inlineStr">
        <is>
          <t>ПРИБУТОК З ОДНІЄЇ УПАКОВКИ</t>
        </is>
      </c>
      <c r="O9" s="63" t="n"/>
      <c r="P9" s="132" t="n">
        <v>0.3</v>
      </c>
      <c r="Q9" s="59" t="n"/>
      <c r="R9" s="59" t="n"/>
      <c r="S9" s="59" t="n"/>
      <c r="T9" s="60" t="n"/>
      <c r="U9" s="133" t="n">
        <v>0.25</v>
      </c>
      <c r="V9" s="59" t="n"/>
      <c r="W9" s="59" t="n"/>
      <c r="X9" s="59" t="n"/>
      <c r="Y9" s="60" t="n"/>
      <c r="Z9" s="132" t="n">
        <v>0.2</v>
      </c>
      <c r="AA9" s="59" t="n"/>
      <c r="AB9" s="59" t="n"/>
      <c r="AC9" s="59" t="n"/>
      <c r="AD9" s="60" t="n"/>
      <c r="AE9" s="13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Група</t>
        </is>
      </c>
      <c r="C10" s="6" t="inlineStr">
        <is>
          <t>Позиція</t>
        </is>
      </c>
      <c r="D10" s="6" t="inlineStr">
        <is>
          <t>Вага, г</t>
        </is>
      </c>
      <c r="E10" s="78" t="inlineStr">
        <is>
          <t>СС, EUR/уп.</t>
        </is>
      </c>
      <c r="F10" s="78" t="inlineStr">
        <is>
          <t>1. СС, грн/уп.</t>
        </is>
      </c>
      <c r="G10" s="75" t="inlineStr">
        <is>
          <t>2. Ціна партнеру з ПДВ</t>
        </is>
      </c>
      <c r="H10" s="75" t="inlineStr">
        <is>
          <t>3. Бонус мережі, грн</t>
        </is>
      </c>
      <c r="I10" s="75" t="inlineStr">
        <is>
          <t>4. Прибуток після бонусу, грн</t>
        </is>
      </c>
      <c r="J10" s="75" t="inlineStr">
        <is>
          <t>5. Маржа за прикладом</t>
        </is>
      </c>
      <c r="K10" s="5" t="inlineStr">
        <is>
          <t>6. Полиця з ПДВ, грн</t>
        </is>
      </c>
      <c r="L10" s="83" t="inlineStr">
        <is>
          <t>Мін. ціна партнеру</t>
        </is>
      </c>
      <c r="M10" s="83" t="inlineStr">
        <is>
          <t>Мін. полиця</t>
        </is>
      </c>
      <c r="N10" s="84" t="inlineStr">
        <is>
          <t>Валовий прибуток за прикладом, до бонусу, грн/уп.</t>
        </is>
      </c>
      <c r="O10" s="84" t="inlineStr">
        <is>
          <t>Прибуток після бонусу за прикладом, грн/уп.</t>
        </is>
      </c>
      <c r="P10" s="39" t="inlineStr">
        <is>
          <t>Ціна партнеру з ПДВ, грн</t>
        </is>
      </c>
      <c r="Q10" s="39" t="inlineStr">
        <is>
          <t>Бонус мережі, грн</t>
        </is>
      </c>
      <c r="R10" s="39" t="inlineStr">
        <is>
          <t>Прибуток після бонусу, грн</t>
        </is>
      </c>
      <c r="S10" s="39" t="inlineStr">
        <is>
          <t>Перевірка маржі</t>
        </is>
      </c>
      <c r="T10" s="39" t="inlineStr">
        <is>
          <t>Полиця з ПДВ, грн</t>
        </is>
      </c>
      <c r="U10" s="44" t="inlineStr">
        <is>
          <t>Ціна партнеру з ПДВ, грн</t>
        </is>
      </c>
      <c r="V10" s="44" t="inlineStr">
        <is>
          <t>Бонус мережі, грн</t>
        </is>
      </c>
      <c r="W10" s="44" t="inlineStr">
        <is>
          <t>Прибуток після бонусу, грн</t>
        </is>
      </c>
      <c r="X10" s="44" t="inlineStr">
        <is>
          <t>Перевірка маржі</t>
        </is>
      </c>
      <c r="Y10" s="44" t="inlineStr">
        <is>
          <t>Полиця з ПДВ, грн</t>
        </is>
      </c>
      <c r="Z10" s="39" t="inlineStr">
        <is>
          <t>Ціна партнеру з ПДВ, грн</t>
        </is>
      </c>
      <c r="AA10" s="39" t="inlineStr">
        <is>
          <t>Бонус мережі, грн</t>
        </is>
      </c>
      <c r="AB10" s="39" t="inlineStr">
        <is>
          <t>Прибуток після бонусу, грн</t>
        </is>
      </c>
      <c r="AC10" s="39" t="inlineStr">
        <is>
          <t>Перевірка маржі</t>
        </is>
      </c>
      <c r="AD10" s="39" t="inlineStr">
        <is>
          <t>Полиця з ПДВ, грн</t>
        </is>
      </c>
      <c r="AE10" s="44" t="inlineStr">
        <is>
          <t>Ціна партнеру з ПДВ, грн</t>
        </is>
      </c>
      <c r="AF10" s="44" t="inlineStr">
        <is>
          <t>Бонус мережі, грн</t>
        </is>
      </c>
      <c r="AG10" s="44" t="inlineStr">
        <is>
          <t>Прибуток після бонусу, грн</t>
        </is>
      </c>
      <c r="AH10" s="44" t="inlineStr">
        <is>
          <t>Перевірка маржі</t>
        </is>
      </c>
      <c r="AI10" s="44" t="inlineStr">
        <is>
          <t>Полиця з ПДВ, грн</t>
        </is>
      </c>
    </row>
    <row r="11" ht="43.5" customHeight="1" s="71">
      <c r="A11" s="7" t="n">
        <v>1</v>
      </c>
      <c r="B11" s="7" t="inlineStr">
        <is>
          <t>SIAS — рамен у пакеті</t>
        </is>
      </c>
      <c r="C11" s="7" t="inlineStr">
        <is>
          <t>Gouda Cheese 123 г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148.88000000000002</v>
      </c>
      <c r="H11" s="10">
        <f>G11*$D$4</f>
        <v>37.220000000000006</v>
      </c>
      <c r="I11" s="11">
        <f>G11-F11-H11</f>
        <v>44.66400000000001</v>
      </c>
      <c r="J11" s="12">
        <f>I11/G11</f>
        <v>0.3</v>
      </c>
      <c r="K11" s="13">
        <f>G11*$D$6</f>
        <v>208.43200000000002</v>
      </c>
      <c r="L11" s="14">
        <f>F11/(1-$D$4)</f>
        <v>89.32800000000002</v>
      </c>
      <c r="M11" s="14">
        <f>L11*$D$6</f>
        <v>125.05920000000002</v>
      </c>
      <c r="N11" s="15">
        <f>G11-F11</f>
        <v>81.88400000000001</v>
      </c>
      <c r="O11" s="16">
        <f>N11-H11</f>
        <v>44.66400000000001</v>
      </c>
      <c r="P11" s="40">
        <f>$F11/(1-$D$4-$P$9)</f>
        <v>148.88000000000002</v>
      </c>
      <c r="Q11" s="41">
        <f>P11*$D$4</f>
        <v>37.220000000000006</v>
      </c>
      <c r="R11" s="42">
        <f>P11-$F11-Q11</f>
        <v>44.66400000000001</v>
      </c>
      <c r="S11" s="43">
        <f>R11/P11</f>
        <v>0.3</v>
      </c>
      <c r="T11" s="40">
        <f>P11*$D$6</f>
        <v>208.43200000000002</v>
      </c>
      <c r="U11" s="40">
        <f>$F11/(1-$D$4-$U$9)</f>
        <v>133.99200000000002</v>
      </c>
      <c r="V11" s="41">
        <f>U11*$D$4</f>
        <v>33.498000000000005</v>
      </c>
      <c r="W11" s="42">
        <f>U11-$F11-V11</f>
        <v>33.498000000000005</v>
      </c>
      <c r="X11" s="43">
        <f>W11/U11</f>
        <v>0.25</v>
      </c>
      <c r="Y11" s="40">
        <f>U11*$D$6</f>
        <v>187.58880000000002</v>
      </c>
      <c r="Z11" s="40">
        <f>$F11/(1-$D$4-$Z$9)</f>
        <v>121.81090909090909</v>
      </c>
      <c r="AA11" s="41">
        <f>Z11*$D$4</f>
        <v>30.452727272727273</v>
      </c>
      <c r="AB11" s="42">
        <f>Z11-$F11-AA11</f>
        <v>24.36218181818181</v>
      </c>
      <c r="AC11" s="43">
        <f>AB11/Z11</f>
        <v>0.19999999999999993</v>
      </c>
      <c r="AD11" s="40">
        <f>Z11*$D$6</f>
        <v>170.5352727272727</v>
      </c>
      <c r="AE11" s="40">
        <f>$F11/(1-$D$4-$AE$9)</f>
        <v>111.66000000000003</v>
      </c>
      <c r="AF11" s="41">
        <f>AE11*$D$4</f>
        <v>27.915000000000006</v>
      </c>
      <c r="AG11" s="42">
        <f>AE11-$F11-AF11</f>
        <v>16.74900000000001</v>
      </c>
      <c r="AH11" s="43">
        <f>AG11/AE11</f>
        <v>0.15000000000000005</v>
      </c>
      <c r="AI11" s="40">
        <f>AE11*$D$6</f>
        <v>156.324</v>
      </c>
    </row>
    <row r="12" ht="43.5" customHeight="1" s="71">
      <c r="A12" s="7" t="n">
        <v>2</v>
      </c>
      <c r="B12" s="7" t="inlineStr">
        <is>
          <t>SIAS — рамен у пакеті</t>
        </is>
      </c>
      <c r="C12" s="7" t="inlineStr">
        <is>
          <t>Carbonara Spicy 131 г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148.88000000000002</v>
      </c>
      <c r="H12" s="10">
        <f>G12*$D$4</f>
        <v>37.220000000000006</v>
      </c>
      <c r="I12" s="11">
        <f>G12-F12-H12</f>
        <v>44.66400000000001</v>
      </c>
      <c r="J12" s="12">
        <f>I12/G12</f>
        <v>0.3</v>
      </c>
      <c r="K12" s="13">
        <f>G12*$D$6</f>
        <v>208.43200000000002</v>
      </c>
      <c r="L12" s="14">
        <f>F12/(1-$D$4)</f>
        <v>89.32800000000002</v>
      </c>
      <c r="M12" s="14">
        <f>L12*$D$6</f>
        <v>125.05920000000002</v>
      </c>
      <c r="N12" s="15">
        <f>G12-F12</f>
        <v>81.88400000000001</v>
      </c>
      <c r="O12" s="16">
        <f>N12-H12</f>
        <v>44.66400000000001</v>
      </c>
      <c r="P12" s="40">
        <f>$F12/(1-$D$4-$P$9)</f>
        <v>148.88000000000002</v>
      </c>
      <c r="Q12" s="41">
        <f>P12*$D$4</f>
        <v>37.220000000000006</v>
      </c>
      <c r="R12" s="42">
        <f>P12-$F12-Q12</f>
        <v>44.66400000000001</v>
      </c>
      <c r="S12" s="43">
        <f>R12/P12</f>
        <v>0.3</v>
      </c>
      <c r="T12" s="40">
        <f>P12*$D$6</f>
        <v>208.43200000000002</v>
      </c>
      <c r="U12" s="40">
        <f>$F12/(1-$D$4-$U$9)</f>
        <v>133.99200000000002</v>
      </c>
      <c r="V12" s="41">
        <f>U12*$D$4</f>
        <v>33.498000000000005</v>
      </c>
      <c r="W12" s="42">
        <f>U12-$F12-V12</f>
        <v>33.498000000000005</v>
      </c>
      <c r="X12" s="43">
        <f>W12/U12</f>
        <v>0.25</v>
      </c>
      <c r="Y12" s="40">
        <f>U12*$D$6</f>
        <v>187.58880000000002</v>
      </c>
      <c r="Z12" s="40">
        <f>$F12/(1-$D$4-$Z$9)</f>
        <v>121.81090909090909</v>
      </c>
      <c r="AA12" s="41">
        <f>Z12*$D$4</f>
        <v>30.452727272727273</v>
      </c>
      <c r="AB12" s="42">
        <f>Z12-$F12-AA12</f>
        <v>24.36218181818181</v>
      </c>
      <c r="AC12" s="43">
        <f>AB12/Z12</f>
        <v>0.19999999999999993</v>
      </c>
      <c r="AD12" s="40">
        <f>Z12*$D$6</f>
        <v>170.5352727272727</v>
      </c>
      <c r="AE12" s="40">
        <f>$F12/(1-$D$4-$AE$9)</f>
        <v>111.66000000000003</v>
      </c>
      <c r="AF12" s="41">
        <f>AE12*$D$4</f>
        <v>27.915000000000006</v>
      </c>
      <c r="AG12" s="42">
        <f>AE12-$F12-AF12</f>
        <v>16.74900000000001</v>
      </c>
      <c r="AH12" s="43">
        <f>AG12/AE12</f>
        <v>0.15000000000000005</v>
      </c>
      <c r="AI12" s="40">
        <f>AE12*$D$6</f>
        <v>156.324</v>
      </c>
    </row>
    <row r="13" ht="43.5" customHeight="1" s="71">
      <c r="A13" s="7" t="n">
        <v>3</v>
      </c>
      <c r="B13" s="7" t="inlineStr">
        <is>
          <t>SIAS — рамен у пакеті</t>
        </is>
      </c>
      <c r="C13" s="7" t="inlineStr">
        <is>
          <t>Vegetable Flavor 113 г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129.0293333333333</v>
      </c>
      <c r="H13" s="10">
        <f>G13*$D$4</f>
        <v>32.25733333333333</v>
      </c>
      <c r="I13" s="11">
        <f>G13-F13-H13</f>
        <v>38.70879999999999</v>
      </c>
      <c r="J13" s="12">
        <f>I13/G13</f>
        <v>0.3</v>
      </c>
      <c r="K13" s="13">
        <f>G13*$D$6</f>
        <v>180.64106666666663</v>
      </c>
      <c r="L13" s="14">
        <f>F13/(1-$D$4)</f>
        <v>77.4176</v>
      </c>
      <c r="M13" s="14">
        <f>L13*$D$6</f>
        <v>108.38463999999999</v>
      </c>
      <c r="N13" s="15">
        <f>G13-F13</f>
        <v>70.96613333333332</v>
      </c>
      <c r="O13" s="16">
        <f>N13-H13</f>
        <v>38.70879999999999</v>
      </c>
      <c r="P13" s="40">
        <f>$F13/(1-$D$4-$P$9)</f>
        <v>129.0293333333333</v>
      </c>
      <c r="Q13" s="41">
        <f>P13*$D$4</f>
        <v>32.25733333333333</v>
      </c>
      <c r="R13" s="42">
        <f>P13-$F13-Q13</f>
        <v>38.70879999999999</v>
      </c>
      <c r="S13" s="43">
        <f>R13/P13</f>
        <v>0.3</v>
      </c>
      <c r="T13" s="40">
        <f>P13*$D$6</f>
        <v>180.64106666666663</v>
      </c>
      <c r="U13" s="40">
        <f>$F13/(1-$D$4-$U$9)</f>
        <v>116.12639999999999</v>
      </c>
      <c r="V13" s="41">
        <f>U13*$D$4</f>
        <v>29.031599999999997</v>
      </c>
      <c r="W13" s="42">
        <f>U13-$F13-V13</f>
        <v>29.031599999999997</v>
      </c>
      <c r="X13" s="43">
        <f>W13/U13</f>
        <v>0.25</v>
      </c>
      <c r="Y13" s="40">
        <f>U13*$D$6</f>
        <v>162.57695999999999</v>
      </c>
      <c r="Z13" s="40">
        <f>$F13/(1-$D$4-$Z$9)</f>
        <v>105.56945454545453</v>
      </c>
      <c r="AA13" s="41">
        <f>Z13*$D$4</f>
        <v>26.392363636363633</v>
      </c>
      <c r="AB13" s="42">
        <f>Z13-$F13-AA13</f>
        <v>21.113890909090905</v>
      </c>
      <c r="AC13" s="43">
        <f>AB13/Z13</f>
        <v>0.19999999999999998</v>
      </c>
      <c r="AD13" s="40">
        <f>Z13*$D$6</f>
        <v>147.79723636363633</v>
      </c>
      <c r="AE13" s="40">
        <f>$F13/(1-$D$4-$AE$9)</f>
        <v>96.77199999999999</v>
      </c>
      <c r="AF13" s="41">
        <f>AE13*$D$4</f>
        <v>24.192999999999998</v>
      </c>
      <c r="AG13" s="42">
        <f>AE13-$F13-AF13</f>
        <v>14.515799999999999</v>
      </c>
      <c r="AH13" s="43">
        <f>AG13/AE13</f>
        <v>0.15</v>
      </c>
      <c r="AI13" s="40">
        <f>AE13*$D$6</f>
        <v>135.4808</v>
      </c>
    </row>
    <row r="14" ht="43.5" customHeight="1" s="71">
      <c r="A14" s="7" t="n">
        <v>4</v>
      </c>
      <c r="B14" s="7" t="inlineStr">
        <is>
          <t>SIAS — рамен у пакеті</t>
        </is>
      </c>
      <c r="C14" s="7" t="inlineStr">
        <is>
          <t>Spicy Flavor 112.5 г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129.0293333333333</v>
      </c>
      <c r="H14" s="10">
        <f>G14*$D$4</f>
        <v>32.25733333333333</v>
      </c>
      <c r="I14" s="11">
        <f>G14-F14-H14</f>
        <v>38.70879999999999</v>
      </c>
      <c r="J14" s="12">
        <f>I14/G14</f>
        <v>0.3</v>
      </c>
      <c r="K14" s="13">
        <f>G14*$D$6</f>
        <v>180.64106666666663</v>
      </c>
      <c r="L14" s="14">
        <f>F14/(1-$D$4)</f>
        <v>77.4176</v>
      </c>
      <c r="M14" s="14">
        <f>L14*$D$6</f>
        <v>108.38463999999999</v>
      </c>
      <c r="N14" s="15">
        <f>G14-F14</f>
        <v>70.96613333333332</v>
      </c>
      <c r="O14" s="16">
        <f>N14-H14</f>
        <v>38.70879999999999</v>
      </c>
      <c r="P14" s="40">
        <f>$F14/(1-$D$4-$P$9)</f>
        <v>129.0293333333333</v>
      </c>
      <c r="Q14" s="41">
        <f>P14*$D$4</f>
        <v>32.25733333333333</v>
      </c>
      <c r="R14" s="42">
        <f>P14-$F14-Q14</f>
        <v>38.70879999999999</v>
      </c>
      <c r="S14" s="43">
        <f>R14/P14</f>
        <v>0.3</v>
      </c>
      <c r="T14" s="40">
        <f>P14*$D$6</f>
        <v>180.64106666666663</v>
      </c>
      <c r="U14" s="40">
        <f>$F14/(1-$D$4-$U$9)</f>
        <v>116.12639999999999</v>
      </c>
      <c r="V14" s="41">
        <f>U14*$D$4</f>
        <v>29.031599999999997</v>
      </c>
      <c r="W14" s="42">
        <f>U14-$F14-V14</f>
        <v>29.031599999999997</v>
      </c>
      <c r="X14" s="43">
        <f>W14/U14</f>
        <v>0.25</v>
      </c>
      <c r="Y14" s="40">
        <f>U14*$D$6</f>
        <v>162.57695999999999</v>
      </c>
      <c r="Z14" s="40">
        <f>$F14/(1-$D$4-$Z$9)</f>
        <v>105.56945454545453</v>
      </c>
      <c r="AA14" s="41">
        <f>Z14*$D$4</f>
        <v>26.392363636363633</v>
      </c>
      <c r="AB14" s="42">
        <f>Z14-$F14-AA14</f>
        <v>21.113890909090905</v>
      </c>
      <c r="AC14" s="43">
        <f>AB14/Z14</f>
        <v>0.19999999999999998</v>
      </c>
      <c r="AD14" s="40">
        <f>Z14*$D$6</f>
        <v>147.79723636363633</v>
      </c>
      <c r="AE14" s="40">
        <f>$F14/(1-$D$4-$AE$9)</f>
        <v>96.77199999999999</v>
      </c>
      <c r="AF14" s="41">
        <f>AE14*$D$4</f>
        <v>24.192999999999998</v>
      </c>
      <c r="AG14" s="42">
        <f>AE14-$F14-AF14</f>
        <v>14.515799999999999</v>
      </c>
      <c r="AH14" s="43">
        <f>AG14/AE14</f>
        <v>0.15</v>
      </c>
      <c r="AI14" s="40">
        <f>AE14*$D$6</f>
        <v>135.4808</v>
      </c>
    </row>
    <row r="15" ht="43.5" customHeight="1" s="71">
      <c r="A15" s="7" t="n">
        <v>5</v>
      </c>
      <c r="B15" s="7" t="inlineStr">
        <is>
          <t>SIAS — рамен у пакеті</t>
        </is>
      </c>
      <c r="C15" s="7" t="inlineStr">
        <is>
          <t>Beef Flavor 113 г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129.0293333333333</v>
      </c>
      <c r="H15" s="10">
        <f>G15*$D$4</f>
        <v>32.25733333333333</v>
      </c>
      <c r="I15" s="11">
        <f>G15-F15-H15</f>
        <v>38.70879999999999</v>
      </c>
      <c r="J15" s="12">
        <f>I15/G15</f>
        <v>0.3</v>
      </c>
      <c r="K15" s="13">
        <f>G15*$D$6</f>
        <v>180.64106666666663</v>
      </c>
      <c r="L15" s="14">
        <f>F15/(1-$D$4)</f>
        <v>77.4176</v>
      </c>
      <c r="M15" s="14">
        <f>L15*$D$6</f>
        <v>108.38463999999999</v>
      </c>
      <c r="N15" s="15">
        <f>G15-F15</f>
        <v>70.96613333333332</v>
      </c>
      <c r="O15" s="16">
        <f>N15-H15</f>
        <v>38.70879999999999</v>
      </c>
      <c r="P15" s="40">
        <f>$F15/(1-$D$4-$P$9)</f>
        <v>129.0293333333333</v>
      </c>
      <c r="Q15" s="41">
        <f>P15*$D$4</f>
        <v>32.25733333333333</v>
      </c>
      <c r="R15" s="42">
        <f>P15-$F15-Q15</f>
        <v>38.70879999999999</v>
      </c>
      <c r="S15" s="43">
        <f>R15/P15</f>
        <v>0.3</v>
      </c>
      <c r="T15" s="40">
        <f>P15*$D$6</f>
        <v>180.64106666666663</v>
      </c>
      <c r="U15" s="40">
        <f>$F15/(1-$D$4-$U$9)</f>
        <v>116.12639999999999</v>
      </c>
      <c r="V15" s="41">
        <f>U15*$D$4</f>
        <v>29.031599999999997</v>
      </c>
      <c r="W15" s="42">
        <f>U15-$F15-V15</f>
        <v>29.031599999999997</v>
      </c>
      <c r="X15" s="43">
        <f>W15/U15</f>
        <v>0.25</v>
      </c>
      <c r="Y15" s="40">
        <f>U15*$D$6</f>
        <v>162.57695999999999</v>
      </c>
      <c r="Z15" s="40">
        <f>$F15/(1-$D$4-$Z$9)</f>
        <v>105.56945454545453</v>
      </c>
      <c r="AA15" s="41">
        <f>Z15*$D$4</f>
        <v>26.392363636363633</v>
      </c>
      <c r="AB15" s="42">
        <f>Z15-$F15-AA15</f>
        <v>21.113890909090905</v>
      </c>
      <c r="AC15" s="43">
        <f>AB15/Z15</f>
        <v>0.19999999999999998</v>
      </c>
      <c r="AD15" s="40">
        <f>Z15*$D$6</f>
        <v>147.79723636363633</v>
      </c>
      <c r="AE15" s="40">
        <f>$F15/(1-$D$4-$AE$9)</f>
        <v>96.77199999999999</v>
      </c>
      <c r="AF15" s="41">
        <f>AE15*$D$4</f>
        <v>24.192999999999998</v>
      </c>
      <c r="AG15" s="42">
        <f>AE15-$F15-AF15</f>
        <v>14.515799999999999</v>
      </c>
      <c r="AH15" s="43">
        <f>AG15/AE15</f>
        <v>0.15</v>
      </c>
      <c r="AI15" s="40">
        <f>AE15*$D$6</f>
        <v>135.4808</v>
      </c>
    </row>
    <row r="16" ht="43.5" customHeight="1" s="71">
      <c r="A16" s="7" t="n">
        <v>6</v>
      </c>
      <c r="B16" s="7" t="inlineStr">
        <is>
          <t>SIAS — рамен у пакеті</t>
        </is>
      </c>
      <c r="C16" s="7" t="inlineStr">
        <is>
          <t>Chicken Flavor 113 г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129.0293333333333</v>
      </c>
      <c r="H16" s="10">
        <f>G16*$D$4</f>
        <v>32.25733333333333</v>
      </c>
      <c r="I16" s="11">
        <f>G16-F16-H16</f>
        <v>38.70879999999999</v>
      </c>
      <c r="J16" s="12">
        <f>I16/G16</f>
        <v>0.3</v>
      </c>
      <c r="K16" s="13">
        <f>G16*$D$6</f>
        <v>180.64106666666663</v>
      </c>
      <c r="L16" s="14">
        <f>F16/(1-$D$4)</f>
        <v>77.4176</v>
      </c>
      <c r="M16" s="14">
        <f>L16*$D$6</f>
        <v>108.38463999999999</v>
      </c>
      <c r="N16" s="15">
        <f>G16-F16</f>
        <v>70.96613333333332</v>
      </c>
      <c r="O16" s="16">
        <f>N16-H16</f>
        <v>38.70879999999999</v>
      </c>
      <c r="P16" s="40">
        <f>$F16/(1-$D$4-$P$9)</f>
        <v>129.0293333333333</v>
      </c>
      <c r="Q16" s="41">
        <f>P16*$D$4</f>
        <v>32.25733333333333</v>
      </c>
      <c r="R16" s="42">
        <f>P16-$F16-Q16</f>
        <v>38.70879999999999</v>
      </c>
      <c r="S16" s="43">
        <f>R16/P16</f>
        <v>0.3</v>
      </c>
      <c r="T16" s="40">
        <f>P16*$D$6</f>
        <v>180.64106666666663</v>
      </c>
      <c r="U16" s="40">
        <f>$F16/(1-$D$4-$U$9)</f>
        <v>116.12639999999999</v>
      </c>
      <c r="V16" s="41">
        <f>U16*$D$4</f>
        <v>29.031599999999997</v>
      </c>
      <c r="W16" s="42">
        <f>U16-$F16-V16</f>
        <v>29.031599999999997</v>
      </c>
      <c r="X16" s="43">
        <f>W16/U16</f>
        <v>0.25</v>
      </c>
      <c r="Y16" s="40">
        <f>U16*$D$6</f>
        <v>162.57695999999999</v>
      </c>
      <c r="Z16" s="40">
        <f>$F16/(1-$D$4-$Z$9)</f>
        <v>105.56945454545453</v>
      </c>
      <c r="AA16" s="41">
        <f>Z16*$D$4</f>
        <v>26.392363636363633</v>
      </c>
      <c r="AB16" s="42">
        <f>Z16-$F16-AA16</f>
        <v>21.113890909090905</v>
      </c>
      <c r="AC16" s="43">
        <f>AB16/Z16</f>
        <v>0.19999999999999998</v>
      </c>
      <c r="AD16" s="40">
        <f>Z16*$D$6</f>
        <v>147.79723636363633</v>
      </c>
      <c r="AE16" s="40">
        <f>$F16/(1-$D$4-$AE$9)</f>
        <v>96.77199999999999</v>
      </c>
      <c r="AF16" s="41">
        <f>AE16*$D$4</f>
        <v>24.192999999999998</v>
      </c>
      <c r="AG16" s="42">
        <f>AE16-$F16-AF16</f>
        <v>14.515799999999999</v>
      </c>
      <c r="AH16" s="43">
        <f>AG16/AE16</f>
        <v>0.15</v>
      </c>
      <c r="AI16" s="40">
        <f>AE16*$D$6</f>
        <v>135.4808</v>
      </c>
    </row>
    <row r="19" ht="28.05" customHeight="1" s="71">
      <c r="A19" s="26" t="n"/>
      <c r="B19" s="88" t="inlineStr">
        <is>
          <t>Кожен крок формування ціни — за вашим прикладом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Що рахуємо</t>
        </is>
      </c>
      <c r="D21" s="70" t="inlineStr">
        <is>
          <t>Дія</t>
        </is>
      </c>
      <c r="F21" s="27" t="str">
        <f>C11</f>
        <v>Gouda Cheese 123 г</v>
      </c>
      <c r="G21" s="27" t="str">
        <f>C12</f>
        <v>Carbonara Spicy 131 г</v>
      </c>
      <c r="H21" s="27" t="str">
        <f>C13</f>
        <v>Vegetable Flavor 113 г</v>
      </c>
      <c r="I21" s="27" t="str">
        <f>C14</f>
        <v>Spicy Flavor 112.5 г</v>
      </c>
      <c r="J21" s="27" t="str">
        <f>C15</f>
        <v>Beef Flavor 113 г</v>
      </c>
      <c r="K21" s="27" t="str">
        <f>C16</f>
        <v>Chicken Flavor 113 г</v>
      </c>
    </row>
    <row r="22" ht="31.05" customHeight="1" s="71">
      <c r="A22" s="64" t="n">
        <v>1</v>
      </c>
      <c r="B22" s="64" t="inlineStr">
        <is>
          <t>Собівартість в Україні, EUR/уп.</t>
        </is>
      </c>
      <c r="C22" s="65" t="n"/>
      <c r="D22" s="67" t="inlineStr">
        <is>
          <t>Із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Курс, грн/EUR</t>
        </is>
      </c>
      <c r="C23" s="65" t="n"/>
      <c r="D23" s="67" t="inlineStr">
        <is>
          <t>Умова в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Собівартість в Україні, грн/уп.</t>
        </is>
      </c>
      <c r="C24" s="65" t="n"/>
      <c r="D24" s="67" t="inlineStr">
        <is>
          <t>Крок 1 × крок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Повна ціна партнеру, %</t>
        </is>
      </c>
      <c r="C25" s="65" t="n"/>
      <c r="D25" s="67" t="inlineStr">
        <is>
          <t>База для всіх відсотків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Бонус мережі, %</t>
        </is>
      </c>
      <c r="C26" s="65" t="n"/>
      <c r="D26" s="67" t="inlineStr">
        <is>
          <t>Умова в D4</t>
        </is>
      </c>
      <c r="E26" s="65" t="n"/>
      <c r="F26" s="32">
        <f>$D$4</f>
        <v>0.25</v>
      </c>
      <c r="G26" s="32">
        <f>$D$4</f>
        <v>0.25</v>
      </c>
      <c r="H26" s="32">
        <f>$D$4</f>
        <v>0.25</v>
      </c>
      <c r="I26" s="32">
        <f>$D$4</f>
        <v>0.25</v>
      </c>
      <c r="J26" s="32">
        <f>$D$4</f>
        <v>0.25</v>
      </c>
      <c r="K26" s="32">
        <f>$D$4</f>
        <v>0.25</v>
      </c>
    </row>
    <row r="27" ht="31.05" customHeight="1" s="71">
      <c r="A27" s="64" t="n">
        <v>6</v>
      </c>
      <c r="B27" s="64" t="inlineStr">
        <is>
          <t>Частка ціни після бонусу, %</t>
        </is>
      </c>
      <c r="C27" s="65" t="n"/>
      <c r="D27" s="67" t="inlineStr">
        <is>
          <t>Крок 4 − крок 5</t>
        </is>
      </c>
      <c r="E27" s="65" t="n"/>
      <c r="F27" s="32">
        <f>1-$D$4</f>
        <v>0.75</v>
      </c>
      <c r="G27" s="32">
        <f>1-$D$4</f>
        <v>0.75</v>
      </c>
      <c r="H27" s="32">
        <f>1-$D$4</f>
        <v>0.75</v>
      </c>
      <c r="I27" s="32">
        <f>1-$D$4</f>
        <v>0.75</v>
      </c>
      <c r="J27" s="32">
        <f>1-$D$4</f>
        <v>0.75</v>
      </c>
      <c r="K27" s="32">
        <f>1-$D$4</f>
        <v>0.75</v>
      </c>
    </row>
    <row r="28" ht="31.05" customHeight="1" s="71">
      <c r="A28" s="64" t="n">
        <v>7</v>
      </c>
      <c r="B28" s="64" t="inlineStr">
        <is>
          <t>Наша цільова маржа, %</t>
        </is>
      </c>
      <c r="C28" s="65" t="n"/>
      <c r="D28" s="67" t="inlineStr">
        <is>
          <t>Умова в D5</t>
        </is>
      </c>
      <c r="E28" s="65" t="n"/>
      <c r="F28" s="32">
        <f>$D$5</f>
        <v>0.3</v>
      </c>
      <c r="G28" s="32">
        <f>$D$5</f>
        <v>0.3</v>
      </c>
      <c r="H28" s="32">
        <f>$D$5</f>
        <v>0.3</v>
      </c>
      <c r="I28" s="32">
        <f>$D$5</f>
        <v>0.3</v>
      </c>
      <c r="J28" s="32">
        <f>$D$5</f>
        <v>0.3</v>
      </c>
      <c r="K28" s="32">
        <f>$D$5</f>
        <v>0.3</v>
      </c>
    </row>
    <row r="29" ht="31.05" customHeight="1" s="71">
      <c r="A29" s="64" t="n">
        <v>8</v>
      </c>
      <c r="B29" s="64" t="inlineStr">
        <is>
          <t>Частка ціни для собівартості, %</t>
        </is>
      </c>
      <c r="C29" s="65" t="n"/>
      <c r="D29" s="67" t="inlineStr">
        <is>
          <t>Крок 6 − крок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Ціна партнеру з ПДВ, грн/уп.</t>
        </is>
      </c>
      <c r="C30" s="65" t="n"/>
      <c r="D30" s="82" t="inlineStr">
        <is>
          <t>Крок 3 ÷ крок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Валовий прибуток до бонусу, грн/уп.</t>
        </is>
      </c>
      <c r="C31" s="65" t="n"/>
      <c r="D31" s="67" t="inlineStr">
        <is>
          <t>Крок 9 − крок 3</t>
        </is>
      </c>
      <c r="E31" s="65" t="n"/>
      <c r="F31" s="31">
        <f>N11</f>
        <v>81.88400000000001</v>
      </c>
      <c r="G31" s="31">
        <f>N12</f>
        <v>81.88400000000001</v>
      </c>
      <c r="H31" s="31">
        <f>N13</f>
        <v>70.96613333333332</v>
      </c>
      <c r="I31" s="31">
        <f>N14</f>
        <v>70.96613333333332</v>
      </c>
      <c r="J31" s="31">
        <f>N15</f>
        <v>70.96613333333332</v>
      </c>
      <c r="K31" s="31">
        <f>N16</f>
        <v>70.96613333333332</v>
      </c>
    </row>
    <row r="32" ht="31.05" customHeight="1" s="71">
      <c r="A32" s="64" t="n">
        <v>11</v>
      </c>
      <c r="B32" s="64" t="inlineStr">
        <is>
          <t>Бонус мережі, грн/уп.</t>
        </is>
      </c>
      <c r="C32" s="65" t="n"/>
      <c r="D32" s="67" t="inlineStr">
        <is>
          <t>Крок 9 × крок 5</t>
        </is>
      </c>
      <c r="E32" s="65" t="n"/>
      <c r="F32" s="31">
        <f>H11</f>
        <v>37.220000000000006</v>
      </c>
      <c r="G32" s="31">
        <f>H12</f>
        <v>37.220000000000006</v>
      </c>
      <c r="H32" s="31">
        <f>H13</f>
        <v>32.25733333333333</v>
      </c>
      <c r="I32" s="31">
        <f>H14</f>
        <v>32.25733333333333</v>
      </c>
      <c r="J32" s="31">
        <f>H15</f>
        <v>32.25733333333333</v>
      </c>
      <c r="K32" s="31">
        <f>H16</f>
        <v>32.25733333333333</v>
      </c>
    </row>
    <row r="33" ht="31.05" customHeight="1" s="71">
      <c r="A33" s="81" t="n">
        <v>12</v>
      </c>
      <c r="B33" s="81" t="inlineStr">
        <is>
          <t>Нам залишається після собівартості та бонусу, грн/уп.</t>
        </is>
      </c>
      <c r="C33" s="65" t="n"/>
      <c r="D33" s="66" t="inlineStr">
        <is>
          <t>Крок 10 − крок 11</t>
        </is>
      </c>
      <c r="E33" s="65" t="n"/>
      <c r="F33" s="36">
        <f>I11</f>
        <v>44.66400000000001</v>
      </c>
      <c r="G33" s="36">
        <f>I12</f>
        <v>44.66400000000001</v>
      </c>
      <c r="H33" s="36">
        <f>I13</f>
        <v>38.70879999999999</v>
      </c>
      <c r="I33" s="36">
        <f>I14</f>
        <v>38.70879999999999</v>
      </c>
      <c r="J33" s="36">
        <f>I15</f>
        <v>38.70879999999999</v>
      </c>
      <c r="K33" s="36">
        <f>I16</f>
        <v>38.70879999999999</v>
      </c>
    </row>
    <row r="34" ht="31.05" customHeight="1" s="71">
      <c r="A34" s="81" t="n">
        <v>13</v>
      </c>
      <c r="B34" s="81" t="inlineStr">
        <is>
          <t>Перевірка нашої маржі після бонусу, %</t>
        </is>
      </c>
      <c r="C34" s="65" t="n"/>
      <c r="D34" s="66" t="inlineStr">
        <is>
          <t>Крок 12 ÷ крок 9</t>
        </is>
      </c>
      <c r="E34" s="65" t="n"/>
      <c r="F34" s="37">
        <f>J11</f>
        <v>0.3</v>
      </c>
      <c r="G34" s="37">
        <f>J12</f>
        <v>0.3</v>
      </c>
      <c r="H34" s="37">
        <f>J13</f>
        <v>0.3</v>
      </c>
      <c r="I34" s="37">
        <f>J14</f>
        <v>0.3</v>
      </c>
      <c r="J34" s="37">
        <f>J15</f>
        <v>0.3</v>
      </c>
      <c r="K34" s="37">
        <f>J16</f>
        <v>0.3</v>
      </c>
    </row>
    <row r="35" ht="31.05" customHeight="1" s="71">
      <c r="A35" s="64" t="n">
        <v>14</v>
      </c>
      <c r="B35" s="64" t="inlineStr">
        <is>
          <t>Націнка ритейлера для полиці, %</t>
        </is>
      </c>
      <c r="C35" s="65" t="n"/>
      <c r="D35" s="67" t="inlineStr">
        <is>
          <t>Множник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Множник ритейлера</t>
        </is>
      </c>
      <c r="C36" s="65" t="n"/>
      <c r="D36" s="67" t="inlineStr">
        <is>
          <t>1 + крок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Ціна на полиці з ПДВ, грн/уп.</t>
        </is>
      </c>
      <c r="C37" s="65" t="n"/>
      <c r="D37" s="82" t="inlineStr">
        <is>
          <t>Крок 9 × крок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Ціна партнеру при нульовому нашому прибутку, грн/уп.</t>
        </is>
      </c>
      <c r="C38" s="65" t="n"/>
      <c r="D38" s="67" t="inlineStr">
        <is>
          <t>Крок 3 ÷ крок 6</t>
        </is>
      </c>
      <c r="E38" s="65" t="n"/>
      <c r="F38" s="31">
        <f>L11</f>
        <v>89.32800000000002</v>
      </c>
      <c r="G38" s="31">
        <f>L12</f>
        <v>89.32800000000002</v>
      </c>
      <c r="H38" s="31">
        <f>L13</f>
        <v>77.4176</v>
      </c>
      <c r="I38" s="31">
        <f>L14</f>
        <v>77.4176</v>
      </c>
      <c r="J38" s="31">
        <f>L15</f>
        <v>77.4176</v>
      </c>
      <c r="K38" s="31">
        <f>L16</f>
        <v>77.4176</v>
      </c>
    </row>
    <row r="39" ht="31.05" customHeight="1" s="71">
      <c r="A39" s="64" t="n">
        <v>18</v>
      </c>
      <c r="B39" s="64" t="inlineStr">
        <is>
          <t>Полиця при нульовому нашому прибутку, грн/уп.</t>
        </is>
      </c>
      <c r="C39" s="65" t="n"/>
      <c r="D39" s="67" t="inlineStr">
        <is>
          <t>Крок 17 × крок 15</t>
        </is>
      </c>
      <c r="E39" s="65" t="n"/>
      <c r="F39" s="31">
        <f>M11</f>
        <v>125.05920000000002</v>
      </c>
      <c r="G39" s="31">
        <f>M12</f>
        <v>125.05920000000002</v>
      </c>
      <c r="H39" s="31">
        <f>M13</f>
        <v>108.38463999999999</v>
      </c>
      <c r="I39" s="31">
        <f>M14</f>
        <v>108.38463999999999</v>
      </c>
      <c r="J39" s="31">
        <f>M15</f>
        <v>108.38463999999999</v>
      </c>
      <c r="K39" s="31">
        <f>M16</f>
        <v>108.38463999999999</v>
      </c>
    </row>
    <row r="42" ht="26" customHeight="1" s="71">
      <c r="B42" s="152" t="inlineStr">
        <is>
          <t>ДО → ПІСЛЯ · ціна на полиці при поточній закупівлі та при запиті SIAS</t>
        </is>
      </c>
    </row>
    <row r="43" ht="20" customHeight="1" s="71">
      <c r="B43" s="153" t="str">
        <f>"Бонус мережі "&amp;ROUND('Цена 120 грн — 6 паллет'!D14*100,0)&amp;" % · маржа "&amp;ROUND('Цена 120 грн — 6 паллет'!C14*100,0)&amp;" % · націнка ×"&amp;'Цена 120 грн — 6 паллет'!E14</f>
        <v>Бонус мережі 25 % · маржа 30 % · націнка ×1.4</v>
      </c>
    </row>
    <row r="44" ht="26" customHeight="1" s="71">
      <c r="E44" s="154" t="inlineStr">
        <is>
          <t>ДО · поточна закупівля SIAS</t>
        </is>
      </c>
      <c r="F44" s="172" t="n"/>
      <c r="G44" s="172" t="n"/>
      <c r="H44" s="172" t="n"/>
      <c r="I44" s="172" t="n"/>
      <c r="J44" s="173" t="n"/>
      <c r="K44" s="155" t="inlineStr">
        <is>
          <t>ПІСЛЯ · запит SIAS (одна ціна на 6 SKU)</t>
        </is>
      </c>
      <c r="L44" s="172" t="n"/>
      <c r="M44" s="172" t="n"/>
      <c r="N44" s="172" t="n"/>
      <c r="O44" s="172" t="n"/>
      <c r="P44" s="173" t="n"/>
      <c r="Q44" s="156" t="inlineStr">
        <is>
          <t>ЗМІНА</t>
        </is>
      </c>
      <c r="R44" s="173" t="n"/>
    </row>
    <row r="45" ht="42" customHeight="1" s="71">
      <c r="A45" s="157" t="inlineStr">
        <is>
          <t>№</t>
        </is>
      </c>
      <c r="B45" s="157" t="inlineStr">
        <is>
          <t>Позиція</t>
        </is>
      </c>
      <c r="C45" s="157" t="inlineStr">
        <is>
          <t>Закупівля SIAS: до → після</t>
        </is>
      </c>
      <c r="D45" s="157" t="inlineStr">
        <is>
          <t>Вага, г</t>
        </is>
      </c>
      <c r="E45" s="158" t="inlineStr">
        <is>
          <t>Закупівля, €/пач.</t>
        </is>
      </c>
      <c r="F45" s="158" t="inlineStr">
        <is>
          <t>СС, ₴/пач.</t>
        </is>
      </c>
      <c r="G45" s="158" t="inlineStr">
        <is>
          <t>Ціна партнеру, ₴</t>
        </is>
      </c>
      <c r="H45" s="158" t="inlineStr">
        <is>
          <t>Бонус мережі, ₴</t>
        </is>
      </c>
      <c r="I45" s="158" t="inlineStr">
        <is>
          <t>Залишається після бонусу, ₴</t>
        </is>
      </c>
      <c r="J45" s="158" t="inlineStr">
        <is>
          <t>Полиця з ПДВ, ₴</t>
        </is>
      </c>
      <c r="K45" s="159" t="inlineStr">
        <is>
          <t>Закупівля, €/пач.</t>
        </is>
      </c>
      <c r="L45" s="159" t="inlineStr">
        <is>
          <t>СС, ₴/пач.</t>
        </is>
      </c>
      <c r="M45" s="159" t="inlineStr">
        <is>
          <t>Ціна партнеру, ₴</t>
        </is>
      </c>
      <c r="N45" s="159" t="inlineStr">
        <is>
          <t>Бонус мережі, ₴</t>
        </is>
      </c>
      <c r="O45" s="159" t="inlineStr">
        <is>
          <t>Залишається після бонусу, ₴</t>
        </is>
      </c>
      <c r="P45" s="159" t="inlineStr">
        <is>
          <t>Полиця з ПДВ, ₴</t>
        </is>
      </c>
      <c r="Q45" s="160" t="inlineStr">
        <is>
          <t>Δ полиці, ₴</t>
        </is>
      </c>
      <c r="R45" s="160" t="inlineStr">
        <is>
          <t>Δ полиці, %</t>
        </is>
      </c>
    </row>
    <row r="46" ht="30" customHeight="1" s="71">
      <c r="A46" s="161">
        <f>A11</f>
        <v>1</v>
      </c>
      <c r="B46" s="162" t="str">
        <f>C11</f>
        <v>Gouda Cheese 123 г</v>
      </c>
      <c r="C46" s="161" t="str">
        <f>"€"&amp;ROUND(E46,2)&amp;" → €"&amp;ROUND(K46,2)</f>
        <v>€0.75 → €0.32</v>
      </c>
      <c r="D46" s="161">
        <f>D11</f>
        <v>123</v>
      </c>
      <c r="E46" s="163">
        <f>'Цена 120 грн — 6 паллет'!$B$7</f>
        <v>0.75</v>
      </c>
      <c r="F46" s="164">
        <f>F11</f>
        <v>66.99600000000001</v>
      </c>
      <c r="G46" s="164">
        <f>G11</f>
        <v>148.88000000000002</v>
      </c>
      <c r="H46" s="164">
        <f>H11</f>
        <v>37.220000000000006</v>
      </c>
      <c r="I46" s="164">
        <f>I11</f>
        <v>44.66400000000001</v>
      </c>
      <c r="J46" s="165">
        <f>K11</f>
        <v>208.43200000000002</v>
      </c>
      <c r="K46" s="166">
        <f>'Цена 120 грн — 6 паллет'!$B$20</f>
        <v>0.32</v>
      </c>
      <c r="L46" s="167">
        <f>'Цена 120 грн — 6 паллет'!$C$8</f>
        <v>38.15951999999999</v>
      </c>
      <c r="M46" s="167">
        <f>L46/(1-$D$4-$D$5)</f>
        <v>84.79893333333332</v>
      </c>
      <c r="N46" s="167">
        <f>M46*$D$4</f>
        <v>21.19973333333333</v>
      </c>
      <c r="O46" s="167">
        <f>M46-L46-N46</f>
        <v>25.43968</v>
      </c>
      <c r="P46" s="168">
        <f>M46*$D$6</f>
        <v>118.71850666666664</v>
      </c>
      <c r="Q46" s="174">
        <f>P46-J46</f>
        <v>-89.71349333333337</v>
      </c>
      <c r="R46" s="175">
        <f>Q46/J46</f>
        <v>-0.4304209206519794</v>
      </c>
    </row>
    <row r="47" ht="30" customHeight="1" s="71">
      <c r="A47" s="161">
        <f>A12</f>
        <v>2</v>
      </c>
      <c r="B47" s="162" t="str">
        <f>C12</f>
        <v>Carbonara Spicy 131 г</v>
      </c>
      <c r="C47" s="161" t="str">
        <f>"€"&amp;ROUND(E47,2)&amp;" → €"&amp;ROUND(K47,2)</f>
        <v>€0.75 → €0.32</v>
      </c>
      <c r="D47" s="161">
        <f>D12</f>
        <v>131</v>
      </c>
      <c r="E47" s="163">
        <f>'Цена 120 грн — 6 паллет'!$B$7</f>
        <v>0.75</v>
      </c>
      <c r="F47" s="164">
        <f>F12</f>
        <v>66.99600000000001</v>
      </c>
      <c r="G47" s="164">
        <f>G12</f>
        <v>148.88000000000002</v>
      </c>
      <c r="H47" s="164">
        <f>H12</f>
        <v>37.220000000000006</v>
      </c>
      <c r="I47" s="164">
        <f>I12</f>
        <v>44.66400000000001</v>
      </c>
      <c r="J47" s="165">
        <f>K12</f>
        <v>208.43200000000002</v>
      </c>
      <c r="K47" s="166">
        <f>'Цена 120 грн — 6 паллет'!$B$20</f>
        <v>0.32</v>
      </c>
      <c r="L47" s="167">
        <f>'Цена 120 грн — 6 паллет'!$C$8</f>
        <v>38.15951999999999</v>
      </c>
      <c r="M47" s="167">
        <f>L47/(1-$D$4-$D$5)</f>
        <v>84.79893333333332</v>
      </c>
      <c r="N47" s="167">
        <f>M47*$D$4</f>
        <v>21.19973333333333</v>
      </c>
      <c r="O47" s="167">
        <f>M47-L47-N47</f>
        <v>25.43968</v>
      </c>
      <c r="P47" s="168">
        <f>M47*$D$6</f>
        <v>118.71850666666664</v>
      </c>
      <c r="Q47" s="174">
        <f>P47-J47</f>
        <v>-89.71349333333337</v>
      </c>
      <c r="R47" s="175">
        <f>Q47/J47</f>
        <v>-0.4304209206519794</v>
      </c>
    </row>
    <row r="48" ht="30" customHeight="1" s="71">
      <c r="A48" s="161">
        <f>A13</f>
        <v>3</v>
      </c>
      <c r="B48" s="162" t="str">
        <f>C13</f>
        <v>Vegetable Flavor 113 г</v>
      </c>
      <c r="C48" s="161" t="str">
        <f>"€"&amp;ROUND(E48,2)&amp;" → €"&amp;ROUND(K48,2)</f>
        <v>€0.65 → €0.32</v>
      </c>
      <c r="D48" s="161">
        <f>D13</f>
        <v>113</v>
      </c>
      <c r="E48" s="163">
        <f>'Цена 120 грн — 6 паллет'!$B$5</f>
        <v>0.65</v>
      </c>
      <c r="F48" s="164">
        <f>F13</f>
        <v>58.063199999999995</v>
      </c>
      <c r="G48" s="164">
        <f>G13</f>
        <v>129.0293333333333</v>
      </c>
      <c r="H48" s="164">
        <f>H13</f>
        <v>32.25733333333333</v>
      </c>
      <c r="I48" s="164">
        <f>I13</f>
        <v>38.70879999999999</v>
      </c>
      <c r="J48" s="165">
        <f>K13</f>
        <v>180.64106666666663</v>
      </c>
      <c r="K48" s="166">
        <f>'Цена 120 грн — 6 паллет'!$B$20</f>
        <v>0.32</v>
      </c>
      <c r="L48" s="167">
        <f>'Цена 120 грн — 6 паллет'!$C$8</f>
        <v>38.15951999999999</v>
      </c>
      <c r="M48" s="167">
        <f>L48/(1-$D$4-$D$5)</f>
        <v>84.79893333333332</v>
      </c>
      <c r="N48" s="167">
        <f>M48*$D$4</f>
        <v>21.19973333333333</v>
      </c>
      <c r="O48" s="167">
        <f>M48-L48-N48</f>
        <v>25.43968</v>
      </c>
      <c r="P48" s="168">
        <f>M48*$D$6</f>
        <v>118.71850666666664</v>
      </c>
      <c r="Q48" s="174">
        <f>P48-J48</f>
        <v>-61.92255999999999</v>
      </c>
      <c r="R48" s="175">
        <f>Q48/J48</f>
        <v>-0.342793369983053</v>
      </c>
    </row>
    <row r="49" ht="30" customHeight="1" s="71">
      <c r="A49" s="161">
        <f>A14</f>
        <v>4</v>
      </c>
      <c r="B49" s="162" t="str">
        <f>C14</f>
        <v>Spicy Flavor 112.5 г</v>
      </c>
      <c r="C49" s="161" t="str">
        <f>"€"&amp;ROUND(E49,2)&amp;" → €"&amp;ROUND(K49,2)</f>
        <v>€0.65 → €0.32</v>
      </c>
      <c r="D49" s="161">
        <f>D14</f>
        <v>112.5</v>
      </c>
      <c r="E49" s="163">
        <f>'Цена 120 грн — 6 паллет'!$B$5</f>
        <v>0.65</v>
      </c>
      <c r="F49" s="164">
        <f>F14</f>
        <v>58.063199999999995</v>
      </c>
      <c r="G49" s="164">
        <f>G14</f>
        <v>129.0293333333333</v>
      </c>
      <c r="H49" s="164">
        <f>H14</f>
        <v>32.25733333333333</v>
      </c>
      <c r="I49" s="164">
        <f>I14</f>
        <v>38.70879999999999</v>
      </c>
      <c r="J49" s="165">
        <f>K14</f>
        <v>180.64106666666663</v>
      </c>
      <c r="K49" s="166">
        <f>'Цена 120 грн — 6 паллет'!$B$20</f>
        <v>0.32</v>
      </c>
      <c r="L49" s="167">
        <f>'Цена 120 грн — 6 паллет'!$C$8</f>
        <v>38.15951999999999</v>
      </c>
      <c r="M49" s="167">
        <f>L49/(1-$D$4-$D$5)</f>
        <v>84.79893333333332</v>
      </c>
      <c r="N49" s="167">
        <f>M49*$D$4</f>
        <v>21.19973333333333</v>
      </c>
      <c r="O49" s="167">
        <f>M49-L49-N49</f>
        <v>25.43968</v>
      </c>
      <c r="P49" s="168">
        <f>M49*$D$6</f>
        <v>118.71850666666664</v>
      </c>
      <c r="Q49" s="174">
        <f>P49-J49</f>
        <v>-61.92255999999999</v>
      </c>
      <c r="R49" s="175">
        <f>Q49/J49</f>
        <v>-0.342793369983053</v>
      </c>
    </row>
    <row r="50" ht="30" customHeight="1" s="71">
      <c r="A50" s="161">
        <f>A15</f>
        <v>5</v>
      </c>
      <c r="B50" s="162" t="str">
        <f>C15</f>
        <v>Beef Flavor 113 г</v>
      </c>
      <c r="C50" s="161" t="str">
        <f>"€"&amp;ROUND(E50,2)&amp;" → €"&amp;ROUND(K50,2)</f>
        <v>€0.65 → €0.32</v>
      </c>
      <c r="D50" s="161">
        <f>D15</f>
        <v>113</v>
      </c>
      <c r="E50" s="163">
        <f>'Цена 120 грн — 6 паллет'!$B$5</f>
        <v>0.65</v>
      </c>
      <c r="F50" s="164">
        <f>F15</f>
        <v>58.063199999999995</v>
      </c>
      <c r="G50" s="164">
        <f>G15</f>
        <v>129.0293333333333</v>
      </c>
      <c r="H50" s="164">
        <f>H15</f>
        <v>32.25733333333333</v>
      </c>
      <c r="I50" s="164">
        <f>I15</f>
        <v>38.70879999999999</v>
      </c>
      <c r="J50" s="165">
        <f>K15</f>
        <v>180.64106666666663</v>
      </c>
      <c r="K50" s="166">
        <f>'Цена 120 грн — 6 паллет'!$B$20</f>
        <v>0.32</v>
      </c>
      <c r="L50" s="167">
        <f>'Цена 120 грн — 6 паллет'!$C$8</f>
        <v>38.15951999999999</v>
      </c>
      <c r="M50" s="167">
        <f>L50/(1-$D$4-$D$5)</f>
        <v>84.79893333333332</v>
      </c>
      <c r="N50" s="167">
        <f>M50*$D$4</f>
        <v>21.19973333333333</v>
      </c>
      <c r="O50" s="167">
        <f>M50-L50-N50</f>
        <v>25.43968</v>
      </c>
      <c r="P50" s="168">
        <f>M50*$D$6</f>
        <v>118.71850666666664</v>
      </c>
      <c r="Q50" s="174">
        <f>P50-J50</f>
        <v>-61.92255999999999</v>
      </c>
      <c r="R50" s="175">
        <f>Q50/J50</f>
        <v>-0.342793369983053</v>
      </c>
    </row>
    <row r="51" ht="30" customHeight="1" s="71">
      <c r="A51" s="161">
        <f>A16</f>
        <v>6</v>
      </c>
      <c r="B51" s="162" t="str">
        <f>C16</f>
        <v>Chicken Flavor 113 г</v>
      </c>
      <c r="C51" s="161" t="str">
        <f>"€"&amp;ROUND(E51,2)&amp;" → €"&amp;ROUND(K51,2)</f>
        <v>€0.65 → €0.32</v>
      </c>
      <c r="D51" s="161">
        <f>D16</f>
        <v>113</v>
      </c>
      <c r="E51" s="163">
        <f>'Цена 120 грн — 6 паллет'!$B$5</f>
        <v>0.65</v>
      </c>
      <c r="F51" s="164">
        <f>F16</f>
        <v>58.063199999999995</v>
      </c>
      <c r="G51" s="164">
        <f>G16</f>
        <v>129.0293333333333</v>
      </c>
      <c r="H51" s="164">
        <f>H16</f>
        <v>32.25733333333333</v>
      </c>
      <c r="I51" s="164">
        <f>I16</f>
        <v>38.70879999999999</v>
      </c>
      <c r="J51" s="165">
        <f>K16</f>
        <v>180.64106666666663</v>
      </c>
      <c r="K51" s="166">
        <f>'Цена 120 грн — 6 паллет'!$B$20</f>
        <v>0.32</v>
      </c>
      <c r="L51" s="167">
        <f>'Цена 120 грн — 6 паллет'!$C$8</f>
        <v>38.15951999999999</v>
      </c>
      <c r="M51" s="167">
        <f>L51/(1-$D$4-$D$5)</f>
        <v>84.79893333333332</v>
      </c>
      <c r="N51" s="167">
        <f>M51*$D$4</f>
        <v>21.19973333333333</v>
      </c>
      <c r="O51" s="167">
        <f>M51-L51-N51</f>
        <v>25.43968</v>
      </c>
      <c r="P51" s="168">
        <f>M51*$D$6</f>
        <v>118.71850666666664</v>
      </c>
      <c r="Q51" s="174">
        <f>P51-J51</f>
        <v>-61.92255999999999</v>
      </c>
      <c r="R51" s="175">
        <f>Q51/J51</f>
        <v>-0.342793369983053</v>
      </c>
    </row>
    <row r="53" ht="30" customHeight="1" s="71">
      <c r="B53" s="171" t="inlineStr">
        <is>
          <t>СС «до» — реальна (Self-Cost), «після» — розрахунок на запит SIAS (логістика рівномірно на пачку). Бонус, маржа та націнка — з аркуша «Цена 120 грн».</t>
        </is>
      </c>
    </row>
    <row r="56" ht="26" customHeight="1" s="71">
      <c r="B56" s="152" t="inlineStr">
        <is>
          <t>СЦЕНАРІЇ МАРЖІ · ДО та ПІСЛЯ запиту SIAS</t>
        </is>
      </c>
    </row>
    <row r="57" ht="30" customHeight="1" s="71">
      <c r="B57" s="54" t="inlineStr">
        <is>
          <t>Для кожної маржі: полиця при поточній закупівлі (ДО) і закупівля, яку має прийняти SIAS, щоб полиця була 120 ₴ (ПІСЛЯ). Бонус мережі та націнка — як на аркуші «Цена 120 грн».</t>
        </is>
      </c>
    </row>
    <row r="58" ht="24" customHeight="1" s="71">
      <c r="E58" s="154" t="inlineStr">
        <is>
          <t>ДО · поточна закупівля</t>
        </is>
      </c>
      <c r="F58" s="154" t="n"/>
      <c r="G58" s="155" t="inlineStr">
        <is>
          <t>ПІСЛЯ · запит для полиці 120 ₴</t>
        </is>
      </c>
      <c r="H58" s="155" t="n"/>
      <c r="I58" s="155" t="n"/>
      <c r="J58" s="156" t="inlineStr">
        <is>
          <t>ЗМІНА відносно ДО</t>
        </is>
      </c>
      <c r="K58" s="156" t="n"/>
      <c r="L58" s="156" t="n"/>
      <c r="M58" s="156" t="n"/>
    </row>
    <row r="59" ht="38" customHeight="1" s="71">
      <c r="B59" s="157" t="inlineStr">
        <is>
          <t>Маржа</t>
        </is>
      </c>
      <c r="C59" s="157" t="inlineStr"/>
      <c r="D59" s="157" t="inlineStr">
        <is>
          <t>Частка ціни на СС</t>
        </is>
      </c>
      <c r="E59" s="158" t="inlineStr">
        <is>
          <t>Полиця 4 SKU, ₴</t>
        </is>
      </c>
      <c r="F59" s="158" t="inlineStr">
        <is>
          <t>Полиця 2 SKU, ₴</t>
        </is>
      </c>
      <c r="G59" s="159" t="inlineStr">
        <is>
          <t>Запит, €/пач.</t>
        </is>
      </c>
      <c r="H59" s="159" t="inlineStr">
        <is>
          <t>СС, ₴</t>
        </is>
      </c>
      <c r="I59" s="159" t="inlineStr">
        <is>
          <t>Полиця, ₴</t>
        </is>
      </c>
      <c r="J59" s="160" t="inlineStr">
        <is>
          <t>Δ 4 SKU, ₴</t>
        </is>
      </c>
      <c r="K59" s="160" t="inlineStr">
        <is>
          <t>Δ 4 SKU, %</t>
        </is>
      </c>
      <c r="L59" s="160" t="inlineStr">
        <is>
          <t>Δ 2 SKU, ₴</t>
        </is>
      </c>
      <c r="M59" s="160" t="inlineStr">
        <is>
          <t>Δ 2 SKU, %</t>
        </is>
      </c>
    </row>
    <row r="60" ht="28" customHeight="1" s="71">
      <c r="B60" s="176" t="n">
        <v>0.35</v>
      </c>
      <c r="C60" s="177" t="str">
        <f>IF(ABS(B60-'Цена 120 грн — 6 паллет'!$C$14)&lt;0.0000001,"◄ поточна","")</f>
        <v/>
      </c>
      <c r="D60" s="178">
        <f>1-'Финмодель 6 паллет'!$D$4-B60</f>
        <v>0.4</v>
      </c>
      <c r="E60" s="179">
        <f>'Финмодель 6 паллет'!$F$13/D60*'Финмодель 6 паллет'!$D$6</f>
        <v>203.22119999999998</v>
      </c>
      <c r="F60" s="180">
        <f>'Финмодель 6 паллет'!$F$11/D60*'Финмодель 6 паллет'!$D$6</f>
        <v>234.486</v>
      </c>
      <c r="G60" s="181">
        <f>ROUNDDOWN((('Цена 120 грн — 6 паллет'!$B$14/'Цена 120 грн — 6 паллет'!$E$14*D60/(1+0))/'Финмодель 6 паллет'!$D$3/(1+0.025)-(2600+288+42+2600*0.7*(0+0.2*(1+0)))/9600)/((1+0)*(1+0.2)),2)</f>
        <v>0.25</v>
      </c>
      <c r="H60" s="182">
        <f>(G60*'Финмодель 6 паллет'!$D$3+(2600+288+42)/9600*'Финмодель 6 паллет'!$D$3+(G60+2600*0.7/9600)*0*'Финмодель 6 паллет'!$D$3+(G60+2600*0.7/9600)*(1+0)*0.2*'Финмодель 6 паллет'!$D$3)*(1+0.025)*(1+0)</f>
        <v>33.751200000000004</v>
      </c>
      <c r="I60" s="183">
        <f>H60/D60*'Финмодель 6 паллет'!$D$6</f>
        <v>118.1292</v>
      </c>
      <c r="J60" s="174">
        <f>I60-E60</f>
        <v>-85.09199999999998</v>
      </c>
      <c r="K60" s="175">
        <f>J60/E60</f>
        <v>-0.41871615756623815</v>
      </c>
      <c r="L60" s="174">
        <f>I60-F60</f>
        <v>-116.35679999999999</v>
      </c>
      <c r="M60" s="175">
        <f>L60/F60</f>
        <v>-0.49622066989073976</v>
      </c>
    </row>
    <row r="61" ht="28" customHeight="1" s="71">
      <c r="B61" s="176" t="n">
        <v>0.3</v>
      </c>
      <c r="C61" s="177" t="str">
        <f>IF(ABS(B61-'Цена 120 грн — 6 паллет'!$C$14)&lt;0.0000001,"◄ поточна","")</f>
        <v>◄ поточна</v>
      </c>
      <c r="D61" s="178">
        <f>1-'Финмодель 6 паллет'!$D$4-B61</f>
        <v>0.45</v>
      </c>
      <c r="E61" s="179">
        <f>'Финмодель 6 паллет'!$F$13/D61*'Финмодель 6 паллет'!$D$6</f>
        <v>180.64106666666663</v>
      </c>
      <c r="F61" s="180">
        <f>'Финмодель 6 паллет'!$F$11/D61*'Финмодель 6 паллет'!$D$6</f>
        <v>208.43200000000002</v>
      </c>
      <c r="G61" s="181">
        <f>ROUNDDOWN((('Цена 120 грн — 6 паллет'!$B$14/'Цена 120 грн — 6 паллет'!$E$14*D61/(1+0))/'Финмодель 6 паллет'!$D$3/(1+0.025)-(2600+288+42+2600*0.7*(0+0.2*(1+0)))/9600)/((1+0)*(1+0.2)),2)</f>
        <v>0.32</v>
      </c>
      <c r="H61" s="182">
        <f>(G61*'Финмодель 6 паллет'!$D$3+(2600+288+42)/9600*'Финмодель 6 паллет'!$D$3+(G61+2600*0.7/9600)*0*'Финмодель 6 паллет'!$D$3+(G61+2600*0.7/9600)*(1+0)*0.2*'Финмодель 6 паллет'!$D$3)*(1+0.025)*(1+0)</f>
        <v>38.15951999999999</v>
      </c>
      <c r="I61" s="183">
        <f>H61/D61*'Финмодель 6 паллет'!$D$6</f>
        <v>118.71850666666664</v>
      </c>
      <c r="J61" s="174">
        <f>I61-E61</f>
        <v>-61.92255999999999</v>
      </c>
      <c r="K61" s="175">
        <f>J61/E61</f>
        <v>-0.342793369983053</v>
      </c>
      <c r="L61" s="174">
        <f>I61-F61</f>
        <v>-89.71349333333337</v>
      </c>
      <c r="M61" s="175">
        <f>L61/F61</f>
        <v>-0.4304209206519794</v>
      </c>
    </row>
    <row r="62" ht="28" customHeight="1" s="71">
      <c r="B62" s="176" t="n">
        <v>0.25</v>
      </c>
      <c r="C62" s="177" t="str">
        <f>IF(ABS(B62-'Цена 120 грн — 6 паллет'!$C$14)&lt;0.0000001,"◄ поточна","")</f>
        <v/>
      </c>
      <c r="D62" s="178">
        <f>1-'Финмодель 6 паллет'!$D$4-B62</f>
        <v>0.5</v>
      </c>
      <c r="E62" s="179">
        <f>'Финмодель 6 паллет'!$F$13/D62*'Финмодель 6 паллет'!$D$6</f>
        <v>162.57695999999999</v>
      </c>
      <c r="F62" s="180">
        <f>'Финмодель 6 паллет'!$F$11/D62*'Финмодель 6 паллет'!$D$6</f>
        <v>187.58880000000002</v>
      </c>
      <c r="G62" s="181">
        <f>ROUNDDOWN((('Цена 120 грн — 6 паллет'!$B$14/'Цена 120 грн — 6 паллет'!$E$14*D62/(1+0))/'Финмодель 6 паллет'!$D$3/(1+0.025)-(2600+288+42+2600*0.7*(0+0.2*(1+0)))/9600)/((1+0)*(1+0.2)),2)</f>
        <v>0.39</v>
      </c>
      <c r="H62" s="182">
        <f>(G62*'Финмодель 6 паллет'!$D$3+(2600+288+42)/9600*'Финмодель 6 паллет'!$D$3+(G62+2600*0.7/9600)*0*'Финмодель 6 паллет'!$D$3+(G62+2600*0.7/9600)*(1+0)*0.2*'Финмодель 6 паллет'!$D$3)*(1+0.025)*(1+0)</f>
        <v>42.56784</v>
      </c>
      <c r="I62" s="183">
        <f>H62/D62*'Финмодель 6 паллет'!$D$6</f>
        <v>119.18995199999998</v>
      </c>
      <c r="J62" s="174">
        <f>I62-E62</f>
        <v>-43.38700800000001</v>
      </c>
      <c r="K62" s="175">
        <f>J62/E62</f>
        <v>-0.26687058239986783</v>
      </c>
      <c r="L62" s="174">
        <f>I62-F62</f>
        <v>-68.39884800000004</v>
      </c>
      <c r="M62" s="175">
        <f>L62/F62</f>
        <v>-0.36462117141321887</v>
      </c>
    </row>
    <row r="63" ht="28" customHeight="1" s="71">
      <c r="B63" s="176" t="n">
        <v>0.2</v>
      </c>
      <c r="C63" s="177" t="str">
        <f>IF(ABS(B63-'Цена 120 грн — 6 паллет'!$C$14)&lt;0.0000001,"◄ поточна","")</f>
        <v/>
      </c>
      <c r="D63" s="178">
        <f>1-'Финмодель 6 паллет'!$D$4-B63</f>
        <v>0.55</v>
      </c>
      <c r="E63" s="179">
        <f>'Финмодель 6 паллет'!$F$13/D63*'Финмодель 6 паллет'!$D$6</f>
        <v>147.79723636363633</v>
      </c>
      <c r="F63" s="180">
        <f>'Финмодель 6 паллет'!$F$11/D63*'Финмодель 6 паллет'!$D$6</f>
        <v>170.5352727272727</v>
      </c>
      <c r="G63" s="181">
        <f>ROUNDDOWN((('Цена 120 грн — 6 паллет'!$B$14/'Цена 120 грн — 6 паллет'!$E$14*D63/(1+0))/'Финмодель 6 паллет'!$D$3/(1+0.025)-(2600+288+42+2600*0.7*(0+0.2*(1+0)))/9600)/((1+0)*(1+0.2)),2)</f>
        <v>0.46</v>
      </c>
      <c r="H63" s="182">
        <f>(G63*'Финмодель 6 паллет'!$D$3+(2600+288+42)/9600*'Финмодель 6 паллет'!$D$3+(G63+2600*0.7/9600)*0*'Финмодель 6 паллет'!$D$3+(G63+2600*0.7/9600)*(1+0)*0.2*'Финмодель 6 паллет'!$D$3)*(1+0.025)*(1+0)</f>
        <v>46.97616</v>
      </c>
      <c r="I63" s="183">
        <f>H63/D63*'Финмодель 6 паллет'!$D$6</f>
        <v>119.57567999999998</v>
      </c>
      <c r="J63" s="174">
        <f>I63-E63</f>
        <v>-28.221556363636353</v>
      </c>
      <c r="K63" s="175">
        <f>J63/E63</f>
        <v>-0.19094779481668248</v>
      </c>
      <c r="L63" s="174">
        <f>I63-F63</f>
        <v>-50.959592727272735</v>
      </c>
      <c r="M63" s="175">
        <f>L63/F63</f>
        <v>-0.29882142217445823</v>
      </c>
    </row>
    <row r="64" ht="28" customHeight="1" s="71">
      <c r="B64" s="176" t="n">
        <v>0.15</v>
      </c>
      <c r="C64" s="177" t="str">
        <f>IF(ABS(B64-'Цена 120 грн — 6 паллет'!$C$14)&lt;0.0000001,"◄ поточна","")</f>
        <v/>
      </c>
      <c r="D64" s="178">
        <f>1-'Финмодель 6 паллет'!$D$4-B64</f>
        <v>0.6</v>
      </c>
      <c r="E64" s="179">
        <f>'Финмодель 6 паллет'!$F$13/D64*'Финмодель 6 паллет'!$D$6</f>
        <v>135.4808</v>
      </c>
      <c r="F64" s="180">
        <f>'Финмодель 6 паллет'!$F$11/D64*'Финмодель 6 паллет'!$D$6</f>
        <v>156.324</v>
      </c>
      <c r="G64" s="181">
        <f>ROUNDDOWN((('Цена 120 грн — 6 паллет'!$B$14/'Цена 120 грн — 6 паллет'!$E$14*D64/(1+0))/'Финмодель 6 паллет'!$D$3/(1+0.025)-(2600+288+42+2600*0.7*(0+0.2*(1+0)))/9600)/((1+0)*(1+0.2)),2)</f>
        <v>0.53</v>
      </c>
      <c r="H64" s="182">
        <f>(G64*'Финмодель 6 паллет'!$D$3+(2600+288+42)/9600*'Финмодель 6 паллет'!$D$3+(G64+2600*0.7/9600)*0*'Финмодель 6 паллет'!$D$3+(G64+2600*0.7/9600)*(1+0)*0.2*'Финмодель 6 паллет'!$D$3)*(1+0.025)*(1+0)</f>
        <v>51.38448</v>
      </c>
      <c r="I64" s="183">
        <f>H64/D64*'Финмодель 6 паллет'!$D$6</f>
        <v>119.89712000000002</v>
      </c>
      <c r="J64" s="174">
        <f>I64-E64</f>
        <v>-15.583679999999973</v>
      </c>
      <c r="K64" s="175">
        <f>J64/E64</f>
        <v>-0.1150250072334971</v>
      </c>
      <c r="L64" s="174">
        <f>I64-F64</f>
        <v>-36.42688</v>
      </c>
      <c r="M64" s="175">
        <f>L64/F64</f>
        <v>-0.23302167293569762</v>
      </c>
    </row>
    <row r="65" ht="28" customHeight="1" s="71">
      <c r="B65" s="176" t="n">
        <v>0.1</v>
      </c>
      <c r="C65" s="177" t="str">
        <f>IF(ABS(B65-'Цена 120 грн — 6 паллет'!$C$14)&lt;0.0000001,"◄ поточна","")</f>
        <v/>
      </c>
      <c r="D65" s="178">
        <f>1-'Финмодель 6 паллет'!$D$4-B65</f>
        <v>0.65</v>
      </c>
      <c r="E65" s="179">
        <f>'Финмодель 6 паллет'!$F$13/D65*'Финмодель 6 паллет'!$D$6</f>
        <v>125.05919999999998</v>
      </c>
      <c r="F65" s="180">
        <f>'Финмодель 6 паллет'!$F$11/D65*'Финмодель 6 паллет'!$D$6</f>
        <v>144.29907692307694</v>
      </c>
      <c r="G65" s="181">
        <f>ROUNDDOWN((('Цена 120 грн — 6 паллет'!$B$14/'Цена 120 грн — 6 паллет'!$E$14*D65/(1+0))/'Финмодель 6 паллет'!$D$3/(1+0.025)-(2600+288+42+2600*0.7*(0+0.2*(1+0)))/9600)/((1+0)*(1+0.2)),2)</f>
        <v>0.59</v>
      </c>
      <c r="H65" s="182">
        <f>(G65*'Финмодель 6 паллет'!$D$3+(2600+288+42)/9600*'Финмодель 6 паллет'!$D$3+(G65+2600*0.7/9600)*0*'Финмодель 6 паллет'!$D$3+(G65+2600*0.7/9600)*(1+0)*0.2*'Финмодель 6 паллет'!$D$3)*(1+0.025)*(1+0)</f>
        <v>55.163039999999995</v>
      </c>
      <c r="I65" s="183">
        <f>H65/D65*'Финмодель 6 паллет'!$D$6</f>
        <v>118.81270153846151</v>
      </c>
      <c r="J65" s="174">
        <f>I65-E65</f>
        <v>-6.246498461538465</v>
      </c>
      <c r="K65" s="175">
        <f>J65/E65</f>
        <v>-0.04994833216219571</v>
      </c>
      <c r="L65" s="174">
        <f>I65-F65</f>
        <v>-25.486375384615428</v>
      </c>
      <c r="M65" s="175">
        <f>L65/F65</f>
        <v>-0.1766218878739032</v>
      </c>
    </row>
  </sheetData>
  <mergeCells count="74">
    <mergeCell ref="U9:Y9"/>
    <mergeCell ref="B7:C7"/>
    <mergeCell ref="B25:C25"/>
    <mergeCell ref="B3:C3"/>
    <mergeCell ref="D34:E34"/>
    <mergeCell ref="K44:P44"/>
    <mergeCell ref="B22:C22"/>
    <mergeCell ref="D22:E22"/>
    <mergeCell ref="B31:C31"/>
    <mergeCell ref="B57:M57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G58:I58"/>
    <mergeCell ref="J58:M58"/>
    <mergeCell ref="B43:R43"/>
    <mergeCell ref="E3:K3"/>
    <mergeCell ref="D27:E27"/>
    <mergeCell ref="B23:C23"/>
    <mergeCell ref="D32:E32"/>
    <mergeCell ref="B42:R42"/>
    <mergeCell ref="E44:J44"/>
    <mergeCell ref="B8:C8"/>
    <mergeCell ref="E9:F9"/>
    <mergeCell ref="E5:K5"/>
    <mergeCell ref="B38:C38"/>
    <mergeCell ref="E8:K8"/>
    <mergeCell ref="B29:C29"/>
    <mergeCell ref="B53:R53"/>
    <mergeCell ref="E58:F58"/>
    <mergeCell ref="B37:C37"/>
    <mergeCell ref="B34:C34"/>
    <mergeCell ref="B28:C28"/>
    <mergeCell ref="D37:E37"/>
    <mergeCell ref="E4:K4"/>
    <mergeCell ref="D28:E28"/>
    <mergeCell ref="Q44:R44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56:M56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I85" evalError="1" formula="1" formulaRange="1" unlockedFormula="1" numberStoredAsText="1" emptyCellReference="1" twoDigitTextYear="1" listDataValidation="1" calculatedColumn="1"/>
  </ignoredError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65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Рамен. Ціна партнеру та полиця — 33 палет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Сценарій поставки</t>
        </is>
      </c>
      <c r="C2" s="73" t="n"/>
      <c r="D2" s="22" t="inlineStr">
        <is>
          <t>33 палети</t>
        </is>
      </c>
      <c r="E2" s="86" t="inlineStr">
        <is>
          <t>Готова СС із Self-Cost_Sias: AJ30:AJ35. Склад СС збережено.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Курс, грн/EUR</t>
        </is>
      </c>
      <c r="C3" s="63" t="n"/>
      <c r="D3" s="17" t="n">
        <v>51.2</v>
      </c>
      <c r="E3" s="68" t="inlineStr">
        <is>
          <t>Курс 51,20 грн/EUR — із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Бонуси мережі, %</t>
        </is>
      </c>
      <c r="C4" s="63" t="n"/>
      <c r="D4" s="18" t="n">
        <v>0.25</v>
      </c>
      <c r="E4" s="68" t="str">
        <f>"Бонус мережі "&amp;ROUND(D4*100,0)&amp;"%; полиця = ціна партнера × "&amp;D6&amp;"."</f>
        <v>Бонус мережі 25%; полиця = ціна партнера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Цільова маржа, %</t>
        </is>
      </c>
      <c r="C5" s="63" t="n"/>
      <c r="D5" s="18">
        <f>'Цена 120 грн — 33 паллет'!C14</f>
        <v>0.3</v>
      </c>
      <c r="E5" s="68" t="str">
        <f>ROUND(D5*100,0)&amp;"% = (ціна партнеру − собівартість − бонус) / повна ціна партнеру. Береться з аркуша «Цена 120 грн»."</f>
        <v>30% = (ціна партнеру − собівартість − бонус) / повна ціна партнеру. Береться з аркуша «Цена 120 грн».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Націнка мережі (x)</t>
        </is>
      </c>
      <c r="C6" s="63" t="n"/>
      <c r="D6" s="17" t="n">
        <v>1.4</v>
      </c>
      <c r="E6" s="68" t="inlineStr">
        <is>
          <t>Прибуток після бонусу = ціна партнеру − собівартість − бонус мережі.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Ціна партнера</t>
        </is>
      </c>
      <c r="C7" s="63" t="n"/>
      <c r="D7" s="19" t="inlineStr">
        <is>
          <t>вже з ПДВ</t>
        </is>
      </c>
      <c r="E7" s="68" t="inlineStr">
        <is>
          <t>ПДВ як у прикладі: СС збережено повністю; ціна вже з ПДВ. Множення на 1,20 немає.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Частка ціни для собівартості</t>
        </is>
      </c>
      <c r="C8" s="77" t="n"/>
      <c r="D8" s="23">
        <f>IF(AND(COUNT(D3:D6)=4,D3&gt;0,D4&gt;=0,D5&gt;=0,D4+D5&lt;1,D6&gt;0),1-D4-D5,NA())</f>
        <v>0.45</v>
      </c>
      <c r="E8" s="79" t="str">
        <f>"100% − бонус − маржа. За поточних умов: 100% − "&amp;ROUND(D4*100,0)&amp;"% − "&amp;ROUND(D5*100,0)&amp;"% = "&amp;ROUND(D8*100,0)&amp;"%."</f>
        <v>100% − бонус − маржа. За поточних умов: 100% − 25% − 30%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ТОВАР</t>
        </is>
      </c>
      <c r="B9" s="69" t="n"/>
      <c r="C9" s="69" t="n"/>
      <c r="D9" s="63" t="n"/>
      <c r="E9" s="78" t="inlineStr">
        <is>
          <t>СОБІВАРТІСТЬ</t>
        </is>
      </c>
      <c r="F9" s="63" t="n"/>
      <c r="G9" s="75" t="inlineStr">
        <is>
          <t>ЦІНА ПАРТНЕРУ ТА ПРИБУТОК</t>
        </is>
      </c>
      <c r="H9" s="69" t="n"/>
      <c r="I9" s="69" t="n"/>
      <c r="J9" s="63" t="n"/>
      <c r="K9" s="5" t="inlineStr">
        <is>
          <t>ПОЛИЦЯ</t>
        </is>
      </c>
      <c r="L9" s="83" t="inlineStr">
        <is>
          <t>МОДЕЛЬ: НУЛЬОВА МАРЖА</t>
        </is>
      </c>
      <c r="M9" s="63" t="n"/>
      <c r="N9" s="84" t="inlineStr">
        <is>
          <t>ПРИБУТОК З ОДНІЄЇ УПАКОВКИ</t>
        </is>
      </c>
      <c r="O9" s="63" t="n"/>
      <c r="P9" s="132" t="n">
        <v>0.3</v>
      </c>
      <c r="Q9" s="59" t="n"/>
      <c r="R9" s="59" t="n"/>
      <c r="S9" s="59" t="n"/>
      <c r="T9" s="60" t="n"/>
      <c r="U9" s="133" t="n">
        <v>0.25</v>
      </c>
      <c r="V9" s="59" t="n"/>
      <c r="W9" s="59" t="n"/>
      <c r="X9" s="59" t="n"/>
      <c r="Y9" s="60" t="n"/>
      <c r="Z9" s="132" t="n">
        <v>0.2</v>
      </c>
      <c r="AA9" s="59" t="n"/>
      <c r="AB9" s="59" t="n"/>
      <c r="AC9" s="59" t="n"/>
      <c r="AD9" s="60" t="n"/>
      <c r="AE9" s="13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Група</t>
        </is>
      </c>
      <c r="C10" s="6" t="inlineStr">
        <is>
          <t>Позиція</t>
        </is>
      </c>
      <c r="D10" s="6" t="inlineStr">
        <is>
          <t>Вага, г</t>
        </is>
      </c>
      <c r="E10" s="78" t="inlineStr">
        <is>
          <t>СС, EUR/уп.</t>
        </is>
      </c>
      <c r="F10" s="78" t="inlineStr">
        <is>
          <t>1. СС, грн/уп.</t>
        </is>
      </c>
      <c r="G10" s="75" t="inlineStr">
        <is>
          <t>2. Ціна партнеру з ПДВ</t>
        </is>
      </c>
      <c r="H10" s="75" t="inlineStr">
        <is>
          <t>3. Бонус мережі, грн</t>
        </is>
      </c>
      <c r="I10" s="75" t="inlineStr">
        <is>
          <t>4. Прибуток після бонусу, грн</t>
        </is>
      </c>
      <c r="J10" s="75" t="inlineStr">
        <is>
          <t>5. Маржа за прикладом</t>
        </is>
      </c>
      <c r="K10" s="5" t="inlineStr">
        <is>
          <t>6. Полиця з ПДВ, грн</t>
        </is>
      </c>
      <c r="L10" s="83" t="inlineStr">
        <is>
          <t>Мін. ціна партнеру</t>
        </is>
      </c>
      <c r="M10" s="83" t="inlineStr">
        <is>
          <t>Мін. полиця</t>
        </is>
      </c>
      <c r="N10" s="84" t="inlineStr">
        <is>
          <t>Валовий прибуток за прикладом, до бонусу, грн/уп.</t>
        </is>
      </c>
      <c r="O10" s="84" t="inlineStr">
        <is>
          <t>Прибуток після бонусу за прикладом, грн/уп.</t>
        </is>
      </c>
      <c r="P10" s="39" t="inlineStr">
        <is>
          <t>Ціна партнеру з ПДВ, грн</t>
        </is>
      </c>
      <c r="Q10" s="39" t="inlineStr">
        <is>
          <t>Бонус мережі, грн</t>
        </is>
      </c>
      <c r="R10" s="39" t="inlineStr">
        <is>
          <t>Прибуток після бонусу, грн</t>
        </is>
      </c>
      <c r="S10" s="39" t="inlineStr">
        <is>
          <t>Перевірка маржі</t>
        </is>
      </c>
      <c r="T10" s="39" t="inlineStr">
        <is>
          <t>Полиця з ПДВ, грн</t>
        </is>
      </c>
      <c r="U10" s="44" t="inlineStr">
        <is>
          <t>Ціна партнеру з ПДВ, грн</t>
        </is>
      </c>
      <c r="V10" s="44" t="inlineStr">
        <is>
          <t>Бонус мережі, грн</t>
        </is>
      </c>
      <c r="W10" s="44" t="inlineStr">
        <is>
          <t>Прибуток після бонусу, грн</t>
        </is>
      </c>
      <c r="X10" s="44" t="inlineStr">
        <is>
          <t>Перевірка маржі</t>
        </is>
      </c>
      <c r="Y10" s="44" t="inlineStr">
        <is>
          <t>Полиця з ПДВ, грн</t>
        </is>
      </c>
      <c r="Z10" s="39" t="inlineStr">
        <is>
          <t>Ціна партнеру з ПДВ, грн</t>
        </is>
      </c>
      <c r="AA10" s="39" t="inlineStr">
        <is>
          <t>Бонус мережі, грн</t>
        </is>
      </c>
      <c r="AB10" s="39" t="inlineStr">
        <is>
          <t>Прибуток після бонусу, грн</t>
        </is>
      </c>
      <c r="AC10" s="39" t="inlineStr">
        <is>
          <t>Перевірка маржі</t>
        </is>
      </c>
      <c r="AD10" s="39" t="inlineStr">
        <is>
          <t>Полиця з ПДВ, грн</t>
        </is>
      </c>
      <c r="AE10" s="44" t="inlineStr">
        <is>
          <t>Ціна партнеру з ПДВ, грн</t>
        </is>
      </c>
      <c r="AF10" s="44" t="inlineStr">
        <is>
          <t>Бонус мережі, грн</t>
        </is>
      </c>
      <c r="AG10" s="44" t="inlineStr">
        <is>
          <t>Прибуток після бонусу, грн</t>
        </is>
      </c>
      <c r="AH10" s="44" t="inlineStr">
        <is>
          <t>Перевірка маржі</t>
        </is>
      </c>
      <c r="AI10" s="44" t="inlineStr">
        <is>
          <t>Полиця з ПДВ, грн</t>
        </is>
      </c>
    </row>
    <row r="11" ht="43.5" customHeight="1" s="71">
      <c r="A11" s="7" t="n">
        <v>1</v>
      </c>
      <c r="B11" s="7" t="inlineStr">
        <is>
          <t>SIAS — рамен у пакеті</t>
        </is>
      </c>
      <c r="C11" s="7" t="inlineStr">
        <is>
          <t>Gouda Cheese 123 г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115.84070021881833</v>
      </c>
      <c r="H11" s="10">
        <f>G11*$D$4</f>
        <v>28.96017505470458</v>
      </c>
      <c r="I11" s="11">
        <f>G11-F11-H11</f>
        <v>34.7522100656455</v>
      </c>
      <c r="J11" s="12">
        <f>I11/G11</f>
        <v>0.3</v>
      </c>
      <c r="K11" s="13">
        <f>G11*$D$6</f>
        <v>162.17698030634565</v>
      </c>
      <c r="L11" s="14">
        <f>F11/(1-$D$4)</f>
        <v>69.504420131291</v>
      </c>
      <c r="M11" s="14">
        <f>L11*$D$6</f>
        <v>97.3061881838074</v>
      </c>
      <c r="N11" s="15">
        <f>G11-F11</f>
        <v>63.71238512035008</v>
      </c>
      <c r="O11" s="16">
        <f>N11-H11</f>
        <v>34.7522100656455</v>
      </c>
      <c r="P11" s="40">
        <f>$F11/(1-$D$4-$P$9)</f>
        <v>115.84070021881833</v>
      </c>
      <c r="Q11" s="41">
        <f>P11*$D$4</f>
        <v>28.96017505470458</v>
      </c>
      <c r="R11" s="42">
        <f>P11-$F11-Q11</f>
        <v>34.7522100656455</v>
      </c>
      <c r="S11" s="43">
        <f>R11/P11</f>
        <v>0.3</v>
      </c>
      <c r="T11" s="40">
        <f>P11*$D$6</f>
        <v>162.17698030634565</v>
      </c>
      <c r="U11" s="40">
        <f>$F11/(1-$D$4-$U$9)</f>
        <v>104.2566301969365</v>
      </c>
      <c r="V11" s="41">
        <f>U11*$D$4</f>
        <v>26.064157549234125</v>
      </c>
      <c r="W11" s="42">
        <f>U11-$F11-V11</f>
        <v>26.064157549234125</v>
      </c>
      <c r="X11" s="43">
        <f>W11/U11</f>
        <v>0.25</v>
      </c>
      <c r="Y11" s="40">
        <f>U11*$D$6</f>
        <v>145.95928227571108</v>
      </c>
      <c r="Z11" s="40">
        <f>$F11/(1-$D$4-$Z$9)</f>
        <v>94.77875472448771</v>
      </c>
      <c r="AA11" s="41">
        <f>Z11*$D$4</f>
        <v>23.694688681121928</v>
      </c>
      <c r="AB11" s="42">
        <f>Z11-$F11-AA11</f>
        <v>18.955750944897535</v>
      </c>
      <c r="AC11" s="43">
        <f>AB11/Z11</f>
        <v>0.19999999999999993</v>
      </c>
      <c r="AD11" s="40">
        <f>Z11*$D$6</f>
        <v>132.6902566142828</v>
      </c>
      <c r="AE11" s="40">
        <f>$F11/(1-$D$4-$AE$9)</f>
        <v>86.88052516411375</v>
      </c>
      <c r="AF11" s="41">
        <f>AE11*$D$4</f>
        <v>21.720131291028437</v>
      </c>
      <c r="AG11" s="42">
        <f>AE11-$F11-AF11</f>
        <v>13.032078774617062</v>
      </c>
      <c r="AH11" s="43">
        <f>AG11/AE11</f>
        <v>0.15</v>
      </c>
      <c r="AI11" s="40">
        <f>AE11*$D$6</f>
        <v>121.63273522975923</v>
      </c>
    </row>
    <row r="12" ht="43.5" customHeight="1" s="71">
      <c r="A12" s="7" t="n">
        <v>2</v>
      </c>
      <c r="B12" s="7" t="inlineStr">
        <is>
          <t>SIAS — рамен у пакеті</t>
        </is>
      </c>
      <c r="C12" s="7" t="inlineStr">
        <is>
          <t>Carbonara Spicy 131 г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115.84070021881833</v>
      </c>
      <c r="H12" s="10">
        <f>G12*$D$4</f>
        <v>28.96017505470458</v>
      </c>
      <c r="I12" s="11">
        <f>G12-F12-H12</f>
        <v>34.7522100656455</v>
      </c>
      <c r="J12" s="12">
        <f>I12/G12</f>
        <v>0.3</v>
      </c>
      <c r="K12" s="13">
        <f>G12*$D$6</f>
        <v>162.17698030634565</v>
      </c>
      <c r="L12" s="14">
        <f>F12/(1-$D$4)</f>
        <v>69.504420131291</v>
      </c>
      <c r="M12" s="14">
        <f>L12*$D$6</f>
        <v>97.3061881838074</v>
      </c>
      <c r="N12" s="15">
        <f>G12-F12</f>
        <v>63.71238512035008</v>
      </c>
      <c r="O12" s="16">
        <f>N12-H12</f>
        <v>34.7522100656455</v>
      </c>
      <c r="P12" s="40">
        <f>$F12/(1-$D$4-$P$9)</f>
        <v>115.84070021881833</v>
      </c>
      <c r="Q12" s="41">
        <f>P12*$D$4</f>
        <v>28.96017505470458</v>
      </c>
      <c r="R12" s="42">
        <f>P12-$F12-Q12</f>
        <v>34.7522100656455</v>
      </c>
      <c r="S12" s="43">
        <f>R12/P12</f>
        <v>0.3</v>
      </c>
      <c r="T12" s="40">
        <f>P12*$D$6</f>
        <v>162.17698030634565</v>
      </c>
      <c r="U12" s="40">
        <f>$F12/(1-$D$4-$U$9)</f>
        <v>104.2566301969365</v>
      </c>
      <c r="V12" s="41">
        <f>U12*$D$4</f>
        <v>26.064157549234125</v>
      </c>
      <c r="W12" s="42">
        <f>U12-$F12-V12</f>
        <v>26.064157549234125</v>
      </c>
      <c r="X12" s="43">
        <f>W12/U12</f>
        <v>0.25</v>
      </c>
      <c r="Y12" s="40">
        <f>U12*$D$6</f>
        <v>145.95928227571108</v>
      </c>
      <c r="Z12" s="40">
        <f>$F12/(1-$D$4-$Z$9)</f>
        <v>94.77875472448771</v>
      </c>
      <c r="AA12" s="41">
        <f>Z12*$D$4</f>
        <v>23.694688681121928</v>
      </c>
      <c r="AB12" s="42">
        <f>Z12-$F12-AA12</f>
        <v>18.955750944897535</v>
      </c>
      <c r="AC12" s="43">
        <f>AB12/Z12</f>
        <v>0.19999999999999993</v>
      </c>
      <c r="AD12" s="40">
        <f>Z12*$D$6</f>
        <v>132.6902566142828</v>
      </c>
      <c r="AE12" s="40">
        <f>$F12/(1-$D$4-$AE$9)</f>
        <v>86.88052516411375</v>
      </c>
      <c r="AF12" s="41">
        <f>AE12*$D$4</f>
        <v>21.720131291028437</v>
      </c>
      <c r="AG12" s="42">
        <f>AE12-$F12-AF12</f>
        <v>13.032078774617062</v>
      </c>
      <c r="AH12" s="43">
        <f>AG12/AE12</f>
        <v>0.15</v>
      </c>
      <c r="AI12" s="40">
        <f>AE12*$D$6</f>
        <v>121.63273522975923</v>
      </c>
    </row>
    <row r="13" ht="43.5" customHeight="1" s="71">
      <c r="A13" s="7" t="n">
        <v>3</v>
      </c>
      <c r="B13" s="7" t="inlineStr">
        <is>
          <t>SIAS — рамен у пакеті</t>
        </is>
      </c>
      <c r="C13" s="7" t="inlineStr">
        <is>
          <t>Vegetable Flavor 113 г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100.39527352297598</v>
      </c>
      <c r="H13" s="10">
        <f>G13*$D$4</f>
        <v>25.098818380743996</v>
      </c>
      <c r="I13" s="11">
        <f>G13-F13-H13</f>
        <v>30.118582056892794</v>
      </c>
      <c r="J13" s="12">
        <f>I13/G13</f>
        <v>0.3</v>
      </c>
      <c r="K13" s="13">
        <f>G13*$D$6</f>
        <v>140.55338293216636</v>
      </c>
      <c r="L13" s="14">
        <f>F13/(1-$D$4)</f>
        <v>60.23716411378559</v>
      </c>
      <c r="M13" s="14">
        <f>L13*$D$6</f>
        <v>84.33202975929981</v>
      </c>
      <c r="N13" s="15">
        <f>G13-F13</f>
        <v>55.21740043763679</v>
      </c>
      <c r="O13" s="16">
        <f>N13-H13</f>
        <v>30.118582056892794</v>
      </c>
      <c r="P13" s="40">
        <f>$F13/(1-$D$4-$P$9)</f>
        <v>100.39527352297598</v>
      </c>
      <c r="Q13" s="41">
        <f>P13*$D$4</f>
        <v>25.098818380743996</v>
      </c>
      <c r="R13" s="42">
        <f>P13-$F13-Q13</f>
        <v>30.118582056892794</v>
      </c>
      <c r="S13" s="43">
        <f>R13/P13</f>
        <v>0.3</v>
      </c>
      <c r="T13" s="40">
        <f>P13*$D$6</f>
        <v>140.55338293216636</v>
      </c>
      <c r="U13" s="40">
        <f>$F13/(1-$D$4-$U$9)</f>
        <v>90.35574617067839</v>
      </c>
      <c r="V13" s="41">
        <f>U13*$D$4</f>
        <v>22.588936542669597</v>
      </c>
      <c r="W13" s="42">
        <f>U13-$F13-V13</f>
        <v>22.588936542669597</v>
      </c>
      <c r="X13" s="43">
        <f>W13/U13</f>
        <v>0.25</v>
      </c>
      <c r="Y13" s="40">
        <f>U13*$D$6</f>
        <v>126.49804463894974</v>
      </c>
      <c r="Z13" s="40">
        <f>$F13/(1-$D$4-$Z$9)</f>
        <v>82.14158742788943</v>
      </c>
      <c r="AA13" s="41">
        <f>Z13*$D$4</f>
        <v>20.53539685697236</v>
      </c>
      <c r="AB13" s="42">
        <f>Z13-$F13-AA13</f>
        <v>16.42831748557788</v>
      </c>
      <c r="AC13" s="43">
        <f>AB13/Z13</f>
        <v>0.19999999999999993</v>
      </c>
      <c r="AD13" s="40">
        <f>Z13*$D$6</f>
        <v>114.9982223990452</v>
      </c>
      <c r="AE13" s="40">
        <f>$F13/(1-$D$4-$AE$9)</f>
        <v>75.29645514223199</v>
      </c>
      <c r="AF13" s="41">
        <f>AE13*$D$4</f>
        <v>18.824113785557998</v>
      </c>
      <c r="AG13" s="42">
        <f>AE13-$F13-AF13</f>
        <v>11.2944682713348</v>
      </c>
      <c r="AH13" s="43">
        <f>AG13/AE13</f>
        <v>0.15000000000000002</v>
      </c>
      <c r="AI13" s="40">
        <f>AE13*$D$6</f>
        <v>105.41503719912478</v>
      </c>
    </row>
    <row r="14" ht="43.5" customHeight="1" s="71">
      <c r="A14" s="7" t="n">
        <v>4</v>
      </c>
      <c r="B14" s="7" t="inlineStr">
        <is>
          <t>SIAS — рамен у пакеті</t>
        </is>
      </c>
      <c r="C14" s="7" t="inlineStr">
        <is>
          <t>Spicy Flavor 112.5 г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100.39527352297598</v>
      </c>
      <c r="H14" s="10">
        <f>G14*$D$4</f>
        <v>25.098818380743996</v>
      </c>
      <c r="I14" s="11">
        <f>G14-F14-H14</f>
        <v>30.118582056892794</v>
      </c>
      <c r="J14" s="12">
        <f>I14/G14</f>
        <v>0.3</v>
      </c>
      <c r="K14" s="13">
        <f>G14*$D$6</f>
        <v>140.55338293216636</v>
      </c>
      <c r="L14" s="14">
        <f>F14/(1-$D$4)</f>
        <v>60.23716411378559</v>
      </c>
      <c r="M14" s="14">
        <f>L14*$D$6</f>
        <v>84.33202975929981</v>
      </c>
      <c r="N14" s="15">
        <f>G14-F14</f>
        <v>55.21740043763679</v>
      </c>
      <c r="O14" s="16">
        <f>N14-H14</f>
        <v>30.118582056892794</v>
      </c>
      <c r="P14" s="40">
        <f>$F14/(1-$D$4-$P$9)</f>
        <v>100.39527352297598</v>
      </c>
      <c r="Q14" s="41">
        <f>P14*$D$4</f>
        <v>25.098818380743996</v>
      </c>
      <c r="R14" s="42">
        <f>P14-$F14-Q14</f>
        <v>30.118582056892794</v>
      </c>
      <c r="S14" s="43">
        <f>R14/P14</f>
        <v>0.3</v>
      </c>
      <c r="T14" s="40">
        <f>P14*$D$6</f>
        <v>140.55338293216636</v>
      </c>
      <c r="U14" s="40">
        <f>$F14/(1-$D$4-$U$9)</f>
        <v>90.35574617067839</v>
      </c>
      <c r="V14" s="41">
        <f>U14*$D$4</f>
        <v>22.588936542669597</v>
      </c>
      <c r="W14" s="42">
        <f>U14-$F14-V14</f>
        <v>22.588936542669597</v>
      </c>
      <c r="X14" s="43">
        <f>W14/U14</f>
        <v>0.25</v>
      </c>
      <c r="Y14" s="40">
        <f>U14*$D$6</f>
        <v>126.49804463894974</v>
      </c>
      <c r="Z14" s="40">
        <f>$F14/(1-$D$4-$Z$9)</f>
        <v>82.14158742788943</v>
      </c>
      <c r="AA14" s="41">
        <f>Z14*$D$4</f>
        <v>20.53539685697236</v>
      </c>
      <c r="AB14" s="42">
        <f>Z14-$F14-AA14</f>
        <v>16.42831748557788</v>
      </c>
      <c r="AC14" s="43">
        <f>AB14/Z14</f>
        <v>0.19999999999999993</v>
      </c>
      <c r="AD14" s="40">
        <f>Z14*$D$6</f>
        <v>114.9982223990452</v>
      </c>
      <c r="AE14" s="40">
        <f>$F14/(1-$D$4-$AE$9)</f>
        <v>75.29645514223199</v>
      </c>
      <c r="AF14" s="41">
        <f>AE14*$D$4</f>
        <v>18.824113785557998</v>
      </c>
      <c r="AG14" s="42">
        <f>AE14-$F14-AF14</f>
        <v>11.2944682713348</v>
      </c>
      <c r="AH14" s="43">
        <f>AG14/AE14</f>
        <v>0.15000000000000002</v>
      </c>
      <c r="AI14" s="40">
        <f>AE14*$D$6</f>
        <v>105.41503719912478</v>
      </c>
    </row>
    <row r="15" ht="43.5" customHeight="1" s="71">
      <c r="A15" s="7" t="n">
        <v>5</v>
      </c>
      <c r="B15" s="7" t="inlineStr">
        <is>
          <t>SIAS — рамен у пакеті</t>
        </is>
      </c>
      <c r="C15" s="7" t="inlineStr">
        <is>
          <t>Beef Flavor 113 г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100.39527352297598</v>
      </c>
      <c r="H15" s="10">
        <f>G15*$D$4</f>
        <v>25.098818380743996</v>
      </c>
      <c r="I15" s="11">
        <f>G15-F15-H15</f>
        <v>30.118582056892794</v>
      </c>
      <c r="J15" s="12">
        <f>I15/G15</f>
        <v>0.3</v>
      </c>
      <c r="K15" s="13">
        <f>G15*$D$6</f>
        <v>140.55338293216636</v>
      </c>
      <c r="L15" s="14">
        <f>F15/(1-$D$4)</f>
        <v>60.23716411378559</v>
      </c>
      <c r="M15" s="14">
        <f>L15*$D$6</f>
        <v>84.33202975929981</v>
      </c>
      <c r="N15" s="15">
        <f>G15-F15</f>
        <v>55.21740043763679</v>
      </c>
      <c r="O15" s="16">
        <f>N15-H15</f>
        <v>30.118582056892794</v>
      </c>
      <c r="P15" s="40">
        <f>$F15/(1-$D$4-$P$9)</f>
        <v>100.39527352297598</v>
      </c>
      <c r="Q15" s="41">
        <f>P15*$D$4</f>
        <v>25.098818380743996</v>
      </c>
      <c r="R15" s="42">
        <f>P15-$F15-Q15</f>
        <v>30.118582056892794</v>
      </c>
      <c r="S15" s="43">
        <f>R15/P15</f>
        <v>0.3</v>
      </c>
      <c r="T15" s="40">
        <f>P15*$D$6</f>
        <v>140.55338293216636</v>
      </c>
      <c r="U15" s="40">
        <f>$F15/(1-$D$4-$U$9)</f>
        <v>90.35574617067839</v>
      </c>
      <c r="V15" s="41">
        <f>U15*$D$4</f>
        <v>22.588936542669597</v>
      </c>
      <c r="W15" s="42">
        <f>U15-$F15-V15</f>
        <v>22.588936542669597</v>
      </c>
      <c r="X15" s="43">
        <f>W15/U15</f>
        <v>0.25</v>
      </c>
      <c r="Y15" s="40">
        <f>U15*$D$6</f>
        <v>126.49804463894974</v>
      </c>
      <c r="Z15" s="40">
        <f>$F15/(1-$D$4-$Z$9)</f>
        <v>82.14158742788943</v>
      </c>
      <c r="AA15" s="41">
        <f>Z15*$D$4</f>
        <v>20.53539685697236</v>
      </c>
      <c r="AB15" s="42">
        <f>Z15-$F15-AA15</f>
        <v>16.42831748557788</v>
      </c>
      <c r="AC15" s="43">
        <f>AB15/Z15</f>
        <v>0.19999999999999993</v>
      </c>
      <c r="AD15" s="40">
        <f>Z15*$D$6</f>
        <v>114.9982223990452</v>
      </c>
      <c r="AE15" s="40">
        <f>$F15/(1-$D$4-$AE$9)</f>
        <v>75.29645514223199</v>
      </c>
      <c r="AF15" s="41">
        <f>AE15*$D$4</f>
        <v>18.824113785557998</v>
      </c>
      <c r="AG15" s="42">
        <f>AE15-$F15-AF15</f>
        <v>11.2944682713348</v>
      </c>
      <c r="AH15" s="43">
        <f>AG15/AE15</f>
        <v>0.15000000000000002</v>
      </c>
      <c r="AI15" s="40">
        <f>AE15*$D$6</f>
        <v>105.41503719912478</v>
      </c>
    </row>
    <row r="16" ht="43.5" customHeight="1" s="71">
      <c r="A16" s="7" t="n">
        <v>6</v>
      </c>
      <c r="B16" s="7" t="inlineStr">
        <is>
          <t>SIAS — рамен у пакеті</t>
        </is>
      </c>
      <c r="C16" s="7" t="inlineStr">
        <is>
          <t>Chicken Flavor 113 г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100.39527352297598</v>
      </c>
      <c r="H16" s="10">
        <f>G16*$D$4</f>
        <v>25.098818380743996</v>
      </c>
      <c r="I16" s="11">
        <f>G16-F16-H16</f>
        <v>30.118582056892794</v>
      </c>
      <c r="J16" s="12">
        <f>I16/G16</f>
        <v>0.3</v>
      </c>
      <c r="K16" s="13">
        <f>G16*$D$6</f>
        <v>140.55338293216636</v>
      </c>
      <c r="L16" s="14">
        <f>F16/(1-$D$4)</f>
        <v>60.23716411378559</v>
      </c>
      <c r="M16" s="14">
        <f>L16*$D$6</f>
        <v>84.33202975929981</v>
      </c>
      <c r="N16" s="15">
        <f>G16-F16</f>
        <v>55.21740043763679</v>
      </c>
      <c r="O16" s="16">
        <f>N16-H16</f>
        <v>30.118582056892794</v>
      </c>
      <c r="P16" s="40">
        <f>$F16/(1-$D$4-$P$9)</f>
        <v>100.39527352297598</v>
      </c>
      <c r="Q16" s="41">
        <f>P16*$D$4</f>
        <v>25.098818380743996</v>
      </c>
      <c r="R16" s="42">
        <f>P16-$F16-Q16</f>
        <v>30.118582056892794</v>
      </c>
      <c r="S16" s="43">
        <f>R16/P16</f>
        <v>0.3</v>
      </c>
      <c r="T16" s="40">
        <f>P16*$D$6</f>
        <v>140.55338293216636</v>
      </c>
      <c r="U16" s="40">
        <f>$F16/(1-$D$4-$U$9)</f>
        <v>90.35574617067839</v>
      </c>
      <c r="V16" s="41">
        <f>U16*$D$4</f>
        <v>22.588936542669597</v>
      </c>
      <c r="W16" s="42">
        <f>U16-$F16-V16</f>
        <v>22.588936542669597</v>
      </c>
      <c r="X16" s="43">
        <f>W16/U16</f>
        <v>0.25</v>
      </c>
      <c r="Y16" s="40">
        <f>U16*$D$6</f>
        <v>126.49804463894974</v>
      </c>
      <c r="Z16" s="40">
        <f>$F16/(1-$D$4-$Z$9)</f>
        <v>82.14158742788943</v>
      </c>
      <c r="AA16" s="41">
        <f>Z16*$D$4</f>
        <v>20.53539685697236</v>
      </c>
      <c r="AB16" s="42">
        <f>Z16-$F16-AA16</f>
        <v>16.42831748557788</v>
      </c>
      <c r="AC16" s="43">
        <f>AB16/Z16</f>
        <v>0.19999999999999993</v>
      </c>
      <c r="AD16" s="40">
        <f>Z16*$D$6</f>
        <v>114.9982223990452</v>
      </c>
      <c r="AE16" s="40">
        <f>$F16/(1-$D$4-$AE$9)</f>
        <v>75.29645514223199</v>
      </c>
      <c r="AF16" s="41">
        <f>AE16*$D$4</f>
        <v>18.824113785557998</v>
      </c>
      <c r="AG16" s="42">
        <f>AE16-$F16-AF16</f>
        <v>11.2944682713348</v>
      </c>
      <c r="AH16" s="43">
        <f>AG16/AE16</f>
        <v>0.15000000000000002</v>
      </c>
      <c r="AI16" s="40">
        <f>AE16*$D$6</f>
        <v>105.41503719912478</v>
      </c>
    </row>
    <row r="19" ht="28.05" customHeight="1" s="71">
      <c r="A19" s="26" t="n"/>
      <c r="B19" s="88" t="inlineStr">
        <is>
          <t>Кожен крок формування ціни — за вашим прикладом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Що рахуємо</t>
        </is>
      </c>
      <c r="D21" s="70" t="inlineStr">
        <is>
          <t>Дія</t>
        </is>
      </c>
      <c r="F21" s="27" t="str">
        <f>C11</f>
        <v>Gouda Cheese 123 г</v>
      </c>
      <c r="G21" s="27" t="str">
        <f>C12</f>
        <v>Carbonara Spicy 131 г</v>
      </c>
      <c r="H21" s="27" t="str">
        <f>C13</f>
        <v>Vegetable Flavor 113 г</v>
      </c>
      <c r="I21" s="27" t="str">
        <f>C14</f>
        <v>Spicy Flavor 112.5 г</v>
      </c>
      <c r="J21" s="27" t="str">
        <f>C15</f>
        <v>Beef Flavor 113 г</v>
      </c>
      <c r="K21" s="27" t="str">
        <f>C16</f>
        <v>Chicken Flavor 113 г</v>
      </c>
    </row>
    <row r="22" ht="31.05" customHeight="1" s="71">
      <c r="A22" s="64" t="n">
        <v>1</v>
      </c>
      <c r="B22" s="64" t="inlineStr">
        <is>
          <t>Собівартість в Україні, EUR/уп.</t>
        </is>
      </c>
      <c r="C22" s="65" t="n"/>
      <c r="D22" s="67" t="inlineStr">
        <is>
          <t>Із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Курс, грн/EUR</t>
        </is>
      </c>
      <c r="C23" s="65" t="n"/>
      <c r="D23" s="67" t="inlineStr">
        <is>
          <t>Умова в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Собівартість в Україні, грн/уп.</t>
        </is>
      </c>
      <c r="C24" s="65" t="n"/>
      <c r="D24" s="67" t="inlineStr">
        <is>
          <t>Крок 1 × крок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Повна ціна партнеру, %</t>
        </is>
      </c>
      <c r="C25" s="65" t="n"/>
      <c r="D25" s="67" t="inlineStr">
        <is>
          <t>База для всіх відсотків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Бонус мережі, %</t>
        </is>
      </c>
      <c r="C26" s="65" t="n"/>
      <c r="D26" s="67" t="inlineStr">
        <is>
          <t>Умова в D4</t>
        </is>
      </c>
      <c r="E26" s="65" t="n"/>
      <c r="F26" s="32">
        <f>$D$4</f>
        <v>0.25</v>
      </c>
      <c r="G26" s="32">
        <f>$D$4</f>
        <v>0.25</v>
      </c>
      <c r="H26" s="32">
        <f>$D$4</f>
        <v>0.25</v>
      </c>
      <c r="I26" s="32">
        <f>$D$4</f>
        <v>0.25</v>
      </c>
      <c r="J26" s="32">
        <f>$D$4</f>
        <v>0.25</v>
      </c>
      <c r="K26" s="32">
        <f>$D$4</f>
        <v>0.25</v>
      </c>
    </row>
    <row r="27" ht="31.05" customHeight="1" s="71">
      <c r="A27" s="64" t="n">
        <v>6</v>
      </c>
      <c r="B27" s="64" t="inlineStr">
        <is>
          <t>Частка ціни після бонусу, %</t>
        </is>
      </c>
      <c r="C27" s="65" t="n"/>
      <c r="D27" s="67" t="inlineStr">
        <is>
          <t>Крок 4 − крок 5</t>
        </is>
      </c>
      <c r="E27" s="65" t="n"/>
      <c r="F27" s="32">
        <f>1-$D$4</f>
        <v>0.75</v>
      </c>
      <c r="G27" s="32">
        <f>1-$D$4</f>
        <v>0.75</v>
      </c>
      <c r="H27" s="32">
        <f>1-$D$4</f>
        <v>0.75</v>
      </c>
      <c r="I27" s="32">
        <f>1-$D$4</f>
        <v>0.75</v>
      </c>
      <c r="J27" s="32">
        <f>1-$D$4</f>
        <v>0.75</v>
      </c>
      <c r="K27" s="32">
        <f>1-$D$4</f>
        <v>0.75</v>
      </c>
    </row>
    <row r="28" ht="31.05" customHeight="1" s="71">
      <c r="A28" s="64" t="n">
        <v>7</v>
      </c>
      <c r="B28" s="64" t="inlineStr">
        <is>
          <t>Наша цільова маржа, %</t>
        </is>
      </c>
      <c r="C28" s="65" t="n"/>
      <c r="D28" s="67" t="inlineStr">
        <is>
          <t>Умова в D5</t>
        </is>
      </c>
      <c r="E28" s="65" t="n"/>
      <c r="F28" s="32">
        <f>$D$5</f>
        <v>0.3</v>
      </c>
      <c r="G28" s="32">
        <f>$D$5</f>
        <v>0.3</v>
      </c>
      <c r="H28" s="32">
        <f>$D$5</f>
        <v>0.3</v>
      </c>
      <c r="I28" s="32">
        <f>$D$5</f>
        <v>0.3</v>
      </c>
      <c r="J28" s="32">
        <f>$D$5</f>
        <v>0.3</v>
      </c>
      <c r="K28" s="32">
        <f>$D$5</f>
        <v>0.3</v>
      </c>
    </row>
    <row r="29" ht="31.05" customHeight="1" s="71">
      <c r="A29" s="64" t="n">
        <v>8</v>
      </c>
      <c r="B29" s="64" t="inlineStr">
        <is>
          <t>Частка ціни для собівартості, %</t>
        </is>
      </c>
      <c r="C29" s="65" t="n"/>
      <c r="D29" s="67" t="inlineStr">
        <is>
          <t>Крок 6 − крок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Ціна партнеру з ПДВ, грн/уп.</t>
        </is>
      </c>
      <c r="C30" s="65" t="n"/>
      <c r="D30" s="82" t="inlineStr">
        <is>
          <t>Крок 3 ÷ крок 8</t>
        </is>
      </c>
      <c r="E30" s="65" t="n"/>
      <c r="F30" s="34">
        <f>G11</f>
        <v>115.84070021881833</v>
      </c>
      <c r="G30" s="34">
        <f>G12</f>
        <v>115.84070021881833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Валовий прибуток до бонусу, грн/уп.</t>
        </is>
      </c>
      <c r="C31" s="65" t="n"/>
      <c r="D31" s="67" t="inlineStr">
        <is>
          <t>Крок 9 − крок 3</t>
        </is>
      </c>
      <c r="E31" s="65" t="n"/>
      <c r="F31" s="31">
        <f>N11</f>
        <v>63.71238512035008</v>
      </c>
      <c r="G31" s="31">
        <f>N12</f>
        <v>63.71238512035008</v>
      </c>
      <c r="H31" s="31">
        <f>N13</f>
        <v>55.21740043763679</v>
      </c>
      <c r="I31" s="31">
        <f>N14</f>
        <v>55.21740043763679</v>
      </c>
      <c r="J31" s="31">
        <f>N15</f>
        <v>55.21740043763679</v>
      </c>
      <c r="K31" s="31">
        <f>N16</f>
        <v>55.21740043763679</v>
      </c>
    </row>
    <row r="32" ht="31.05" customHeight="1" s="71">
      <c r="A32" s="64" t="n">
        <v>11</v>
      </c>
      <c r="B32" s="64" t="inlineStr">
        <is>
          <t>Бонус мережі, грн/уп.</t>
        </is>
      </c>
      <c r="C32" s="65" t="n"/>
      <c r="D32" s="67" t="inlineStr">
        <is>
          <t>Крок 9 × крок 5</t>
        </is>
      </c>
      <c r="E32" s="65" t="n"/>
      <c r="F32" s="31">
        <f>H11</f>
        <v>28.96017505470458</v>
      </c>
      <c r="G32" s="31">
        <f>H12</f>
        <v>28.96017505470458</v>
      </c>
      <c r="H32" s="31">
        <f>H13</f>
        <v>25.098818380743996</v>
      </c>
      <c r="I32" s="31">
        <f>H14</f>
        <v>25.098818380743996</v>
      </c>
      <c r="J32" s="31">
        <f>H15</f>
        <v>25.098818380743996</v>
      </c>
      <c r="K32" s="31">
        <f>H16</f>
        <v>25.098818380743996</v>
      </c>
    </row>
    <row r="33" ht="31.05" customHeight="1" s="71">
      <c r="A33" s="81" t="n">
        <v>12</v>
      </c>
      <c r="B33" s="81" t="inlineStr">
        <is>
          <t>Нам залишається після собівартості та бонусу, грн/уп.</t>
        </is>
      </c>
      <c r="C33" s="65" t="n"/>
      <c r="D33" s="66" t="inlineStr">
        <is>
          <t>Крок 10 − крок 11</t>
        </is>
      </c>
      <c r="E33" s="65" t="n"/>
      <c r="F33" s="36">
        <f>I11</f>
        <v>34.7522100656455</v>
      </c>
      <c r="G33" s="36">
        <f>I12</f>
        <v>34.7522100656455</v>
      </c>
      <c r="H33" s="36">
        <f>I13</f>
        <v>30.118582056892794</v>
      </c>
      <c r="I33" s="36">
        <f>I14</f>
        <v>30.118582056892794</v>
      </c>
      <c r="J33" s="36">
        <f>I15</f>
        <v>30.118582056892794</v>
      </c>
      <c r="K33" s="36">
        <f>I16</f>
        <v>30.118582056892794</v>
      </c>
    </row>
    <row r="34" ht="31.05" customHeight="1" s="71">
      <c r="A34" s="81" t="n">
        <v>13</v>
      </c>
      <c r="B34" s="81" t="inlineStr">
        <is>
          <t>Перевірка нашої маржі після бонусу, %</t>
        </is>
      </c>
      <c r="C34" s="65" t="n"/>
      <c r="D34" s="66" t="inlineStr">
        <is>
          <t>Крок 12 ÷ крок 9</t>
        </is>
      </c>
      <c r="E34" s="65" t="n"/>
      <c r="F34" s="37">
        <f>J11</f>
        <v>0.3</v>
      </c>
      <c r="G34" s="37">
        <f>J12</f>
        <v>0.3</v>
      </c>
      <c r="H34" s="37">
        <f>J13</f>
        <v>0.3</v>
      </c>
      <c r="I34" s="37">
        <f>J14</f>
        <v>0.3</v>
      </c>
      <c r="J34" s="37">
        <f>J15</f>
        <v>0.3</v>
      </c>
      <c r="K34" s="37">
        <f>J16</f>
        <v>0.3</v>
      </c>
    </row>
    <row r="35" ht="31.05" customHeight="1" s="71">
      <c r="A35" s="64" t="n">
        <v>14</v>
      </c>
      <c r="B35" s="64" t="inlineStr">
        <is>
          <t>Націнка ритейлера для полиці, %</t>
        </is>
      </c>
      <c r="C35" s="65" t="n"/>
      <c r="D35" s="67" t="inlineStr">
        <is>
          <t>Множник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Множник ритейлера</t>
        </is>
      </c>
      <c r="C36" s="65" t="n"/>
      <c r="D36" s="67" t="inlineStr">
        <is>
          <t>1 + крок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Ціна на полиці з ПДВ, грн/уп.</t>
        </is>
      </c>
      <c r="C37" s="65" t="n"/>
      <c r="D37" s="82" t="inlineStr">
        <is>
          <t>Крок 9 × крок 15</t>
        </is>
      </c>
      <c r="E37" s="65" t="n"/>
      <c r="F37" s="34">
        <f>K11</f>
        <v>162.17698030634565</v>
      </c>
      <c r="G37" s="34">
        <f>K12</f>
        <v>162.17698030634565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Ціна партнеру при нульовому нашому прибутку, грн/уп.</t>
        </is>
      </c>
      <c r="C38" s="65" t="n"/>
      <c r="D38" s="67" t="inlineStr">
        <is>
          <t>Крок 3 ÷ крок 6</t>
        </is>
      </c>
      <c r="E38" s="65" t="n"/>
      <c r="F38" s="31">
        <f>L11</f>
        <v>69.504420131291</v>
      </c>
      <c r="G38" s="31">
        <f>L12</f>
        <v>69.504420131291</v>
      </c>
      <c r="H38" s="31">
        <f>L13</f>
        <v>60.23716411378559</v>
      </c>
      <c r="I38" s="31">
        <f>L14</f>
        <v>60.23716411378559</v>
      </c>
      <c r="J38" s="31">
        <f>L15</f>
        <v>60.23716411378559</v>
      </c>
      <c r="K38" s="31">
        <f>L16</f>
        <v>60.23716411378559</v>
      </c>
    </row>
    <row r="39" ht="31.05" customHeight="1" s="71">
      <c r="A39" s="64" t="n">
        <v>18</v>
      </c>
      <c r="B39" s="64" t="inlineStr">
        <is>
          <t>Полиця при нульовому нашому прибутку, грн/уп.</t>
        </is>
      </c>
      <c r="C39" s="65" t="n"/>
      <c r="D39" s="67" t="inlineStr">
        <is>
          <t>Крок 17 × крок 15</t>
        </is>
      </c>
      <c r="E39" s="65" t="n"/>
      <c r="F39" s="31">
        <f>M11</f>
        <v>97.3061881838074</v>
      </c>
      <c r="G39" s="31">
        <f>M12</f>
        <v>97.3061881838074</v>
      </c>
      <c r="H39" s="31">
        <f>M13</f>
        <v>84.33202975929981</v>
      </c>
      <c r="I39" s="31">
        <f>M14</f>
        <v>84.33202975929981</v>
      </c>
      <c r="J39" s="31">
        <f>M15</f>
        <v>84.33202975929981</v>
      </c>
      <c r="K39" s="31">
        <f>M16</f>
        <v>84.33202975929981</v>
      </c>
    </row>
    <row r="42" ht="26" customHeight="1" s="71">
      <c r="B42" s="152" t="inlineStr">
        <is>
          <t>ДО → ПІСЛЯ · ціна на полиці при поточній закупівлі та при запиті SIAS</t>
        </is>
      </c>
    </row>
    <row r="43" ht="20" customHeight="1" s="71">
      <c r="B43" s="153" t="str">
        <f>"Бонус мережі "&amp;ROUND('Цена 120 грн — 33 паллет'!D14*100,0)&amp;" % · маржа "&amp;ROUND('Цена 120 грн — 33 паллет'!C14*100,0)&amp;" % · націнка ×"&amp;'Цена 120 грн — 33 паллет'!E14</f>
        <v>Бонус мережі 25 % · маржа 30 % · націнка ×1.4</v>
      </c>
    </row>
    <row r="44" ht="26" customHeight="1" s="71">
      <c r="E44" s="154" t="inlineStr">
        <is>
          <t>ДО · поточна закупівля SIAS</t>
        </is>
      </c>
      <c r="F44" s="172" t="n"/>
      <c r="G44" s="172" t="n"/>
      <c r="H44" s="172" t="n"/>
      <c r="I44" s="172" t="n"/>
      <c r="J44" s="173" t="n"/>
      <c r="K44" s="155" t="inlineStr">
        <is>
          <t>ПІСЛЯ · запит SIAS (одна ціна на 6 SKU)</t>
        </is>
      </c>
      <c r="L44" s="172" t="n"/>
      <c r="M44" s="172" t="n"/>
      <c r="N44" s="172" t="n"/>
      <c r="O44" s="172" t="n"/>
      <c r="P44" s="173" t="n"/>
      <c r="Q44" s="156" t="inlineStr">
        <is>
          <t>ЗМІНА</t>
        </is>
      </c>
      <c r="R44" s="173" t="n"/>
    </row>
    <row r="45" ht="42" customHeight="1" s="71">
      <c r="A45" s="157" t="inlineStr">
        <is>
          <t>№</t>
        </is>
      </c>
      <c r="B45" s="157" t="inlineStr">
        <is>
          <t>Позиція</t>
        </is>
      </c>
      <c r="C45" s="157" t="inlineStr">
        <is>
          <t>Закупівля SIAS: до → після</t>
        </is>
      </c>
      <c r="D45" s="157" t="inlineStr">
        <is>
          <t>Вага, г</t>
        </is>
      </c>
      <c r="E45" s="158" t="inlineStr">
        <is>
          <t>Закупівля, €/пач.</t>
        </is>
      </c>
      <c r="F45" s="158" t="inlineStr">
        <is>
          <t>СС, ₴/пач.</t>
        </is>
      </c>
      <c r="G45" s="158" t="inlineStr">
        <is>
          <t>Ціна партнеру, ₴</t>
        </is>
      </c>
      <c r="H45" s="158" t="inlineStr">
        <is>
          <t>Бонус мережі, ₴</t>
        </is>
      </c>
      <c r="I45" s="158" t="inlineStr">
        <is>
          <t>Залишається після бонусу, ₴</t>
        </is>
      </c>
      <c r="J45" s="158" t="inlineStr">
        <is>
          <t>Полиця з ПДВ, ₴</t>
        </is>
      </c>
      <c r="K45" s="159" t="inlineStr">
        <is>
          <t>Закупівля, €/пач.</t>
        </is>
      </c>
      <c r="L45" s="159" t="inlineStr">
        <is>
          <t>СС, ₴/пач.</t>
        </is>
      </c>
      <c r="M45" s="159" t="inlineStr">
        <is>
          <t>Ціна партнеру, ₴</t>
        </is>
      </c>
      <c r="N45" s="159" t="inlineStr">
        <is>
          <t>Бонус мережі, ₴</t>
        </is>
      </c>
      <c r="O45" s="159" t="inlineStr">
        <is>
          <t>Залишається після бонусу, ₴</t>
        </is>
      </c>
      <c r="P45" s="159" t="inlineStr">
        <is>
          <t>Полиця з ПДВ, ₴</t>
        </is>
      </c>
      <c r="Q45" s="160" t="inlineStr">
        <is>
          <t>Δ полиці, ₴</t>
        </is>
      </c>
      <c r="R45" s="160" t="inlineStr">
        <is>
          <t>Δ полиці, %</t>
        </is>
      </c>
    </row>
    <row r="46" ht="30" customHeight="1" s="71">
      <c r="A46" s="161">
        <f>A11</f>
        <v>1</v>
      </c>
      <c r="B46" s="162" t="str">
        <f>C11</f>
        <v>Gouda Cheese 123 г</v>
      </c>
      <c r="C46" s="161" t="str">
        <f>"€"&amp;ROUND(E46,2)&amp;" → €"&amp;ROUND(K46,2)</f>
        <v>€0.75 → €0.54</v>
      </c>
      <c r="D46" s="161">
        <f>D11</f>
        <v>123</v>
      </c>
      <c r="E46" s="163">
        <f>'Цена 120 грн — 33 паллет'!$B$7</f>
        <v>0.75</v>
      </c>
      <c r="F46" s="164">
        <f>F11</f>
        <v>52.12831509846825</v>
      </c>
      <c r="G46" s="164">
        <f>G11</f>
        <v>115.84070021881833</v>
      </c>
      <c r="H46" s="164">
        <f>H11</f>
        <v>28.96017505470458</v>
      </c>
      <c r="I46" s="164">
        <f>I11</f>
        <v>34.7522100656455</v>
      </c>
      <c r="J46" s="165">
        <f>K11</f>
        <v>162.17698030634565</v>
      </c>
      <c r="K46" s="166">
        <f>'Цена 120 грн — 33 паллет'!$B$19</f>
        <v>0.54</v>
      </c>
      <c r="L46" s="167">
        <f>'Цена 120 грн — 33 паллет'!$C$8</f>
        <v>38.52747636363637</v>
      </c>
      <c r="M46" s="167">
        <f>L46/(1-$D$4-$D$5)</f>
        <v>85.61661414141415</v>
      </c>
      <c r="N46" s="167">
        <f>M46*$D$4</f>
        <v>21.404153535353537</v>
      </c>
      <c r="O46" s="167">
        <f>M46-L46-N46</f>
        <v>25.684984242424242</v>
      </c>
      <c r="P46" s="168">
        <f>M46*$D$6</f>
        <v>119.8632597979798</v>
      </c>
      <c r="Q46" s="174">
        <f>P46-J46</f>
        <v>-42.31372050836586</v>
      </c>
      <c r="R46" s="175">
        <f>Q46/J46</f>
        <v>-0.2609107681524035</v>
      </c>
    </row>
    <row r="47" ht="30" customHeight="1" s="71">
      <c r="A47" s="161">
        <f>A12</f>
        <v>2</v>
      </c>
      <c r="B47" s="162" t="str">
        <f>C12</f>
        <v>Carbonara Spicy 131 г</v>
      </c>
      <c r="C47" s="161" t="str">
        <f>"€"&amp;ROUND(E47,2)&amp;" → €"&amp;ROUND(K47,2)</f>
        <v>€0.75 → €0.54</v>
      </c>
      <c r="D47" s="161">
        <f>D12</f>
        <v>131</v>
      </c>
      <c r="E47" s="163">
        <f>'Цена 120 грн — 33 паллет'!$B$7</f>
        <v>0.75</v>
      </c>
      <c r="F47" s="164">
        <f>F12</f>
        <v>52.12831509846825</v>
      </c>
      <c r="G47" s="164">
        <f>G12</f>
        <v>115.84070021881833</v>
      </c>
      <c r="H47" s="164">
        <f>H12</f>
        <v>28.96017505470458</v>
      </c>
      <c r="I47" s="164">
        <f>I12</f>
        <v>34.7522100656455</v>
      </c>
      <c r="J47" s="165">
        <f>K12</f>
        <v>162.17698030634565</v>
      </c>
      <c r="K47" s="166">
        <f>'Цена 120 грн — 33 паллет'!$B$19</f>
        <v>0.54</v>
      </c>
      <c r="L47" s="167">
        <f>'Цена 120 грн — 33 паллет'!$C$8</f>
        <v>38.52747636363637</v>
      </c>
      <c r="M47" s="167">
        <f>L47/(1-$D$4-$D$5)</f>
        <v>85.61661414141415</v>
      </c>
      <c r="N47" s="167">
        <f>M47*$D$4</f>
        <v>21.404153535353537</v>
      </c>
      <c r="O47" s="167">
        <f>M47-L47-N47</f>
        <v>25.684984242424242</v>
      </c>
      <c r="P47" s="168">
        <f>M47*$D$6</f>
        <v>119.8632597979798</v>
      </c>
      <c r="Q47" s="174">
        <f>P47-J47</f>
        <v>-42.31372050836586</v>
      </c>
      <c r="R47" s="175">
        <f>Q47/J47</f>
        <v>-0.2609107681524035</v>
      </c>
    </row>
    <row r="48" ht="30" customHeight="1" s="71">
      <c r="A48" s="161">
        <f>A13</f>
        <v>3</v>
      </c>
      <c r="B48" s="162" t="str">
        <f>C13</f>
        <v>Vegetable Flavor 113 г</v>
      </c>
      <c r="C48" s="161" t="str">
        <f>"€"&amp;ROUND(E48,2)&amp;" → €"&amp;ROUND(K48,2)</f>
        <v>€0.65 → €0.54</v>
      </c>
      <c r="D48" s="161">
        <f>D13</f>
        <v>113</v>
      </c>
      <c r="E48" s="163">
        <f>'Цена 120 грн — 33 паллет'!$B$5</f>
        <v>0.65</v>
      </c>
      <c r="F48" s="164">
        <f>F13</f>
        <v>45.17787308533919</v>
      </c>
      <c r="G48" s="164">
        <f>G13</f>
        <v>100.39527352297598</v>
      </c>
      <c r="H48" s="164">
        <f>H13</f>
        <v>25.098818380743996</v>
      </c>
      <c r="I48" s="164">
        <f>I13</f>
        <v>30.118582056892794</v>
      </c>
      <c r="J48" s="165">
        <f>K13</f>
        <v>140.55338293216636</v>
      </c>
      <c r="K48" s="166">
        <f>'Цена 120 грн — 33 паллет'!$B$19</f>
        <v>0.54</v>
      </c>
      <c r="L48" s="167">
        <f>'Цена 120 грн — 33 паллет'!$C$8</f>
        <v>38.52747636363637</v>
      </c>
      <c r="M48" s="167">
        <f>L48/(1-$D$4-$D$5)</f>
        <v>85.61661414141415</v>
      </c>
      <c r="N48" s="167">
        <f>M48*$D$4</f>
        <v>21.404153535353537</v>
      </c>
      <c r="O48" s="167">
        <f>M48-L48-N48</f>
        <v>25.684984242424242</v>
      </c>
      <c r="P48" s="168">
        <f>M48*$D$6</f>
        <v>119.8632597979798</v>
      </c>
      <c r="Q48" s="174">
        <f>P48-J48</f>
        <v>-20.690123134186564</v>
      </c>
      <c r="R48" s="175">
        <f>Q48/J48</f>
        <v>-0.14720473248354327</v>
      </c>
    </row>
    <row r="49" ht="30" customHeight="1" s="71">
      <c r="A49" s="161">
        <f>A14</f>
        <v>4</v>
      </c>
      <c r="B49" s="162" t="str">
        <f>C14</f>
        <v>Spicy Flavor 112.5 г</v>
      </c>
      <c r="C49" s="161" t="str">
        <f>"€"&amp;ROUND(E49,2)&amp;" → €"&amp;ROUND(K49,2)</f>
        <v>€0.65 → €0.54</v>
      </c>
      <c r="D49" s="161">
        <f>D14</f>
        <v>112.5</v>
      </c>
      <c r="E49" s="163">
        <f>'Цена 120 грн — 33 паллет'!$B$5</f>
        <v>0.65</v>
      </c>
      <c r="F49" s="164">
        <f>F14</f>
        <v>45.17787308533919</v>
      </c>
      <c r="G49" s="164">
        <f>G14</f>
        <v>100.39527352297598</v>
      </c>
      <c r="H49" s="164">
        <f>H14</f>
        <v>25.098818380743996</v>
      </c>
      <c r="I49" s="164">
        <f>I14</f>
        <v>30.118582056892794</v>
      </c>
      <c r="J49" s="165">
        <f>K14</f>
        <v>140.55338293216636</v>
      </c>
      <c r="K49" s="166">
        <f>'Цена 120 грн — 33 паллет'!$B$19</f>
        <v>0.54</v>
      </c>
      <c r="L49" s="167">
        <f>'Цена 120 грн — 33 паллет'!$C$8</f>
        <v>38.52747636363637</v>
      </c>
      <c r="M49" s="167">
        <f>L49/(1-$D$4-$D$5)</f>
        <v>85.61661414141415</v>
      </c>
      <c r="N49" s="167">
        <f>M49*$D$4</f>
        <v>21.404153535353537</v>
      </c>
      <c r="O49" s="167">
        <f>M49-L49-N49</f>
        <v>25.684984242424242</v>
      </c>
      <c r="P49" s="168">
        <f>M49*$D$6</f>
        <v>119.8632597979798</v>
      </c>
      <c r="Q49" s="174">
        <f>P49-J49</f>
        <v>-20.690123134186564</v>
      </c>
      <c r="R49" s="175">
        <f>Q49/J49</f>
        <v>-0.14720473248354327</v>
      </c>
    </row>
    <row r="50" ht="30" customHeight="1" s="71">
      <c r="A50" s="161">
        <f>A15</f>
        <v>5</v>
      </c>
      <c r="B50" s="162" t="str">
        <f>C15</f>
        <v>Beef Flavor 113 г</v>
      </c>
      <c r="C50" s="161" t="str">
        <f>"€"&amp;ROUND(E50,2)&amp;" → €"&amp;ROUND(K50,2)</f>
        <v>€0.65 → €0.54</v>
      </c>
      <c r="D50" s="161">
        <f>D15</f>
        <v>113</v>
      </c>
      <c r="E50" s="163">
        <f>'Цена 120 грн — 33 паллет'!$B$5</f>
        <v>0.65</v>
      </c>
      <c r="F50" s="164">
        <f>F15</f>
        <v>45.17787308533919</v>
      </c>
      <c r="G50" s="164">
        <f>G15</f>
        <v>100.39527352297598</v>
      </c>
      <c r="H50" s="164">
        <f>H15</f>
        <v>25.098818380743996</v>
      </c>
      <c r="I50" s="164">
        <f>I15</f>
        <v>30.118582056892794</v>
      </c>
      <c r="J50" s="165">
        <f>K15</f>
        <v>140.55338293216636</v>
      </c>
      <c r="K50" s="166">
        <f>'Цена 120 грн — 33 паллет'!$B$19</f>
        <v>0.54</v>
      </c>
      <c r="L50" s="167">
        <f>'Цена 120 грн — 33 паллет'!$C$8</f>
        <v>38.52747636363637</v>
      </c>
      <c r="M50" s="167">
        <f>L50/(1-$D$4-$D$5)</f>
        <v>85.61661414141415</v>
      </c>
      <c r="N50" s="167">
        <f>M50*$D$4</f>
        <v>21.404153535353537</v>
      </c>
      <c r="O50" s="167">
        <f>M50-L50-N50</f>
        <v>25.684984242424242</v>
      </c>
      <c r="P50" s="168">
        <f>M50*$D$6</f>
        <v>119.8632597979798</v>
      </c>
      <c r="Q50" s="174">
        <f>P50-J50</f>
        <v>-20.690123134186564</v>
      </c>
      <c r="R50" s="175">
        <f>Q50/J50</f>
        <v>-0.14720473248354327</v>
      </c>
    </row>
    <row r="51" ht="30" customHeight="1" s="71">
      <c r="A51" s="161">
        <f>A16</f>
        <v>6</v>
      </c>
      <c r="B51" s="162" t="str">
        <f>C16</f>
        <v>Chicken Flavor 113 г</v>
      </c>
      <c r="C51" s="161" t="str">
        <f>"€"&amp;ROUND(E51,2)&amp;" → €"&amp;ROUND(K51,2)</f>
        <v>€0.65 → €0.54</v>
      </c>
      <c r="D51" s="161">
        <f>D16</f>
        <v>113</v>
      </c>
      <c r="E51" s="163">
        <f>'Цена 120 грн — 33 паллет'!$B$5</f>
        <v>0.65</v>
      </c>
      <c r="F51" s="164">
        <f>F16</f>
        <v>45.17787308533919</v>
      </c>
      <c r="G51" s="164">
        <f>G16</f>
        <v>100.39527352297598</v>
      </c>
      <c r="H51" s="164">
        <f>H16</f>
        <v>25.098818380743996</v>
      </c>
      <c r="I51" s="164">
        <f>I16</f>
        <v>30.118582056892794</v>
      </c>
      <c r="J51" s="165">
        <f>K16</f>
        <v>140.55338293216636</v>
      </c>
      <c r="K51" s="166">
        <f>'Цена 120 грн — 33 паллет'!$B$19</f>
        <v>0.54</v>
      </c>
      <c r="L51" s="167">
        <f>'Цена 120 грн — 33 паллет'!$C$8</f>
        <v>38.52747636363637</v>
      </c>
      <c r="M51" s="167">
        <f>L51/(1-$D$4-$D$5)</f>
        <v>85.61661414141415</v>
      </c>
      <c r="N51" s="167">
        <f>M51*$D$4</f>
        <v>21.404153535353537</v>
      </c>
      <c r="O51" s="167">
        <f>M51-L51-N51</f>
        <v>25.684984242424242</v>
      </c>
      <c r="P51" s="168">
        <f>M51*$D$6</f>
        <v>119.8632597979798</v>
      </c>
      <c r="Q51" s="174">
        <f>P51-J51</f>
        <v>-20.690123134186564</v>
      </c>
      <c r="R51" s="175">
        <f>Q51/J51</f>
        <v>-0.14720473248354327</v>
      </c>
    </row>
    <row r="53" ht="30" customHeight="1" s="71">
      <c r="B53" s="171" t="inlineStr">
        <is>
          <t>СС «до» — реальна (Self-Cost), «після» — розрахунок на запит SIAS (логістика рівномірно на пачку). Бонус, маржа та націнка — з аркуша «Цена 120 грн».</t>
        </is>
      </c>
    </row>
    <row r="56" ht="26" customHeight="1" s="71">
      <c r="B56" s="152" t="inlineStr">
        <is>
          <t>СЦЕНАРІЇ МАРЖІ · ДО та ПІСЛЯ запиту SIAS</t>
        </is>
      </c>
    </row>
    <row r="57" ht="30" customHeight="1" s="71">
      <c r="B57" s="54" t="inlineStr">
        <is>
          <t>Для кожної маржі: полиця при поточній закупівлі (ДО) і закупівля, яку має прийняти SIAS, щоб полиця була 120 ₴ (ПІСЛЯ). Бонус мережі та націнка — як на аркуші «Цена 120 грн».</t>
        </is>
      </c>
    </row>
    <row r="58" ht="24" customHeight="1" s="71">
      <c r="E58" s="154" t="inlineStr">
        <is>
          <t>ДО · поточна закупівля</t>
        </is>
      </c>
      <c r="F58" s="154" t="n"/>
      <c r="G58" s="155" t="inlineStr">
        <is>
          <t>ПІСЛЯ · запит для полиці 120 ₴</t>
        </is>
      </c>
      <c r="H58" s="155" t="n"/>
      <c r="I58" s="155" t="n"/>
      <c r="J58" s="156" t="inlineStr">
        <is>
          <t>ЗМІНА відносно ДО</t>
        </is>
      </c>
      <c r="K58" s="156" t="n"/>
      <c r="L58" s="156" t="n"/>
      <c r="M58" s="156" t="n"/>
    </row>
    <row r="59" ht="38" customHeight="1" s="71">
      <c r="B59" s="157" t="inlineStr">
        <is>
          <t>Маржа</t>
        </is>
      </c>
      <c r="C59" s="157" t="inlineStr"/>
      <c r="D59" s="157" t="inlineStr">
        <is>
          <t>Частка ціни на СС</t>
        </is>
      </c>
      <c r="E59" s="158" t="inlineStr">
        <is>
          <t>Полиця 4 SKU, ₴</t>
        </is>
      </c>
      <c r="F59" s="158" t="inlineStr">
        <is>
          <t>Полиця 2 SKU, ₴</t>
        </is>
      </c>
      <c r="G59" s="159" t="inlineStr">
        <is>
          <t>Запит, €/пач.</t>
        </is>
      </c>
      <c r="H59" s="159" t="inlineStr">
        <is>
          <t>СС, ₴</t>
        </is>
      </c>
      <c r="I59" s="159" t="inlineStr">
        <is>
          <t>Полиця, ₴</t>
        </is>
      </c>
      <c r="J59" s="160" t="inlineStr">
        <is>
          <t>Δ 4 SKU, ₴</t>
        </is>
      </c>
      <c r="K59" s="160" t="inlineStr">
        <is>
          <t>Δ 4 SKU, %</t>
        </is>
      </c>
      <c r="L59" s="160" t="inlineStr">
        <is>
          <t>Δ 2 SKU, ₴</t>
        </is>
      </c>
      <c r="M59" s="160" t="inlineStr">
        <is>
          <t>Δ 2 SKU, %</t>
        </is>
      </c>
    </row>
    <row r="60" ht="28" customHeight="1" s="71">
      <c r="B60" s="176" t="n">
        <v>0.35</v>
      </c>
      <c r="C60" s="177" t="str">
        <f>IF(ABS(B60-'Цена 120 грн — 33 паллет'!$C$14)&lt;0.0000001,"◄ поточна","")</f>
        <v/>
      </c>
      <c r="D60" s="178">
        <f>1-'Финмодель 33 паллет'!$D$4-B60</f>
        <v>0.4</v>
      </c>
      <c r="E60" s="179">
        <f>'Финмодель 33 паллет'!$F$13/D60*'Финмодель 33 паллет'!$D$6</f>
        <v>158.12255579868716</v>
      </c>
      <c r="F60" s="180">
        <f>'Финмодель 33 паллет'!$F$11/D60*'Финмодель 33 паллет'!$D$6</f>
        <v>182.44910284463887</v>
      </c>
      <c r="G60" s="181">
        <f>ROUNDDOWN((('Цена 120 грн — 33 паллет'!$B$14/'Цена 120 грн — 33 паллет'!$E$14*D60/(1+0))/'Финмодель 33 паллет'!$D$3/(1+0.025)-(3700+288+42+3700*0.7*(0+0.2*(1+0)))/52800)/((1+0)*(1+0.2)),2)</f>
        <v>0.47</v>
      </c>
      <c r="H60" s="182">
        <f>(G60*'Финмодель 33 паллет'!$D$3+(3700+288+42)/52800*'Финмодель 33 паллет'!$D$3+(G60+3700*0.7/52800)*0*'Финмодель 33 паллет'!$D$3+(G60+3700*0.7/52800)*(1+0)*0.2*'Финмодель 33 паллет'!$D$3)*(1+0.025)*(1+0)</f>
        <v>34.11915636363636</v>
      </c>
      <c r="I60" s="183">
        <f>H60/D60*'Финмодель 33 паллет'!$D$6</f>
        <v>119.41704727272723</v>
      </c>
      <c r="J60" s="174">
        <f>I60-E60</f>
        <v>-38.70550852595993</v>
      </c>
      <c r="K60" s="175">
        <f>J60/E60</f>
        <v>-0.24478170322036552</v>
      </c>
      <c r="L60" s="174">
        <f>I60-F60</f>
        <v>-63.03205557191164</v>
      </c>
      <c r="M60" s="175">
        <f>L60/F60</f>
        <v>-0.34547747612431623</v>
      </c>
    </row>
    <row r="61" ht="28" customHeight="1" s="71">
      <c r="B61" s="176" t="n">
        <v>0.3</v>
      </c>
      <c r="C61" s="177" t="str">
        <f>IF(ABS(B61-'Цена 120 грн — 33 паллет'!$C$14)&lt;0.0000001,"◄ поточна","")</f>
        <v>◄ поточна</v>
      </c>
      <c r="D61" s="178">
        <f>1-'Финмодель 33 паллет'!$D$4-B61</f>
        <v>0.45</v>
      </c>
      <c r="E61" s="179">
        <f>'Финмодель 33 паллет'!$F$13/D61*'Финмодель 33 паллет'!$D$6</f>
        <v>140.55338293216636</v>
      </c>
      <c r="F61" s="180">
        <f>'Финмодель 33 паллет'!$F$11/D61*'Финмодель 33 паллет'!$D$6</f>
        <v>162.17698030634565</v>
      </c>
      <c r="G61" s="181">
        <f>ROUNDDOWN((('Цена 120 грн — 33 паллет'!$B$14/'Цена 120 грн — 33 паллет'!$E$14*D61/(1+0))/'Финмодель 33 паллет'!$D$3/(1+0.025)-(3700+288+42+3700*0.7*(0+0.2*(1+0)))/52800)/((1+0)*(1+0.2)),2)</f>
        <v>0.54</v>
      </c>
      <c r="H61" s="182">
        <f>(G61*'Финмодель 33 паллет'!$D$3+(3700+288+42)/52800*'Финмодель 33 паллет'!$D$3+(G61+3700*0.7/52800)*0*'Финмодель 33 паллет'!$D$3+(G61+3700*0.7/52800)*(1+0)*0.2*'Финмодель 33 паллет'!$D$3)*(1+0.025)*(1+0)</f>
        <v>38.52747636363637</v>
      </c>
      <c r="I61" s="183">
        <f>H61/D61*'Финмодель 33 паллет'!$D$6</f>
        <v>119.8632597979798</v>
      </c>
      <c r="J61" s="174">
        <f>I61-E61</f>
        <v>-20.690123134186564</v>
      </c>
      <c r="K61" s="175">
        <f>J61/E61</f>
        <v>-0.14720473248354327</v>
      </c>
      <c r="L61" s="174">
        <f>I61-F61</f>
        <v>-42.31372050836586</v>
      </c>
      <c r="M61" s="175">
        <f>L61/F61</f>
        <v>-0.2609107681524035</v>
      </c>
    </row>
    <row r="62" ht="28" customHeight="1" s="71">
      <c r="B62" s="176" t="n">
        <v>0.25</v>
      </c>
      <c r="C62" s="177" t="str">
        <f>IF(ABS(B62-'Цена 120 грн — 33 паллет'!$C$14)&lt;0.0000001,"◄ поточна","")</f>
        <v/>
      </c>
      <c r="D62" s="178">
        <f>1-'Финмодель 33 паллет'!$D$4-B62</f>
        <v>0.5</v>
      </c>
      <c r="E62" s="179">
        <f>'Финмодель 33 паллет'!$F$13/D62*'Финмодель 33 паллет'!$D$6</f>
        <v>126.49804463894974</v>
      </c>
      <c r="F62" s="180">
        <f>'Финмодель 33 паллет'!$F$11/D62*'Финмодель 33 паллет'!$D$6</f>
        <v>145.95928227571108</v>
      </c>
      <c r="G62" s="181">
        <f>ROUNDDOWN((('Цена 120 грн — 33 паллет'!$B$14/'Цена 120 грн — 33 паллет'!$E$14*D62/(1+0))/'Финмодель 33 паллет'!$D$3/(1+0.025)-(3700+288+42+3700*0.7*(0+0.2*(1+0)))/52800)/((1+0)*(1+0.2)),2)</f>
        <v>0.6</v>
      </c>
      <c r="H62" s="182">
        <f>(G62*'Финмодель 33 паллет'!$D$3+(3700+288+42)/52800*'Финмодель 33 паллет'!$D$3+(G62+3700*0.7/52800)*0*'Финмодель 33 паллет'!$D$3+(G62+3700*0.7/52800)*(1+0)*0.2*'Финмодель 33 паллет'!$D$3)*(1+0.025)*(1+0)</f>
        <v>42.30603636363636</v>
      </c>
      <c r="I62" s="183">
        <f>H62/D62*'Финмодель 33 паллет'!$D$6</f>
        <v>118.45690181818179</v>
      </c>
      <c r="J62" s="174">
        <f>I62-E62</f>
        <v>-8.041142820767945</v>
      </c>
      <c r="K62" s="175">
        <f>J62/E62</f>
        <v>-0.06356732899483898</v>
      </c>
      <c r="L62" s="174">
        <f>I62-F62</f>
        <v>-27.502380457529284</v>
      </c>
      <c r="M62" s="175">
        <f>L62/F62</f>
        <v>-0.1884250184621929</v>
      </c>
    </row>
    <row r="63" ht="28" customHeight="1" s="71">
      <c r="B63" s="176" t="n">
        <v>0.2</v>
      </c>
      <c r="C63" s="177" t="str">
        <f>IF(ABS(B63-'Цена 120 грн — 33 паллет'!$C$14)&lt;0.0000001,"◄ поточна","")</f>
        <v/>
      </c>
      <c r="D63" s="178">
        <f>1-'Финмодель 33 паллет'!$D$4-B63</f>
        <v>0.55</v>
      </c>
      <c r="E63" s="179">
        <f>'Финмодель 33 паллет'!$F$13/D63*'Финмодель 33 паллет'!$D$6</f>
        <v>114.9982223990452</v>
      </c>
      <c r="F63" s="180">
        <f>'Финмодель 33 паллет'!$F$11/D63*'Финмодель 33 паллет'!$D$6</f>
        <v>132.6902566142828</v>
      </c>
      <c r="G63" s="181">
        <f>ROUNDDOWN((('Цена 120 грн — 33 паллет'!$B$14/'Цена 120 грн — 33 паллет'!$E$14*D63/(1+0))/'Финмодель 33 паллет'!$D$3/(1+0.025)-(3700+288+42+3700*0.7*(0+0.2*(1+0)))/52800)/((1+0)*(1+0.2)),2)</f>
        <v>0.67</v>
      </c>
      <c r="H63" s="182">
        <f>(G63*'Финмодель 33 паллет'!$D$3+(3700+288+42)/52800*'Финмодель 33 паллет'!$D$3+(G63+3700*0.7/52800)*0*'Финмодель 33 паллет'!$D$3+(G63+3700*0.7/52800)*(1+0)*0.2*'Финмодель 33 паллет'!$D$3)*(1+0.025)*(1+0)</f>
        <v>46.71435636363636</v>
      </c>
      <c r="I63" s="183">
        <f>H63/D63*'Финмодель 33 паллет'!$D$6</f>
        <v>118.90927074380163</v>
      </c>
      <c r="J63" s="174">
        <f>I63-E63</f>
        <v>3.9110483447564235</v>
      </c>
      <c r="K63" s="175">
        <f>J63/E63</f>
        <v>0.0340096417419831</v>
      </c>
      <c r="L63" s="174">
        <f>I63-F63</f>
        <v>-13.78098587048116</v>
      </c>
      <c r="M63" s="175">
        <f>L63/F63</f>
        <v>-0.10385831049028037</v>
      </c>
    </row>
    <row r="64" ht="28" customHeight="1" s="71">
      <c r="B64" s="176" t="n">
        <v>0.15</v>
      </c>
      <c r="C64" s="177" t="str">
        <f>IF(ABS(B64-'Цена 120 грн — 33 паллет'!$C$14)&lt;0.0000001,"◄ поточна","")</f>
        <v/>
      </c>
      <c r="D64" s="178">
        <f>1-'Финмодель 33 паллет'!$D$4-B64</f>
        <v>0.6</v>
      </c>
      <c r="E64" s="179">
        <f>'Финмодель 33 паллет'!$F$13/D64*'Финмодель 33 паллет'!$D$6</f>
        <v>105.41503719912478</v>
      </c>
      <c r="F64" s="180">
        <f>'Финмодель 33 паллет'!$F$11/D64*'Финмодель 33 паллет'!$D$6</f>
        <v>121.63273522975923</v>
      </c>
      <c r="G64" s="181">
        <f>ROUNDDOWN((('Цена 120 грн — 33 паллет'!$B$14/'Цена 120 грн — 33 паллет'!$E$14*D64/(1+0))/'Финмодель 33 паллет'!$D$3/(1+0.025)-(3700+288+42+3700*0.7*(0+0.2*(1+0)))/52800)/((1+0)*(1+0.2)),2)</f>
        <v>0.74</v>
      </c>
      <c r="H64" s="182">
        <f>(G64*'Финмодель 33 паллет'!$D$3+(3700+288+42)/52800*'Финмодель 33 паллет'!$D$3+(G64+3700*0.7/52800)*0*'Финмодель 33 паллет'!$D$3+(G64+3700*0.7/52800)*(1+0)*0.2*'Финмодель 33 паллет'!$D$3)*(1+0.025)*(1+0)</f>
        <v>51.12267636363635</v>
      </c>
      <c r="I64" s="183">
        <f>H64/D64*'Финмодель 33 паллет'!$D$6</f>
        <v>119.28624484848483</v>
      </c>
      <c r="J64" s="174">
        <f>I64-E64</f>
        <v>13.871207649360045</v>
      </c>
      <c r="K64" s="175">
        <f>J64/E64</f>
        <v>0.131586612478805</v>
      </c>
      <c r="L64" s="174">
        <f>I64-F64</f>
        <v>-2.346490381274407</v>
      </c>
      <c r="M64" s="175">
        <f>L64/F64</f>
        <v>-0.019291602518367965</v>
      </c>
    </row>
    <row r="65" ht="28" customHeight="1" s="71">
      <c r="B65" s="176" t="n">
        <v>0.1</v>
      </c>
      <c r="C65" s="177" t="str">
        <f>IF(ABS(B65-'Цена 120 грн — 33 паллет'!$C$14)&lt;0.0000001,"◄ поточна","")</f>
        <v/>
      </c>
      <c r="D65" s="178">
        <f>1-'Финмодель 33 паллет'!$D$4-B65</f>
        <v>0.65</v>
      </c>
      <c r="E65" s="179">
        <f>'Финмодель 33 паллет'!$F$13/D65*'Финмодель 33 паллет'!$D$6</f>
        <v>97.30618818380749</v>
      </c>
      <c r="F65" s="180">
        <f>'Финмодель 33 паллет'!$F$11/D65*'Финмодель 33 паллет'!$D$6</f>
        <v>112.27637098131622</v>
      </c>
      <c r="G65" s="181">
        <f>ROUNDDOWN((('Цена 120 грн — 33 паллет'!$B$14/'Цена 120 грн — 33 паллет'!$E$14*D65/(1+0))/'Финмодель 33 паллет'!$D$3/(1+0.025)-(3700+288+42+3700*0.7*(0+0.2*(1+0)))/52800)/((1+0)*(1+0.2)),2)</f>
        <v>0.81</v>
      </c>
      <c r="H65" s="182">
        <f>(G65*'Финмодель 33 паллет'!$D$3+(3700+288+42)/52800*'Финмодель 33 паллет'!$D$3+(G65+3700*0.7/52800)*0*'Финмодель 33 паллет'!$D$3+(G65+3700*0.7/52800)*(1+0)*0.2*'Финмодель 33 паллет'!$D$3)*(1+0.025)*(1+0)</f>
        <v>55.53099636363637</v>
      </c>
      <c r="I65" s="183">
        <f>H65/D65*'Финмодель 33 паллет'!$D$6</f>
        <v>119.60522293706295</v>
      </c>
      <c r="J65" s="174">
        <f>I65-E65</f>
        <v>22.299034753255455</v>
      </c>
      <c r="K65" s="175">
        <f>J65/E65</f>
        <v>0.22916358321562727</v>
      </c>
      <c r="L65" s="174">
        <f>I65-F65</f>
        <v>7.328851955746728</v>
      </c>
      <c r="M65" s="175">
        <f>L65/F65</f>
        <v>0.06527510545354476</v>
      </c>
    </row>
  </sheetData>
  <mergeCells count="74">
    <mergeCell ref="U9:Y9"/>
    <mergeCell ref="B7:C7"/>
    <mergeCell ref="B25:C25"/>
    <mergeCell ref="B3:C3"/>
    <mergeCell ref="D34:E34"/>
    <mergeCell ref="K44:P44"/>
    <mergeCell ref="B22:C22"/>
    <mergeCell ref="D22:E22"/>
    <mergeCell ref="B31:C31"/>
    <mergeCell ref="B57:M57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G58:I58"/>
    <mergeCell ref="J58:M58"/>
    <mergeCell ref="B43:R43"/>
    <mergeCell ref="E3:K3"/>
    <mergeCell ref="D27:E27"/>
    <mergeCell ref="B23:C23"/>
    <mergeCell ref="D32:E32"/>
    <mergeCell ref="B42:R42"/>
    <mergeCell ref="E44:J44"/>
    <mergeCell ref="B8:C8"/>
    <mergeCell ref="E9:F9"/>
    <mergeCell ref="E5:K5"/>
    <mergeCell ref="B38:C38"/>
    <mergeCell ref="E8:K8"/>
    <mergeCell ref="B29:C29"/>
    <mergeCell ref="B53:R53"/>
    <mergeCell ref="E58:F58"/>
    <mergeCell ref="B37:C37"/>
    <mergeCell ref="B34:C34"/>
    <mergeCell ref="B28:C28"/>
    <mergeCell ref="D37:E37"/>
    <mergeCell ref="E4:K4"/>
    <mergeCell ref="D28:E28"/>
    <mergeCell ref="Q44:R44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56:M56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I85" evalError="1" formula="1" formulaRange="1" unlockedFormula="1" numberStoredAsText="1" emptyCellReference="1" twoDigitTextYear="1" listDataValidation="1" calculatedColumn="1"/>
  </ignoredErrors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L37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14" customWidth="1" style="71" min="9" max="9"/>
    <col width="14" customWidth="1" style="71" min="10" max="10"/>
    <col width="14" customWidth="1" style="71" min="11" max="11"/>
    <col width="14" customWidth="1" style="71" min="12" max="12"/>
  </cols>
  <sheetData>
    <row r="1">
      <c r="A1" s="134" t="inlineStr">
        <is>
          <t>SIAS · от цены закупки до полки одной линией · 6 паллет</t>
        </is>
      </c>
    </row>
    <row r="2" ht="26.4" customHeight="1" s="71">
      <c r="A2" s="125" t="inlineStr">
        <is>
          <t>ЗАПРОС ДЛЯ SIAS, €/пачку</t>
        </is>
      </c>
      <c r="B2" s="135">
        <f>B20</f>
        <v>0.32</v>
      </c>
      <c r="C2" s="63" t="n"/>
      <c r="D2" s="129" t="str">
        <f>"сейчас €"&amp;B5&amp;" (4 SKU) / €"&amp;B7&amp;" (2 SKU)"</f>
        <v>сейчас €0.65 (4 SKU) / €0.75 (2 SKU)</v>
      </c>
      <c r="E2" s="63" t="n"/>
      <c r="F2" s="128" t="str">
        <f>"снижение −"&amp;ROUND((1-B20/B5)*100,0)&amp;" % / −"&amp;ROUND((1-B20/B7)*100,0)&amp;" %"</f>
        <v>снижение −51 % / −57 %</v>
      </c>
      <c r="G2" s="63" t="n"/>
      <c r="H2" s="129" t="inlineStr">
        <is>
          <t>одна цена на 6 SKU</t>
        </is>
      </c>
    </row>
    <row r="3" ht="36" customHeight="1" s="71">
      <c r="A3" s="99" t="inlineStr">
        <is>
          <t>Вариант</t>
        </is>
      </c>
      <c r="B3" s="99" t="inlineStr">
        <is>
          <t>Закупка SIAS
за пачку</t>
        </is>
      </c>
      <c r="C3" s="99" t="inlineStr">
        <is>
          <t>Себестоимость в Украине
товар + расходы в Украине</t>
        </is>
      </c>
      <c r="D3" s="99" t="inlineStr">
        <is>
          <t>Цена партнёру
СС ÷ (1 − бонус − маржа)</t>
        </is>
      </c>
      <c r="E3" s="99" t="inlineStr">
        <is>
          <t>Бонус сети
25 % цены партнёру</t>
        </is>
      </c>
      <c r="F3" s="99" t="inlineStr">
        <is>
          <t>Наша прибыль
30 % цены партнёру</t>
        </is>
      </c>
      <c r="G3" s="99" t="inlineStr">
        <is>
          <t>Наценка магазина
+40 % к цене партнёру</t>
        </is>
      </c>
      <c r="H3" s="99" t="inlineStr">
        <is>
          <t>ПОЛКА с НДС
цена партнёру × 1,40</t>
        </is>
      </c>
    </row>
    <row r="4" ht="25.95" customHeight="1" s="71">
      <c r="A4" s="100" t="inlineStr">
        <is>
          <t>ДО · Vegetable, Spicy, Beef, Chicken
(4 SKU)</t>
        </is>
      </c>
      <c r="B4" s="101">
        <f>B5*F14</f>
        <v>33.28</v>
      </c>
      <c r="C4" s="101">
        <f>C5*F14</f>
        <v>58.063199999999995</v>
      </c>
      <c r="D4" s="101">
        <f>C4/(1-D14-C14)</f>
        <v>129.0293333333333</v>
      </c>
      <c r="E4" s="102">
        <f>D4*D14</f>
        <v>32.25733333333333</v>
      </c>
      <c r="F4" s="102">
        <f>D4-C4-E4</f>
        <v>38.70879999999999</v>
      </c>
      <c r="G4" s="102">
        <f>D4*(E14-1)</f>
        <v>51.61173333333331</v>
      </c>
      <c r="H4" s="103">
        <f>D4*E14</f>
        <v>180.64106666666663</v>
      </c>
    </row>
    <row r="5" ht="19.95" customHeight="1" s="71">
      <c r="A5" s="136" t="n"/>
      <c r="B5" s="137" t="n">
        <v>0.65</v>
      </c>
      <c r="C5" s="138">
        <f>'Финмодель 6 паллет'!E13</f>
        <v>1.134046875</v>
      </c>
      <c r="D5" s="139">
        <f>D4/F14</f>
        <v>2.520104166666666</v>
      </c>
      <c r="E5" s="139">
        <f>E4/F14</f>
        <v>0.6300260416666665</v>
      </c>
      <c r="F5" s="139">
        <f>F4/F14</f>
        <v>0.7560312499999997</v>
      </c>
      <c r="G5" s="139">
        <f>G4/F14</f>
        <v>1.0080416666666663</v>
      </c>
      <c r="H5" s="139">
        <f>H4/F14</f>
        <v>3.5281458333333324</v>
      </c>
    </row>
    <row r="6" ht="25.95" customHeight="1" s="71">
      <c r="A6" s="108" t="inlineStr">
        <is>
          <t>ДО · Gouda Cheese, Carbonara Spicy
(2 SKU)</t>
        </is>
      </c>
      <c r="B6" s="109">
        <f>B7*F14</f>
        <v>38.400000000000006</v>
      </c>
      <c r="C6" s="109">
        <f>C7*F14</f>
        <v>66.99600000000001</v>
      </c>
      <c r="D6" s="109">
        <f>C6/(1-D14-C14)</f>
        <v>148.88000000000002</v>
      </c>
      <c r="E6" s="110">
        <f>D6*D14</f>
        <v>37.220000000000006</v>
      </c>
      <c r="F6" s="110">
        <f>D6-C6-E6</f>
        <v>44.66400000000001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'Финмодель 6 паллет'!E11</f>
        <v>1.308515625</v>
      </c>
      <c r="D7" s="140">
        <f>D6/F14</f>
        <v>2.9078125000000004</v>
      </c>
      <c r="E7" s="140">
        <f>E6/F14</f>
        <v>0.7269531250000001</v>
      </c>
      <c r="F7" s="140">
        <f>F6/F14</f>
        <v>0.8723437500000001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ПОСЛЕ · запрос SIAS
(все 6 SKU)</t>
        </is>
      </c>
      <c r="B8" s="115">
        <f>B9*F14</f>
        <v>16.384</v>
      </c>
      <c r="C8" s="115">
        <f>B22</f>
        <v>38.15951999999999</v>
      </c>
      <c r="D8" s="115">
        <f>C8/(1-D14-C14)</f>
        <v>84.79893333333332</v>
      </c>
      <c r="E8" s="116">
        <f>D8*D14</f>
        <v>21.19973333333333</v>
      </c>
      <c r="F8" s="116">
        <f>D8-C8-E8</f>
        <v>25.43968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0.7453031249999998</v>
      </c>
      <c r="D9" s="142">
        <f>D8/F14</f>
        <v>1.6562291666666664</v>
      </c>
      <c r="E9" s="142">
        <f>E8/F14</f>
        <v>0.4140572916666666</v>
      </c>
      <c r="F9" s="142">
        <f>F8/F14</f>
        <v>0.49686874999999997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ИЗМЕНЕНИЕ: ПОСЛЕ − ДО (4 SKU)</t>
        </is>
      </c>
      <c r="B10" s="143">
        <f>B8-B4</f>
        <v>-16.896</v>
      </c>
      <c r="C10" s="143">
        <f>C8-C4</f>
        <v>-19.90368</v>
      </c>
      <c r="D10" s="143">
        <f>D8-D4</f>
        <v>-44.23039999999999</v>
      </c>
      <c r="E10" s="143">
        <f>E8-E4</f>
        <v>-11.057599999999997</v>
      </c>
      <c r="F10" s="143">
        <f>F8-F4</f>
        <v>-13.26911999999999</v>
      </c>
      <c r="G10" s="143">
        <f>G8-G4</f>
        <v>-17.692159999999987</v>
      </c>
      <c r="H10" s="143">
        <f>H8-H4</f>
        <v>-61.92255999999999</v>
      </c>
    </row>
    <row r="11" ht="18" customHeight="1" s="71">
      <c r="A11" s="136" t="n"/>
      <c r="B11" s="144">
        <f>B9-B5</f>
        <v>-0.33</v>
      </c>
      <c r="C11" s="144">
        <f>C9-C5</f>
        <v>-0.38874375000000005</v>
      </c>
      <c r="D11" s="144">
        <f>D9-D5</f>
        <v>-0.8638749999999997</v>
      </c>
      <c r="E11" s="144">
        <f>E9-E5</f>
        <v>-0.21596874999999993</v>
      </c>
      <c r="F11" s="144">
        <f>F9-F5</f>
        <v>-0.25916249999999974</v>
      </c>
      <c r="G11" s="144">
        <f>G9-G5</f>
        <v>-0.3455499999999998</v>
      </c>
      <c r="H11" s="144">
        <f>H9-H5</f>
        <v>-1.2094249999999995</v>
      </c>
    </row>
    <row r="12" ht="15" customHeight="1" s="71" thickBot="1">
      <c r="A12" s="90" t="inlineStr">
        <is>
          <t>ИСХОДНЫЕ ДАННЫЕ — жёлтое можно менять, зелёное из вкладки «Финмодель 6 паллет»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18" customHeight="1" s="71">
      <c r="B13" s="45" t="inlineStr">
        <is>
          <t>Полка, ₴</t>
        </is>
      </c>
      <c r="C13" s="45" t="inlineStr">
        <is>
          <t>Наша маржа</t>
        </is>
      </c>
      <c r="D13" s="45" t="inlineStr">
        <is>
          <t>Бонус сети</t>
        </is>
      </c>
      <c r="E13" s="45" t="inlineStr">
        <is>
          <t>Множитель полки</t>
        </is>
      </c>
      <c r="F13" s="45" t="inlineStr">
        <is>
          <t>Курс ₴/€</t>
        </is>
      </c>
    </row>
    <row r="14" ht="22.05" customHeight="1" s="71">
      <c r="A14" s="46" t="inlineStr">
        <is>
          <t>Цель расчёта и условия модели</t>
        </is>
      </c>
      <c r="B14" s="47" t="n">
        <v>120</v>
      </c>
      <c r="C14" s="145" t="n">
        <v>0.3</v>
      </c>
      <c r="D14" s="146">
        <f>'Финмодель 6 паллет'!D4</f>
        <v>0.25</v>
      </c>
      <c r="E14" s="50">
        <f>'Финмодель 6 паллет'!D6</f>
        <v>1.4</v>
      </c>
      <c r="F14" s="51">
        <f>'Финмодель 6 паллет'!D3</f>
        <v>51.2</v>
      </c>
    </row>
    <row r="15" ht="3" customHeight="1" s="71"/>
    <row r="16" ht="3" customHeight="1" s="71"/>
    <row r="17" ht="3" customHeight="1" s="71"/>
    <row r="18" ht="3" customHeight="1" s="71"/>
    <row r="20">
      <c r="A20" s="54" t="inlineStr">
        <is>
          <t>Запрос SIAS, €/уп. (вниз до евроцента)</t>
        </is>
      </c>
      <c r="B20" s="147">
        <f>ROUNDDOWN(((B14/E14*(1-D14-C14))/F14/(1+0.025)-(2600+288+42+2600*0.7*(0+0.2*(1+0)))/9600)/((1+0)*(1+0.2)),2)</f>
        <v>0.32</v>
      </c>
    </row>
    <row r="21">
      <c r="A21" s="54" t="inlineStr">
        <is>
          <t>Предельная закупка до округления, €/уп.</t>
        </is>
      </c>
      <c r="B21" s="148">
        <f>((B14/E14*(1-D14-C14))/F14/(1+0.025)-(2600+288+42+2600*0.7*(0+0.2*(1+0)))/9600)/((1+0)*(1+0.2))</f>
        <v>0.3265407229965157</v>
      </c>
    </row>
    <row r="22">
      <c r="A22" s="54" t="inlineStr">
        <is>
          <t>Себестоимость в Украине при запросе, ₴/уп.</t>
        </is>
      </c>
      <c r="B22" s="57">
        <f>(B20*F14+(2600+288+42)/9600*F14+(B20+2600*0.7/9600)*0*F14+(B20+2600*0.7/9600)*(1+0)*0.2*F14)*(1+0.025)</f>
        <v>38.15951999999999</v>
      </c>
    </row>
    <row r="28" ht="26" customHeight="1" s="71">
      <c r="A28" s="152" t="inlineStr">
        <is>
          <t>СЦЕНАРІЇ МАРЖІ · ДО та ПІСЛЯ запиту SIAS</t>
        </is>
      </c>
    </row>
    <row r="29" ht="30" customHeight="1" s="71">
      <c r="A29" s="54" t="inlineStr">
        <is>
          <t>Для кожної маржі: полиця при поточній закупівлі (ДО) і закупівля, яку має прийняти SIAS, щоб полиця була 120 ₴ (ПІСЛЯ). Бонус мережі та націнка — як на аркуші «Цена 120 грн».</t>
        </is>
      </c>
    </row>
    <row r="30" ht="24" customHeight="1" s="71">
      <c r="D30" s="154" t="inlineStr">
        <is>
          <t>ДО · поточна закупівля</t>
        </is>
      </c>
      <c r="E30" s="154" t="n"/>
      <c r="F30" s="155" t="inlineStr">
        <is>
          <t>ПІСЛЯ · запит для полиці 120 ₴</t>
        </is>
      </c>
      <c r="G30" s="155" t="n"/>
      <c r="H30" s="155" t="n"/>
      <c r="I30" s="156" t="inlineStr">
        <is>
          <t>ЗМІНА відносно ДО</t>
        </is>
      </c>
      <c r="J30" s="156" t="n"/>
      <c r="K30" s="156" t="n"/>
      <c r="L30" s="156" t="n"/>
    </row>
    <row r="31" ht="38" customHeight="1" s="71">
      <c r="A31" s="157" t="inlineStr">
        <is>
          <t>Маржа</t>
        </is>
      </c>
      <c r="B31" s="157" t="inlineStr"/>
      <c r="C31" s="157" t="inlineStr">
        <is>
          <t>Частка ціни на СС</t>
        </is>
      </c>
      <c r="D31" s="158" t="inlineStr">
        <is>
          <t>Полиця 4 SKU, ₴</t>
        </is>
      </c>
      <c r="E31" s="158" t="inlineStr">
        <is>
          <t>Полиця 2 SKU, ₴</t>
        </is>
      </c>
      <c r="F31" s="159" t="inlineStr">
        <is>
          <t>Запит, €/пач.</t>
        </is>
      </c>
      <c r="G31" s="159" t="inlineStr">
        <is>
          <t>СС, ₴</t>
        </is>
      </c>
      <c r="H31" s="159" t="inlineStr">
        <is>
          <t>Полиця, ₴</t>
        </is>
      </c>
      <c r="I31" s="160" t="inlineStr">
        <is>
          <t>Δ 4 SKU, ₴</t>
        </is>
      </c>
      <c r="J31" s="160" t="inlineStr">
        <is>
          <t>Δ 4 SKU, %</t>
        </is>
      </c>
      <c r="K31" s="160" t="inlineStr">
        <is>
          <t>Δ 2 SKU, ₴</t>
        </is>
      </c>
      <c r="L31" s="160" t="inlineStr">
        <is>
          <t>Δ 2 SKU, %</t>
        </is>
      </c>
    </row>
    <row r="32" ht="28" customHeight="1" s="71">
      <c r="A32" s="176" t="n">
        <v>0.35</v>
      </c>
      <c r="B32" s="177" t="str">
        <f>IF(ABS(A32-'Цена 120 грн — 6 паллет'!$C$14)&lt;0.0000001,"◄ поточна","")</f>
        <v/>
      </c>
      <c r="C32" s="178">
        <f>1-'Финмодель 6 паллет'!$D$4-A32</f>
        <v>0.4</v>
      </c>
      <c r="D32" s="179">
        <f>'Финмодель 6 паллет'!$F$13/C32*'Финмодель 6 паллет'!$D$6</f>
        <v>203.22119999999998</v>
      </c>
      <c r="E32" s="180">
        <f>'Финмодель 6 паллет'!$F$11/C32*'Финмодель 6 паллет'!$D$6</f>
        <v>234.486</v>
      </c>
      <c r="F32" s="181">
        <f>ROUNDDOWN((('Цена 120 грн — 6 паллет'!$B$14/'Цена 120 грн — 6 паллет'!$E$14*C32/(1+0))/'Финмодель 6 паллет'!$D$3/(1+0.025)-(2600+288+42+2600*0.7*(0+0.2*(1+0)))/9600)/((1+0)*(1+0.2)),2)</f>
        <v>0.25</v>
      </c>
      <c r="G32" s="182">
        <f>(F32*'Финмодель 6 паллет'!$D$3+(2600+288+42)/9600*'Финмодель 6 паллет'!$D$3+(F32+2600*0.7/9600)*0*'Финмодель 6 паллет'!$D$3+(F32+2600*0.7/9600)*(1+0)*0.2*'Финмодель 6 паллет'!$D$3)*(1+0.025)*(1+0)</f>
        <v>33.751200000000004</v>
      </c>
      <c r="H32" s="183">
        <f>G32/C32*'Финмодель 6 паллет'!$D$6</f>
        <v>118.1292</v>
      </c>
      <c r="I32" s="174">
        <f>H32-D32</f>
        <v>-85.09199999999998</v>
      </c>
      <c r="J32" s="175">
        <f>I32/D32</f>
        <v>-0.41871615756623815</v>
      </c>
      <c r="K32" s="174">
        <f>H32-E32</f>
        <v>-116.35679999999999</v>
      </c>
      <c r="L32" s="175">
        <f>K32/E32</f>
        <v>-0.49622066989073976</v>
      </c>
    </row>
    <row r="33" ht="28" customHeight="1" s="71">
      <c r="A33" s="176" t="n">
        <v>0.3</v>
      </c>
      <c r="B33" s="177" t="str">
        <f>IF(ABS(A33-'Цена 120 грн — 6 паллет'!$C$14)&lt;0.0000001,"◄ поточна","")</f>
        <v>◄ поточна</v>
      </c>
      <c r="C33" s="178">
        <f>1-'Финмодель 6 паллет'!$D$4-A33</f>
        <v>0.45</v>
      </c>
      <c r="D33" s="179">
        <f>'Финмодель 6 паллет'!$F$13/C33*'Финмодель 6 паллет'!$D$6</f>
        <v>180.64106666666663</v>
      </c>
      <c r="E33" s="180">
        <f>'Финмодель 6 паллет'!$F$11/C33*'Финмодель 6 паллет'!$D$6</f>
        <v>208.43200000000002</v>
      </c>
      <c r="F33" s="181">
        <f>ROUNDDOWN((('Цена 120 грн — 6 паллет'!$B$14/'Цена 120 грн — 6 паллет'!$E$14*C33/(1+0))/'Финмодель 6 паллет'!$D$3/(1+0.025)-(2600+288+42+2600*0.7*(0+0.2*(1+0)))/9600)/((1+0)*(1+0.2)),2)</f>
        <v>0.32</v>
      </c>
      <c r="G33" s="182">
        <f>(F33*'Финмодель 6 паллет'!$D$3+(2600+288+42)/9600*'Финмодель 6 паллет'!$D$3+(F33+2600*0.7/9600)*0*'Финмодель 6 паллет'!$D$3+(F33+2600*0.7/9600)*(1+0)*0.2*'Финмодель 6 паллет'!$D$3)*(1+0.025)*(1+0)</f>
        <v>38.15951999999999</v>
      </c>
      <c r="H33" s="183">
        <f>G33/C33*'Финмодель 6 паллет'!$D$6</f>
        <v>118.71850666666664</v>
      </c>
      <c r="I33" s="174">
        <f>H33-D33</f>
        <v>-61.92255999999999</v>
      </c>
      <c r="J33" s="175">
        <f>I33/D33</f>
        <v>-0.342793369983053</v>
      </c>
      <c r="K33" s="174">
        <f>H33-E33</f>
        <v>-89.71349333333337</v>
      </c>
      <c r="L33" s="175">
        <f>K33/E33</f>
        <v>-0.4304209206519794</v>
      </c>
    </row>
    <row r="34" ht="28" customHeight="1" s="71">
      <c r="A34" s="176" t="n">
        <v>0.25</v>
      </c>
      <c r="B34" s="177" t="str">
        <f>IF(ABS(A34-'Цена 120 грн — 6 паллет'!$C$14)&lt;0.0000001,"◄ поточна","")</f>
        <v/>
      </c>
      <c r="C34" s="178">
        <f>1-'Финмодель 6 паллет'!$D$4-A34</f>
        <v>0.5</v>
      </c>
      <c r="D34" s="179">
        <f>'Финмодель 6 паллет'!$F$13/C34*'Финмодель 6 паллет'!$D$6</f>
        <v>162.57695999999999</v>
      </c>
      <c r="E34" s="180">
        <f>'Финмодель 6 паллет'!$F$11/C34*'Финмодель 6 паллет'!$D$6</f>
        <v>187.58880000000002</v>
      </c>
      <c r="F34" s="181">
        <f>ROUNDDOWN((('Цена 120 грн — 6 паллет'!$B$14/'Цена 120 грн — 6 паллет'!$E$14*C34/(1+0))/'Финмодель 6 паллет'!$D$3/(1+0.025)-(2600+288+42+2600*0.7*(0+0.2*(1+0)))/9600)/((1+0)*(1+0.2)),2)</f>
        <v>0.39</v>
      </c>
      <c r="G34" s="182">
        <f>(F34*'Финмодель 6 паллет'!$D$3+(2600+288+42)/9600*'Финмодель 6 паллет'!$D$3+(F34+2600*0.7/9600)*0*'Финмодель 6 паллет'!$D$3+(F34+2600*0.7/9600)*(1+0)*0.2*'Финмодель 6 паллет'!$D$3)*(1+0.025)*(1+0)</f>
        <v>42.56784</v>
      </c>
      <c r="H34" s="183">
        <f>G34/C34*'Финмодель 6 паллет'!$D$6</f>
        <v>119.18995199999998</v>
      </c>
      <c r="I34" s="174">
        <f>H34-D34</f>
        <v>-43.38700800000001</v>
      </c>
      <c r="J34" s="175">
        <f>I34/D34</f>
        <v>-0.26687058239986783</v>
      </c>
      <c r="K34" s="174">
        <f>H34-E34</f>
        <v>-68.39884800000004</v>
      </c>
      <c r="L34" s="175">
        <f>K34/E34</f>
        <v>-0.36462117141321887</v>
      </c>
    </row>
    <row r="35" ht="28" customHeight="1" s="71">
      <c r="A35" s="176" t="n">
        <v>0.2</v>
      </c>
      <c r="B35" s="177" t="str">
        <f>IF(ABS(A35-'Цена 120 грн — 6 паллет'!$C$14)&lt;0.0000001,"◄ поточна","")</f>
        <v/>
      </c>
      <c r="C35" s="178">
        <f>1-'Финмодель 6 паллет'!$D$4-A35</f>
        <v>0.55</v>
      </c>
      <c r="D35" s="179">
        <f>'Финмодель 6 паллет'!$F$13/C35*'Финмодель 6 паллет'!$D$6</f>
        <v>147.79723636363633</v>
      </c>
      <c r="E35" s="180">
        <f>'Финмодель 6 паллет'!$F$11/C35*'Финмодель 6 паллет'!$D$6</f>
        <v>170.5352727272727</v>
      </c>
      <c r="F35" s="181">
        <f>ROUNDDOWN((('Цена 120 грн — 6 паллет'!$B$14/'Цена 120 грн — 6 паллет'!$E$14*C35/(1+0))/'Финмодель 6 паллет'!$D$3/(1+0.025)-(2600+288+42+2600*0.7*(0+0.2*(1+0)))/9600)/((1+0)*(1+0.2)),2)</f>
        <v>0.46</v>
      </c>
      <c r="G35" s="182">
        <f>(F35*'Финмодель 6 паллет'!$D$3+(2600+288+42)/9600*'Финмодель 6 паллет'!$D$3+(F35+2600*0.7/9600)*0*'Финмодель 6 паллет'!$D$3+(F35+2600*0.7/9600)*(1+0)*0.2*'Финмодель 6 паллет'!$D$3)*(1+0.025)*(1+0)</f>
        <v>46.97616</v>
      </c>
      <c r="H35" s="183">
        <f>G35/C35*'Финмодель 6 паллет'!$D$6</f>
        <v>119.57567999999998</v>
      </c>
      <c r="I35" s="174">
        <f>H35-D35</f>
        <v>-28.221556363636353</v>
      </c>
      <c r="J35" s="175">
        <f>I35/D35</f>
        <v>-0.19094779481668248</v>
      </c>
      <c r="K35" s="174">
        <f>H35-E35</f>
        <v>-50.959592727272735</v>
      </c>
      <c r="L35" s="175">
        <f>K35/E35</f>
        <v>-0.29882142217445823</v>
      </c>
    </row>
    <row r="36" ht="28" customHeight="1" s="71">
      <c r="A36" s="176" t="n">
        <v>0.15</v>
      </c>
      <c r="B36" s="177" t="str">
        <f>IF(ABS(A36-'Цена 120 грн — 6 паллет'!$C$14)&lt;0.0000001,"◄ поточна","")</f>
        <v/>
      </c>
      <c r="C36" s="178">
        <f>1-'Финмодель 6 паллет'!$D$4-A36</f>
        <v>0.6</v>
      </c>
      <c r="D36" s="179">
        <f>'Финмодель 6 паллет'!$F$13/C36*'Финмодель 6 паллет'!$D$6</f>
        <v>135.4808</v>
      </c>
      <c r="E36" s="180">
        <f>'Финмодель 6 паллет'!$F$11/C36*'Финмодель 6 паллет'!$D$6</f>
        <v>156.324</v>
      </c>
      <c r="F36" s="181">
        <f>ROUNDDOWN((('Цена 120 грн — 6 паллет'!$B$14/'Цена 120 грн — 6 паллет'!$E$14*C36/(1+0))/'Финмодель 6 паллет'!$D$3/(1+0.025)-(2600+288+42+2600*0.7*(0+0.2*(1+0)))/9600)/((1+0)*(1+0.2)),2)</f>
        <v>0.53</v>
      </c>
      <c r="G36" s="182">
        <f>(F36*'Финмодель 6 паллет'!$D$3+(2600+288+42)/9600*'Финмодель 6 паллет'!$D$3+(F36+2600*0.7/9600)*0*'Финмодель 6 паллет'!$D$3+(F36+2600*0.7/9600)*(1+0)*0.2*'Финмодель 6 паллет'!$D$3)*(1+0.025)*(1+0)</f>
        <v>51.38448</v>
      </c>
      <c r="H36" s="183">
        <f>G36/C36*'Финмодель 6 паллет'!$D$6</f>
        <v>119.89712000000002</v>
      </c>
      <c r="I36" s="174">
        <f>H36-D36</f>
        <v>-15.583679999999973</v>
      </c>
      <c r="J36" s="175">
        <f>I36/D36</f>
        <v>-0.1150250072334971</v>
      </c>
      <c r="K36" s="174">
        <f>H36-E36</f>
        <v>-36.42688</v>
      </c>
      <c r="L36" s="175">
        <f>K36/E36</f>
        <v>-0.23302167293569762</v>
      </c>
    </row>
    <row r="37" ht="28" customHeight="1" s="71">
      <c r="A37" s="176" t="n">
        <v>0.1</v>
      </c>
      <c r="B37" s="177" t="str">
        <f>IF(ABS(A37-'Цена 120 грн — 6 паллет'!$C$14)&lt;0.0000001,"◄ поточна","")</f>
        <v/>
      </c>
      <c r="C37" s="178">
        <f>1-'Финмодель 6 паллет'!$D$4-A37</f>
        <v>0.65</v>
      </c>
      <c r="D37" s="179">
        <f>'Финмодель 6 паллет'!$F$13/C37*'Финмодель 6 паллет'!$D$6</f>
        <v>125.05919999999998</v>
      </c>
      <c r="E37" s="180">
        <f>'Финмодель 6 паллет'!$F$11/C37*'Финмодель 6 паллет'!$D$6</f>
        <v>144.29907692307694</v>
      </c>
      <c r="F37" s="181">
        <f>ROUNDDOWN((('Цена 120 грн — 6 паллет'!$B$14/'Цена 120 грн — 6 паллет'!$E$14*C37/(1+0))/'Финмодель 6 паллет'!$D$3/(1+0.025)-(2600+288+42+2600*0.7*(0+0.2*(1+0)))/9600)/((1+0)*(1+0.2)),2)</f>
        <v>0.59</v>
      </c>
      <c r="G37" s="182">
        <f>(F37*'Финмодель 6 паллет'!$D$3+(2600+288+42)/9600*'Финмодель 6 паллет'!$D$3+(F37+2600*0.7/9600)*0*'Финмодель 6 паллет'!$D$3+(F37+2600*0.7/9600)*(1+0)*0.2*'Финмодель 6 паллет'!$D$3)*(1+0.025)*(1+0)</f>
        <v>55.163039999999995</v>
      </c>
      <c r="H37" s="183">
        <f>G37/C37*'Финмодель 6 паллет'!$D$6</f>
        <v>118.81270153846151</v>
      </c>
      <c r="I37" s="174">
        <f>H37-D37</f>
        <v>-6.246498461538465</v>
      </c>
      <c r="J37" s="175">
        <f>I37/D37</f>
        <v>-0.04994833216219571</v>
      </c>
      <c r="K37" s="174">
        <f>H37-E37</f>
        <v>-25.486375384615428</v>
      </c>
      <c r="L37" s="175">
        <f>K37/E37</f>
        <v>-0.1766218878739032</v>
      </c>
    </row>
  </sheetData>
  <mergeCells count="14">
    <mergeCell ref="A12:H12"/>
    <mergeCell ref="F2:G2"/>
    <mergeCell ref="A8:A9"/>
    <mergeCell ref="B2:C2"/>
    <mergeCell ref="A29:L29"/>
    <mergeCell ref="D2:E2"/>
    <mergeCell ref="D30:E30"/>
    <mergeCell ref="A4:A5"/>
    <mergeCell ref="A28:L28"/>
    <mergeCell ref="F30:H30"/>
    <mergeCell ref="I30:L30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L57" evalError="1" formula="1" formulaRange="1" unlockedFormula="1" numberStoredAsText="1" emptyCellReference="1" twoDigitTextYear="1" listDataValidation="1" calculatedColumn="1"/>
  </ignoredErrors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L37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14" customWidth="1" style="71" min="9" max="9"/>
    <col width="14" customWidth="1" style="71" min="10" max="10"/>
    <col width="14" customWidth="1" style="71" min="11" max="11"/>
    <col width="14" customWidth="1" style="71" min="12" max="12"/>
  </cols>
  <sheetData>
    <row r="1">
      <c r="A1" s="149" t="inlineStr">
        <is>
          <t>SIAS · от цены закупки до полки одной линией · 33 паллеты (Full Truck)</t>
        </is>
      </c>
    </row>
    <row r="2" ht="26.4" customHeight="1" s="71">
      <c r="A2" s="92" t="inlineStr">
        <is>
          <t>ЗАПРОС ДЛЯ SIAS, €/пачку</t>
        </is>
      </c>
      <c r="B2" s="150">
        <f>B19</f>
        <v>0.54</v>
      </c>
      <c r="C2" s="151" t="n"/>
      <c r="D2" s="98" t="str">
        <f>"сейчас €"&amp;B5&amp;" (4 SKU) / €"&amp;B7&amp;" (2 SKU)"</f>
        <v>сейчас €0.65 (4 SKU) / €0.75 (2 SKU)</v>
      </c>
      <c r="E2" s="151" t="n"/>
      <c r="F2" s="97" t="str">
        <f>"снижение −"&amp;ROUND((1-B19/B5)*100,0)&amp;" % / −"&amp;ROUND((1-B19/B7)*100,0)&amp;" %"</f>
        <v>снижение −17 % / −28 %</v>
      </c>
      <c r="G2" s="151" t="n"/>
      <c r="H2" s="98" t="inlineStr">
        <is>
          <t>одна цена на 6 SKU</t>
        </is>
      </c>
    </row>
    <row r="3" ht="54" customHeight="1" s="71">
      <c r="A3" s="99" t="inlineStr">
        <is>
          <t>Вариант</t>
        </is>
      </c>
      <c r="B3" s="99" t="inlineStr">
        <is>
          <t>Закупка SIAS
за пачку</t>
        </is>
      </c>
      <c r="C3" s="99" t="inlineStr">
        <is>
          <t>Себестоимость в Украине
товар + расходы в Украине</t>
        </is>
      </c>
      <c r="D3" s="99" t="inlineStr">
        <is>
          <t>Цена партнёру
СС ÷ (1 − бонус − маржа)</t>
        </is>
      </c>
      <c r="E3" s="99" t="inlineStr">
        <is>
          <t>Бонус сети
25 % цены партнёру</t>
        </is>
      </c>
      <c r="F3" s="99" t="inlineStr">
        <is>
          <t>Наша прибыль
30 % цены партнёру</t>
        </is>
      </c>
      <c r="G3" s="99" t="inlineStr">
        <is>
          <t>Наценка магазина
+40 % к цене партнёру</t>
        </is>
      </c>
      <c r="H3" s="99" t="inlineStr">
        <is>
          <t>ПОЛКА с НДС
цена партнёру × 1,40</t>
        </is>
      </c>
    </row>
    <row r="4" ht="25.95" customHeight="1" s="71">
      <c r="A4" s="100" t="inlineStr">
        <is>
          <t>ДО · Vegetable, Spicy, Beef, Chicken
(4 SKU)</t>
        </is>
      </c>
      <c r="B4" s="101">
        <f>B5*F14</f>
        <v>33.28</v>
      </c>
      <c r="C4" s="101">
        <f>C5*F14</f>
        <v>45.17787308533919</v>
      </c>
      <c r="D4" s="101">
        <f>C4/(1-D14-C14)</f>
        <v>100.39527352297598</v>
      </c>
      <c r="E4" s="102">
        <f>D4*D14</f>
        <v>25.098818380743996</v>
      </c>
      <c r="F4" s="102">
        <f>D4-C4-E4</f>
        <v>30.118582056892794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'Финмодель 33 паллет'!E13</f>
        <v>0.882380333698031</v>
      </c>
      <c r="D5" s="139">
        <f>D4/F14</f>
        <v>1.9608451859956246</v>
      </c>
      <c r="E5" s="139">
        <f>E4/F14</f>
        <v>0.49021129649890616</v>
      </c>
      <c r="F5" s="139">
        <f>F4/F14</f>
        <v>0.5882535557986873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ДО · Gouda Cheese, Carbonara Spicy
(2 SKU)</t>
        </is>
      </c>
      <c r="B6" s="109">
        <f>B7*F14</f>
        <v>38.400000000000006</v>
      </c>
      <c r="C6" s="109">
        <f>C7*F14</f>
        <v>52.12831509846825</v>
      </c>
      <c r="D6" s="109">
        <f>C6/(1-D14-C14)</f>
        <v>115.84070021881833</v>
      </c>
      <c r="E6" s="110">
        <f>D6*D14</f>
        <v>28.96017505470458</v>
      </c>
      <c r="F6" s="110">
        <f>D6-C6-E6</f>
        <v>34.7522100656455</v>
      </c>
      <c r="G6" s="110">
        <f>D6*(E14-1)</f>
        <v>46.33628008752732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'Финмодель 33 паллет'!E11</f>
        <v>1.018131154266958</v>
      </c>
      <c r="D7" s="140">
        <f>D6/F14</f>
        <v>2.2625136761487954</v>
      </c>
      <c r="E7" s="140">
        <f>E6/F14</f>
        <v>0.5656284190371988</v>
      </c>
      <c r="F7" s="140">
        <f>F6/F14</f>
        <v>0.6787541028446387</v>
      </c>
      <c r="G7" s="140">
        <f>G6/F14</f>
        <v>0.905005470459518</v>
      </c>
      <c r="H7" s="140">
        <f>H6/F14</f>
        <v>3.1675191466083135</v>
      </c>
    </row>
    <row r="8" ht="25.95" customHeight="1" s="71">
      <c r="A8" s="114" t="inlineStr">
        <is>
          <t>ПОСЛЕ · запрос SIAS
(все 6 SKU)</t>
        </is>
      </c>
      <c r="B8" s="115">
        <f>B9*F14</f>
        <v>27.648000000000003</v>
      </c>
      <c r="C8" s="115">
        <f>B21</f>
        <v>38.52747636363637</v>
      </c>
      <c r="D8" s="115">
        <f>C8/(1-D14-C14)</f>
        <v>85.61661414141415</v>
      </c>
      <c r="E8" s="116">
        <f>D8*D14</f>
        <v>21.404153535353537</v>
      </c>
      <c r="F8" s="116">
        <f>D8-C8-E8</f>
        <v>25.684984242424242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0.7524897727272728</v>
      </c>
      <c r="D9" s="142">
        <f>D8/F14</f>
        <v>1.672199494949495</v>
      </c>
      <c r="E9" s="142">
        <f>E8/F14</f>
        <v>0.41804987373737373</v>
      </c>
      <c r="F9" s="142">
        <f>F8/F14</f>
        <v>0.5016598484848485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ИЗМЕНЕНИЕ: ПОСЛЕ − ДО (4 SKU)</t>
        </is>
      </c>
      <c r="B10" s="143">
        <f>B8-B4</f>
        <v>-5.631999999999998</v>
      </c>
      <c r="C10" s="143">
        <f>C8-C4</f>
        <v>-6.650396721702826</v>
      </c>
      <c r="D10" s="143">
        <f>D8-D4</f>
        <v>-14.778659381561837</v>
      </c>
      <c r="E10" s="143">
        <f>E8-E4</f>
        <v>-3.6946648453904594</v>
      </c>
      <c r="F10" s="143">
        <f>F8-F4</f>
        <v>-4.433597814468552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-0.12989056097075824</v>
      </c>
      <c r="D11" s="144">
        <f>D9-D5</f>
        <v>-0.2886456910461297</v>
      </c>
      <c r="E11" s="144">
        <f>E9-E5</f>
        <v>-0.07216142276153242</v>
      </c>
      <c r="F11" s="144">
        <f>F9-F5</f>
        <v>-0.08659370731383886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ИСХОДНЫЕ ДАННЫЕ — жёлтое можно менять, зелёное из вкладки «Финмодель 33 паллет»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18" customHeight="1" s="71">
      <c r="B13" s="45" t="inlineStr">
        <is>
          <t>Полка, ₴</t>
        </is>
      </c>
      <c r="C13" s="45" t="inlineStr">
        <is>
          <t>Наша маржа</t>
        </is>
      </c>
      <c r="D13" s="45" t="inlineStr">
        <is>
          <t>Бонус сети</t>
        </is>
      </c>
      <c r="E13" s="45" t="inlineStr">
        <is>
          <t>Множитель полки</t>
        </is>
      </c>
      <c r="F13" s="45" t="inlineStr">
        <is>
          <t>Курс ₴/€</t>
        </is>
      </c>
    </row>
    <row r="14" ht="22.05" customHeight="1" s="71">
      <c r="A14" s="46" t="inlineStr">
        <is>
          <t>Цель расчёта и условия модели</t>
        </is>
      </c>
      <c r="B14" s="47" t="n">
        <v>120</v>
      </c>
      <c r="C14" s="145" t="n">
        <v>0.3</v>
      </c>
      <c r="D14" s="146">
        <f>'Финмодель 33 паллет'!D4</f>
        <v>0.25</v>
      </c>
      <c r="E14" s="50">
        <f>'Финмодель 33 паллет'!D6</f>
        <v>1.4</v>
      </c>
      <c r="F14" s="51">
        <f>'Финмодель 33 паллет'!D3</f>
        <v>51.2</v>
      </c>
    </row>
    <row r="15" ht="3" customHeight="1" s="71"/>
    <row r="16" ht="3" customHeight="1" s="71"/>
    <row r="17" ht="3" customHeight="1" s="71"/>
    <row r="18" ht="3" customHeight="1" s="71"/>
    <row r="19">
      <c r="A19" s="54" t="inlineStr">
        <is>
          <t>Запрос SIAS, €/уп. (вниз до евроцента)</t>
        </is>
      </c>
      <c r="B19" s="147">
        <f>ROUNDDOWN(((B14/E14*(1-D14-C14))/F14/(1+0.025)-(3700+288+42+3700*0.7*(0+0.2*(1+0)))/52800)/((1+0)*(1+0.2)),2)</f>
        <v>0.54</v>
      </c>
    </row>
    <row r="20">
      <c r="A20" s="54" t="inlineStr">
        <is>
          <t>Предельная закупка до округления, €/уп.</t>
        </is>
      </c>
      <c r="B20" s="148">
        <f>((B14/E14*(1-D14-C14))/F14/(1+0.025)-(3700+288+42+3700*0.7*(0+0.2*(1+0)))/52800)/((1+0)*(1+0.2))</f>
        <v>0.5406979199662126</v>
      </c>
    </row>
    <row r="21">
      <c r="A21" s="54" t="inlineStr">
        <is>
          <t>Себестоимость в Украине при запросе, ₴/уп.</t>
        </is>
      </c>
      <c r="B21" s="57">
        <f>(B19*F14+(3700+288+42)/52800*F14+(B19+3700*0.7/52800)*0*F14+(B19+3700*0.7/52800)*(1+0)*0.2*F14)*(1+0.025)</f>
        <v>38.52747636363637</v>
      </c>
    </row>
    <row r="28" ht="26" customHeight="1" s="71">
      <c r="A28" s="152" t="inlineStr">
        <is>
          <t>СЦЕНАРІЇ МАРЖІ · ДО та ПІСЛЯ запиту SIAS</t>
        </is>
      </c>
    </row>
    <row r="29" ht="30" customHeight="1" s="71">
      <c r="A29" s="54" t="inlineStr">
        <is>
          <t>Для кожної маржі: полиця при поточній закупівлі (ДО) і закупівля, яку має прийняти SIAS, щоб полиця була 120 ₴ (ПІСЛЯ). Бонус мережі та націнка — як на аркуші «Цена 120 грн».</t>
        </is>
      </c>
    </row>
    <row r="30" ht="24" customHeight="1" s="71">
      <c r="D30" s="154" t="inlineStr">
        <is>
          <t>ДО · поточна закупівля</t>
        </is>
      </c>
      <c r="E30" s="154" t="n"/>
      <c r="F30" s="155" t="inlineStr">
        <is>
          <t>ПІСЛЯ · запит для полиці 120 ₴</t>
        </is>
      </c>
      <c r="G30" s="155" t="n"/>
      <c r="H30" s="155" t="n"/>
      <c r="I30" s="156" t="inlineStr">
        <is>
          <t>ЗМІНА відносно ДО</t>
        </is>
      </c>
      <c r="J30" s="156" t="n"/>
      <c r="K30" s="156" t="n"/>
      <c r="L30" s="156" t="n"/>
    </row>
    <row r="31" ht="38" customHeight="1" s="71">
      <c r="A31" s="157" t="inlineStr">
        <is>
          <t>Маржа</t>
        </is>
      </c>
      <c r="B31" s="157" t="inlineStr"/>
      <c r="C31" s="157" t="inlineStr">
        <is>
          <t>Частка ціни на СС</t>
        </is>
      </c>
      <c r="D31" s="158" t="inlineStr">
        <is>
          <t>Полиця 4 SKU, ₴</t>
        </is>
      </c>
      <c r="E31" s="158" t="inlineStr">
        <is>
          <t>Полиця 2 SKU, ₴</t>
        </is>
      </c>
      <c r="F31" s="159" t="inlineStr">
        <is>
          <t>Запит, €/пач.</t>
        </is>
      </c>
      <c r="G31" s="159" t="inlineStr">
        <is>
          <t>СС, ₴</t>
        </is>
      </c>
      <c r="H31" s="159" t="inlineStr">
        <is>
          <t>Полиця, ₴</t>
        </is>
      </c>
      <c r="I31" s="160" t="inlineStr">
        <is>
          <t>Δ 4 SKU, ₴</t>
        </is>
      </c>
      <c r="J31" s="160" t="inlineStr">
        <is>
          <t>Δ 4 SKU, %</t>
        </is>
      </c>
      <c r="K31" s="160" t="inlineStr">
        <is>
          <t>Δ 2 SKU, ₴</t>
        </is>
      </c>
      <c r="L31" s="160" t="inlineStr">
        <is>
          <t>Δ 2 SKU, %</t>
        </is>
      </c>
    </row>
    <row r="32" ht="28" customHeight="1" s="71">
      <c r="A32" s="176" t="n">
        <v>0.35</v>
      </c>
      <c r="B32" s="177" t="str">
        <f>IF(ABS(A32-'Цена 120 грн — 33 паллет'!$C$14)&lt;0.0000001,"◄ поточна","")</f>
        <v/>
      </c>
      <c r="C32" s="178">
        <f>1-'Финмодель 33 паллет'!$D$4-A32</f>
        <v>0.4</v>
      </c>
      <c r="D32" s="179">
        <f>'Финмодель 33 паллет'!$F$13/C32*'Финмодель 33 паллет'!$D$6</f>
        <v>158.12255579868716</v>
      </c>
      <c r="E32" s="180">
        <f>'Финмодель 33 паллет'!$F$11/C32*'Финмодель 33 паллет'!$D$6</f>
        <v>182.44910284463887</v>
      </c>
      <c r="F32" s="181">
        <f>ROUNDDOWN((('Цена 120 грн — 33 паллет'!$B$14/'Цена 120 грн — 33 паллет'!$E$14*C32/(1+0))/'Финмодель 33 паллет'!$D$3/(1+0.025)-(3700+288+42+3700*0.7*(0+0.2*(1+0)))/52800)/((1+0)*(1+0.2)),2)</f>
        <v>0.47</v>
      </c>
      <c r="G32" s="182">
        <f>(F32*'Финмодель 33 паллет'!$D$3+(3700+288+42)/52800*'Финмодель 33 паллет'!$D$3+(F32+3700*0.7/52800)*0*'Финмодель 33 паллет'!$D$3+(F32+3700*0.7/52800)*(1+0)*0.2*'Финмодель 33 паллет'!$D$3)*(1+0.025)*(1+0)</f>
        <v>34.11915636363636</v>
      </c>
      <c r="H32" s="183">
        <f>G32/C32*'Финмодель 33 паллет'!$D$6</f>
        <v>119.41704727272723</v>
      </c>
      <c r="I32" s="174">
        <f>H32-D32</f>
        <v>-38.70550852595993</v>
      </c>
      <c r="J32" s="175">
        <f>I32/D32</f>
        <v>-0.24478170322036552</v>
      </c>
      <c r="K32" s="174">
        <f>H32-E32</f>
        <v>-63.03205557191164</v>
      </c>
      <c r="L32" s="175">
        <f>K32/E32</f>
        <v>-0.34547747612431623</v>
      </c>
    </row>
    <row r="33" ht="28" customHeight="1" s="71">
      <c r="A33" s="176" t="n">
        <v>0.3</v>
      </c>
      <c r="B33" s="177" t="str">
        <f>IF(ABS(A33-'Цена 120 грн — 33 паллет'!$C$14)&lt;0.0000001,"◄ поточна","")</f>
        <v>◄ поточна</v>
      </c>
      <c r="C33" s="178">
        <f>1-'Финмодель 33 паллет'!$D$4-A33</f>
        <v>0.45</v>
      </c>
      <c r="D33" s="179">
        <f>'Финмодель 33 паллет'!$F$13/C33*'Финмодель 33 паллет'!$D$6</f>
        <v>140.55338293216636</v>
      </c>
      <c r="E33" s="180">
        <f>'Финмодель 33 паллет'!$F$11/C33*'Финмодель 33 паллет'!$D$6</f>
        <v>162.17698030634565</v>
      </c>
      <c r="F33" s="181">
        <f>ROUNDDOWN((('Цена 120 грн — 33 паллет'!$B$14/'Цена 120 грн — 33 паллет'!$E$14*C33/(1+0))/'Финмодель 33 паллет'!$D$3/(1+0.025)-(3700+288+42+3700*0.7*(0+0.2*(1+0)))/52800)/((1+0)*(1+0.2)),2)</f>
        <v>0.54</v>
      </c>
      <c r="G33" s="182">
        <f>(F33*'Финмодель 33 паллет'!$D$3+(3700+288+42)/52800*'Финмодель 33 паллет'!$D$3+(F33+3700*0.7/52800)*0*'Финмодель 33 паллет'!$D$3+(F33+3700*0.7/52800)*(1+0)*0.2*'Финмодель 33 паллет'!$D$3)*(1+0.025)*(1+0)</f>
        <v>38.52747636363637</v>
      </c>
      <c r="H33" s="183">
        <f>G33/C33*'Финмодель 33 паллет'!$D$6</f>
        <v>119.8632597979798</v>
      </c>
      <c r="I33" s="174">
        <f>H33-D33</f>
        <v>-20.690123134186564</v>
      </c>
      <c r="J33" s="175">
        <f>I33/D33</f>
        <v>-0.14720473248354327</v>
      </c>
      <c r="K33" s="174">
        <f>H33-E33</f>
        <v>-42.31372050836586</v>
      </c>
      <c r="L33" s="175">
        <f>K33/E33</f>
        <v>-0.2609107681524035</v>
      </c>
    </row>
    <row r="34" ht="28" customHeight="1" s="71">
      <c r="A34" s="176" t="n">
        <v>0.25</v>
      </c>
      <c r="B34" s="177" t="str">
        <f>IF(ABS(A34-'Цена 120 грн — 33 паллет'!$C$14)&lt;0.0000001,"◄ поточна","")</f>
        <v/>
      </c>
      <c r="C34" s="178">
        <f>1-'Финмодель 33 паллет'!$D$4-A34</f>
        <v>0.5</v>
      </c>
      <c r="D34" s="179">
        <f>'Финмодель 33 паллет'!$F$13/C34*'Финмодель 33 паллет'!$D$6</f>
        <v>126.49804463894974</v>
      </c>
      <c r="E34" s="180">
        <f>'Финмодель 33 паллет'!$F$11/C34*'Финмодель 33 паллет'!$D$6</f>
        <v>145.95928227571108</v>
      </c>
      <c r="F34" s="181">
        <f>ROUNDDOWN((('Цена 120 грн — 33 паллет'!$B$14/'Цена 120 грн — 33 паллет'!$E$14*C34/(1+0))/'Финмодель 33 паллет'!$D$3/(1+0.025)-(3700+288+42+3700*0.7*(0+0.2*(1+0)))/52800)/((1+0)*(1+0.2)),2)</f>
        <v>0.6</v>
      </c>
      <c r="G34" s="182">
        <f>(F34*'Финмодель 33 паллет'!$D$3+(3700+288+42)/52800*'Финмодель 33 паллет'!$D$3+(F34+3700*0.7/52800)*0*'Финмодель 33 паллет'!$D$3+(F34+3700*0.7/52800)*(1+0)*0.2*'Финмодель 33 паллет'!$D$3)*(1+0.025)*(1+0)</f>
        <v>42.30603636363636</v>
      </c>
      <c r="H34" s="183">
        <f>G34/C34*'Финмодель 33 паллет'!$D$6</f>
        <v>118.45690181818179</v>
      </c>
      <c r="I34" s="174">
        <f>H34-D34</f>
        <v>-8.041142820767945</v>
      </c>
      <c r="J34" s="175">
        <f>I34/D34</f>
        <v>-0.06356732899483898</v>
      </c>
      <c r="K34" s="174">
        <f>H34-E34</f>
        <v>-27.502380457529284</v>
      </c>
      <c r="L34" s="175">
        <f>K34/E34</f>
        <v>-0.1884250184621929</v>
      </c>
    </row>
    <row r="35" ht="28" customHeight="1" s="71">
      <c r="A35" s="176" t="n">
        <v>0.2</v>
      </c>
      <c r="B35" s="177" t="str">
        <f>IF(ABS(A35-'Цена 120 грн — 33 паллет'!$C$14)&lt;0.0000001,"◄ поточна","")</f>
        <v/>
      </c>
      <c r="C35" s="178">
        <f>1-'Финмодель 33 паллет'!$D$4-A35</f>
        <v>0.55</v>
      </c>
      <c r="D35" s="179">
        <f>'Финмодель 33 паллет'!$F$13/C35*'Финмодель 33 паллет'!$D$6</f>
        <v>114.9982223990452</v>
      </c>
      <c r="E35" s="180">
        <f>'Финмодель 33 паллет'!$F$11/C35*'Финмодель 33 паллет'!$D$6</f>
        <v>132.6902566142828</v>
      </c>
      <c r="F35" s="181">
        <f>ROUNDDOWN((('Цена 120 грн — 33 паллет'!$B$14/'Цена 120 грн — 33 паллет'!$E$14*C35/(1+0))/'Финмодель 33 паллет'!$D$3/(1+0.025)-(3700+288+42+3700*0.7*(0+0.2*(1+0)))/52800)/((1+0)*(1+0.2)),2)</f>
        <v>0.67</v>
      </c>
      <c r="G35" s="182">
        <f>(F35*'Финмодель 33 паллет'!$D$3+(3700+288+42)/52800*'Финмодель 33 паллет'!$D$3+(F35+3700*0.7/52800)*0*'Финмодель 33 паллет'!$D$3+(F35+3700*0.7/52800)*(1+0)*0.2*'Финмодель 33 паллет'!$D$3)*(1+0.025)*(1+0)</f>
        <v>46.71435636363636</v>
      </c>
      <c r="H35" s="183">
        <f>G35/C35*'Финмодель 33 паллет'!$D$6</f>
        <v>118.90927074380163</v>
      </c>
      <c r="I35" s="174">
        <f>H35-D35</f>
        <v>3.9110483447564235</v>
      </c>
      <c r="J35" s="175">
        <f>I35/D35</f>
        <v>0.0340096417419831</v>
      </c>
      <c r="K35" s="174">
        <f>H35-E35</f>
        <v>-13.78098587048116</v>
      </c>
      <c r="L35" s="175">
        <f>K35/E35</f>
        <v>-0.10385831049028037</v>
      </c>
    </row>
    <row r="36" ht="28" customHeight="1" s="71">
      <c r="A36" s="176" t="n">
        <v>0.15</v>
      </c>
      <c r="B36" s="177" t="str">
        <f>IF(ABS(A36-'Цена 120 грн — 33 паллет'!$C$14)&lt;0.0000001,"◄ поточна","")</f>
        <v/>
      </c>
      <c r="C36" s="178">
        <f>1-'Финмодель 33 паллет'!$D$4-A36</f>
        <v>0.6</v>
      </c>
      <c r="D36" s="179">
        <f>'Финмодель 33 паллет'!$F$13/C36*'Финмодель 33 паллет'!$D$6</f>
        <v>105.41503719912478</v>
      </c>
      <c r="E36" s="180">
        <f>'Финмодель 33 паллет'!$F$11/C36*'Финмодель 33 паллет'!$D$6</f>
        <v>121.63273522975923</v>
      </c>
      <c r="F36" s="181">
        <f>ROUNDDOWN((('Цена 120 грн — 33 паллет'!$B$14/'Цена 120 грн — 33 паллет'!$E$14*C36/(1+0))/'Финмодель 33 паллет'!$D$3/(1+0.025)-(3700+288+42+3700*0.7*(0+0.2*(1+0)))/52800)/((1+0)*(1+0.2)),2)</f>
        <v>0.74</v>
      </c>
      <c r="G36" s="182">
        <f>(F36*'Финмодель 33 паллет'!$D$3+(3700+288+42)/52800*'Финмодель 33 паллет'!$D$3+(F36+3700*0.7/52800)*0*'Финмодель 33 паллет'!$D$3+(F36+3700*0.7/52800)*(1+0)*0.2*'Финмодель 33 паллет'!$D$3)*(1+0.025)*(1+0)</f>
        <v>51.12267636363635</v>
      </c>
      <c r="H36" s="183">
        <f>G36/C36*'Финмодель 33 паллет'!$D$6</f>
        <v>119.28624484848483</v>
      </c>
      <c r="I36" s="174">
        <f>H36-D36</f>
        <v>13.871207649360045</v>
      </c>
      <c r="J36" s="175">
        <f>I36/D36</f>
        <v>0.131586612478805</v>
      </c>
      <c r="K36" s="174">
        <f>H36-E36</f>
        <v>-2.346490381274407</v>
      </c>
      <c r="L36" s="175">
        <f>K36/E36</f>
        <v>-0.019291602518367965</v>
      </c>
    </row>
    <row r="37" ht="28" customHeight="1" s="71">
      <c r="A37" s="176" t="n">
        <v>0.1</v>
      </c>
      <c r="B37" s="177" t="str">
        <f>IF(ABS(A37-'Цена 120 грн — 33 паллет'!$C$14)&lt;0.0000001,"◄ поточна","")</f>
        <v/>
      </c>
      <c r="C37" s="178">
        <f>1-'Финмодель 33 паллет'!$D$4-A37</f>
        <v>0.65</v>
      </c>
      <c r="D37" s="179">
        <f>'Финмодель 33 паллет'!$F$13/C37*'Финмодель 33 паллет'!$D$6</f>
        <v>97.30618818380749</v>
      </c>
      <c r="E37" s="180">
        <f>'Финмодель 33 паллет'!$F$11/C37*'Финмодель 33 паллет'!$D$6</f>
        <v>112.27637098131622</v>
      </c>
      <c r="F37" s="181">
        <f>ROUNDDOWN((('Цена 120 грн — 33 паллет'!$B$14/'Цена 120 грн — 33 паллет'!$E$14*C37/(1+0))/'Финмодель 33 паллет'!$D$3/(1+0.025)-(3700+288+42+3700*0.7*(0+0.2*(1+0)))/52800)/((1+0)*(1+0.2)),2)</f>
        <v>0.81</v>
      </c>
      <c r="G37" s="182">
        <f>(F37*'Финмодель 33 паллет'!$D$3+(3700+288+42)/52800*'Финмодель 33 паллет'!$D$3+(F37+3700*0.7/52800)*0*'Финмодель 33 паллет'!$D$3+(F37+3700*0.7/52800)*(1+0)*0.2*'Финмодель 33 паллет'!$D$3)*(1+0.025)*(1+0)</f>
        <v>55.53099636363637</v>
      </c>
      <c r="H37" s="183">
        <f>G37/C37*'Финмодель 33 паллет'!$D$6</f>
        <v>119.60522293706295</v>
      </c>
      <c r="I37" s="174">
        <f>H37-D37</f>
        <v>22.299034753255455</v>
      </c>
      <c r="J37" s="175">
        <f>I37/D37</f>
        <v>0.22916358321562727</v>
      </c>
      <c r="K37" s="174">
        <f>H37-E37</f>
        <v>7.328851955746728</v>
      </c>
      <c r="L37" s="175">
        <f>K37/E37</f>
        <v>0.06527510545354476</v>
      </c>
    </row>
  </sheetData>
  <mergeCells count="14">
    <mergeCell ref="A12:H12"/>
    <mergeCell ref="F2:G2"/>
    <mergeCell ref="A8:A9"/>
    <mergeCell ref="B2:C2"/>
    <mergeCell ref="A29:L29"/>
    <mergeCell ref="D2:E2"/>
    <mergeCell ref="D30:E30"/>
    <mergeCell ref="A4:A5"/>
    <mergeCell ref="A28:L28"/>
    <mergeCell ref="F30:H30"/>
    <mergeCell ref="I30:L30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L57" evalError="1" formula="1" formulaRange="1" unlockedFormula="1" numberStoredAsText="1" emptyCellReference="1" twoDigitTextYear="1" listDataValidation="1" calculatedColumn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2026-10-16T16:12:45Z</dcterms:modified>
  <cp:lastModifiedBy>Чаплигін lлля</cp:lastModifiedBy>
</cp:coreProperties>
</file>