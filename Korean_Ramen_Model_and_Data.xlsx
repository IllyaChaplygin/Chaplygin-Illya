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Модель" sheetId="1" state="visible" r:id="rId1"/>
    <sheet xmlns:r="http://schemas.openxmlformats.org/officeDocument/2006/relationships" name="2. Реєстр SKU" sheetId="2" state="visible" r:id="rId2"/>
    <sheet xmlns:r="http://schemas.openxmlformats.org/officeDocument/2006/relationships" name="3. Бренди" sheetId="3" state="visible" r:id="rId3"/>
    <sheet xmlns:r="http://schemas.openxmlformats.org/officeDocument/2006/relationships" name="4. Мережі" sheetId="4" state="visible" r:id="rId4"/>
    <sheet xmlns:r="http://schemas.openxmlformats.org/officeDocument/2006/relationships" name="5. Імпорт" sheetId="5" state="visible" r:id="rId5"/>
    <sheet xmlns:r="http://schemas.openxmlformats.org/officeDocument/2006/relationships" name="6. Суміжна полиця" sheetId="6" state="visible" r:id="rId6"/>
  </sheets>
  <definedNames>
    <definedName name="_xlnm._FilterDatabase" localSheetId="1" hidden="1">'2. Реєстр SKU'!$A$4:$L$100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 %"/>
    <numFmt numFmtId="166" formatCode="0.000"/>
    <numFmt numFmtId="167" formatCode="0.0"/>
    <numFmt numFmtId="168" formatCode="+0 %;-0 %"/>
    <numFmt numFmtId="169" formatCode="0.0 %"/>
    <numFmt numFmtId="170" formatCode="# ##0"/>
  </numFmts>
  <fonts count="6">
    <font>
      <name val="Calibri"/>
      <family val="2"/>
      <color theme="1"/>
      <sz val="11"/>
      <scheme val="minor"/>
    </font>
    <font>
      <name val="Segoe UI"/>
      <b val="1"/>
      <color rgb="FF303A5D"/>
      <sz val="12"/>
    </font>
    <font>
      <name val="Segoe UI"/>
      <color rgb="FF717890"/>
      <sz val="8"/>
    </font>
    <font>
      <name val="Segoe UI"/>
      <b val="1"/>
      <color rgb="FF303A5D"/>
      <sz val="9"/>
    </font>
    <font>
      <name val="Segoe UI"/>
      <sz val="9"/>
    </font>
    <font>
      <name val="Segoe UI"/>
      <b val="1"/>
      <color rgb="FFFFFFFF"/>
      <sz val="9"/>
    </font>
  </fonts>
  <fills count="5">
    <fill>
      <patternFill/>
    </fill>
    <fill>
      <patternFill patternType="gray125"/>
    </fill>
    <fill>
      <patternFill patternType="solid">
        <fgColor rgb="FFFFF3D6"/>
      </patternFill>
    </fill>
    <fill>
      <patternFill patternType="solid">
        <fgColor rgb="FF303A5D"/>
      </patternFill>
    </fill>
    <fill>
      <patternFill patternType="solid">
        <fgColor rgb="FFF1F4FA"/>
      </patternFill>
    </fill>
  </fills>
  <borders count="2">
    <border>
      <left/>
      <right/>
      <top/>
      <bottom/>
      <diagonal/>
    </border>
    <border>
      <bottom style="thin">
        <color rgb="FFD8DEE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2" borderId="0" pivotButton="0" quotePrefix="0" xfId="0"/>
    <xf numFmtId="165" fontId="3" fillId="2" borderId="0" pivotButton="0" quotePrefix="0" xfId="0"/>
    <xf numFmtId="2" fontId="3" fillId="2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5" fillId="3" borderId="0" applyAlignment="1" pivotButton="0" quotePrefix="0" xfId="0">
      <alignment vertical="center" wrapText="1"/>
    </xf>
    <xf numFmtId="0" fontId="4" fillId="0" borderId="1" pivotButton="0" quotePrefix="0" xfId="0"/>
    <xf numFmtId="166" fontId="3" fillId="2" borderId="1" pivotButton="0" quotePrefix="0" xfId="0"/>
    <xf numFmtId="167" fontId="4" fillId="0" borderId="1" pivotButton="0" quotePrefix="0" xfId="0"/>
    <xf numFmtId="1" fontId="4" fillId="0" borderId="1" pivotButton="0" quotePrefix="0" xfId="0"/>
    <xf numFmtId="1" fontId="0" fillId="2" borderId="1" pivotButton="0" quotePrefix="0" xfId="0"/>
    <xf numFmtId="168" fontId="4" fillId="0" borderId="1" pivotButton="0" quotePrefix="0" xfId="0"/>
    <xf numFmtId="0" fontId="4" fillId="4" borderId="1" pivotButton="0" quotePrefix="0" xfId="0"/>
    <xf numFmtId="167" fontId="4" fillId="4" borderId="1" pivotButton="0" quotePrefix="0" xfId="0"/>
    <xf numFmtId="1" fontId="4" fillId="4" borderId="1" pivotButton="0" quotePrefix="0" xfId="0"/>
    <xf numFmtId="168" fontId="4" fillId="4" borderId="1" pivotButton="0" quotePrefix="0" xfId="0"/>
    <xf numFmtId="167" fontId="3" fillId="2" borderId="1" pivotButton="0" quotePrefix="0" xfId="0"/>
    <xf numFmtId="167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167" fontId="0" fillId="4" borderId="1" pivotButton="0" quotePrefix="0" xfId="0"/>
    <xf numFmtId="166" fontId="0" fillId="4" borderId="1" pivotButton="0" quotePrefix="0" xfId="0"/>
    <xf numFmtId="168" fontId="0" fillId="4" borderId="1" pivotButton="0" quotePrefix="0" xfId="0"/>
    <xf numFmtId="167" fontId="0" fillId="2" borderId="1" pivotButton="0" quotePrefix="0" xfId="0"/>
    <xf numFmtId="169" fontId="4" fillId="0" borderId="1" pivotButton="0" quotePrefix="0" xfId="0"/>
    <xf numFmtId="169" fontId="4" fillId="4" borderId="1" pivotButton="0" quotePrefix="0" xfId="0"/>
    <xf numFmtId="170" fontId="4" fillId="0" borderId="1" pivotButton="0" quotePrefix="0" xfId="0"/>
    <xf numFmtId="2" fontId="4" fillId="0" borderId="1" pivotButton="0" quotePrefix="0" xfId="0"/>
    <xf numFmtId="170" fontId="4" fillId="4" borderId="1" pivotButton="0" quotePrefix="0" xfId="0"/>
    <xf numFmtId="2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9" customWidth="1" min="3" max="3"/>
    <col width="20" customWidth="1" min="4" max="4"/>
    <col width="24" customWidth="1" min="5" max="5"/>
    <col width="18" customWidth="1" min="6" max="6"/>
    <col width="12" customWidth="1" min="7" max="7"/>
    <col width="22" customWidth="1" min="8" max="8"/>
    <col width="12" customWidth="1" min="9" max="9"/>
    <col width="11" customWidth="1" min="10" max="10"/>
    <col width="16" customWidth="1" min="11" max="11"/>
    <col width="17" customWidth="1" min="12" max="12"/>
  </cols>
  <sheetData>
    <row r="1">
      <c r="A1" s="1" t="inlineStr">
        <is>
          <t>Фінансова модель SIAS · Choi’s Ramyeon</t>
        </is>
      </c>
    </row>
    <row r="2">
      <c r="A2" s="2" t="inlineStr">
        <is>
          <t>Ціна партнеру = собівартість ÷ (100 % − бонус − маржа). Полиця = ціна партнеру × націнку мережі. Жовті клітинки — вхідні дані.</t>
        </is>
      </c>
    </row>
    <row r="3">
      <c r="A3" s="3" t="inlineStr">
        <is>
          <t>ВХІДНІ ПАРАМЕТРИ</t>
        </is>
      </c>
    </row>
    <row r="4">
      <c r="A4" s="4" t="inlineStr">
        <is>
          <t>Курс, грн/EUR</t>
        </is>
      </c>
      <c r="B4" s="5" t="n">
        <v>51.2</v>
      </c>
    </row>
    <row r="5">
      <c r="A5" s="4" t="inlineStr">
        <is>
          <t>Бонус мережі</t>
        </is>
      </c>
      <c r="B5" s="6" t="n">
        <v>0.25</v>
      </c>
    </row>
    <row r="6">
      <c r="A6" s="4" t="inlineStr">
        <is>
          <t>Цільова маржа (від ціни партнеру)</t>
        </is>
      </c>
      <c r="B6" s="6" t="n">
        <v>0.15</v>
      </c>
    </row>
    <row r="7">
      <c r="A7" s="4" t="inlineStr">
        <is>
          <t>Націнка мережі (×)</t>
        </is>
      </c>
      <c r="B7" s="7" t="n">
        <v>1.4</v>
      </c>
    </row>
    <row r="8">
      <c r="A8" s="3" t="inlineStr">
        <is>
          <t>Частка ціни для собівартості</t>
        </is>
      </c>
      <c r="B8" s="8">
        <f>1-B5-B6</f>
        <v/>
      </c>
    </row>
    <row r="9">
      <c r="A9" s="3" t="inlineStr">
        <is>
          <t>Множник полиці до собівартості</t>
        </is>
      </c>
      <c r="B9" s="9">
        <f>1/B8*B7</f>
        <v/>
      </c>
    </row>
    <row r="11">
      <c r="A11" s="3" t="inlineStr">
        <is>
          <t>ТАРИФИ SIAS · СОБІВАРТІСТЬ SELF-COST</t>
        </is>
      </c>
    </row>
    <row r="12" ht="26" customHeight="1">
      <c r="A12" s="10" t="inlineStr">
        <is>
          <t>SKU</t>
        </is>
      </c>
      <c r="B12" s="10" t="inlineStr">
        <is>
          <t>Вага, г</t>
        </is>
      </c>
      <c r="C12" s="10" t="inlineStr">
        <is>
          <t>Обсяг поставки</t>
        </is>
      </c>
      <c r="D12" s="10" t="inlineStr">
        <is>
          <t>FCA, EUR/уп.</t>
        </is>
      </c>
      <c r="E12" s="10" t="inlineStr">
        <is>
          <t>СС, грн/уп.</t>
        </is>
      </c>
      <c r="F12" s="10" t="inlineStr">
        <is>
          <t>Ціна партнеру, грн</t>
        </is>
      </c>
      <c r="G12" s="10" t="inlineStr">
        <is>
          <t>Бонус мережі, грн</t>
        </is>
      </c>
      <c r="H12" s="10" t="inlineStr">
        <is>
          <t>Прибуток після бонусу, грн</t>
        </is>
      </c>
      <c r="I12" s="10" t="inlineStr">
        <is>
          <t>Полиця, грн</t>
        </is>
      </c>
      <c r="J12" s="10" t="inlineStr">
        <is>
          <t>грн/100 г</t>
        </is>
      </c>
      <c r="K12" s="10" t="inlineStr">
        <is>
          <t>Медіана сегмента</t>
        </is>
      </c>
      <c r="L12" s="10" t="inlineStr">
        <is>
          <t>Розрив до медіани</t>
        </is>
      </c>
    </row>
    <row r="13">
      <c r="A13" s="11" t="inlineStr">
        <is>
          <t>Gouda Cheese</t>
        </is>
      </c>
      <c r="B13" s="11" t="n">
        <v>123</v>
      </c>
      <c r="C13" s="11" t="inlineStr">
        <is>
          <t>Мінімальний обсяг</t>
        </is>
      </c>
      <c r="D13" s="12" t="n">
        <v>1.308516</v>
      </c>
      <c r="E13" s="13">
        <f>D13*$B$4</f>
        <v/>
      </c>
      <c r="F13" s="13">
        <f>E13/$B$8</f>
        <v/>
      </c>
      <c r="G13" s="13">
        <f>F13*$B$5</f>
        <v/>
      </c>
      <c r="H13" s="13">
        <f>F13-E13-G13</f>
        <v/>
      </c>
      <c r="I13" s="14">
        <f>F13*$B$7</f>
        <v/>
      </c>
      <c r="J13" s="14">
        <f>I13/B13*100</f>
        <v/>
      </c>
      <c r="K13" s="15" t="n">
        <v>100</v>
      </c>
      <c r="L13" s="16">
        <f>I13/K13-1</f>
        <v/>
      </c>
    </row>
    <row r="14">
      <c r="A14" s="17" t="inlineStr">
        <is>
          <t>Carbonara Spicy</t>
        </is>
      </c>
      <c r="B14" s="17" t="n">
        <v>131</v>
      </c>
      <c r="C14" s="17" t="inlineStr">
        <is>
          <t>Мінімальний обсяг</t>
        </is>
      </c>
      <c r="D14" s="12" t="n">
        <v>1.308516</v>
      </c>
      <c r="E14" s="18">
        <f>D14*$B$4</f>
        <v/>
      </c>
      <c r="F14" s="18">
        <f>E14/$B$8</f>
        <v/>
      </c>
      <c r="G14" s="18">
        <f>F14*$B$5</f>
        <v/>
      </c>
      <c r="H14" s="18">
        <f>F14-E14-G14</f>
        <v/>
      </c>
      <c r="I14" s="19">
        <f>F14*$B$7</f>
        <v/>
      </c>
      <c r="J14" s="19">
        <f>I14/B14*100</f>
        <v/>
      </c>
      <c r="K14" s="15" t="n">
        <v>100</v>
      </c>
      <c r="L14" s="20">
        <f>I14/K14-1</f>
        <v/>
      </c>
    </row>
    <row r="15">
      <c r="A15" s="11" t="inlineStr">
        <is>
          <t>Vegetable Flavor</t>
        </is>
      </c>
      <c r="B15" s="11" t="n">
        <v>113</v>
      </c>
      <c r="C15" s="11" t="inlineStr">
        <is>
          <t>Мінімальний обсяг</t>
        </is>
      </c>
      <c r="D15" s="12" t="n">
        <v>1.134047</v>
      </c>
      <c r="E15" s="13">
        <f>D15*$B$4</f>
        <v/>
      </c>
      <c r="F15" s="13">
        <f>E15/$B$8</f>
        <v/>
      </c>
      <c r="G15" s="13">
        <f>F15*$B$5</f>
        <v/>
      </c>
      <c r="H15" s="13">
        <f>F15-E15-G15</f>
        <v/>
      </c>
      <c r="I15" s="14">
        <f>F15*$B$7</f>
        <v/>
      </c>
      <c r="J15" s="14">
        <f>I15/B15*100</f>
        <v/>
      </c>
      <c r="K15" s="15" t="n">
        <v>104</v>
      </c>
      <c r="L15" s="16">
        <f>I15/K15-1</f>
        <v/>
      </c>
    </row>
    <row r="16">
      <c r="A16" s="17" t="inlineStr">
        <is>
          <t>Spicy Flavor</t>
        </is>
      </c>
      <c r="B16" s="17" t="n">
        <v>112.5</v>
      </c>
      <c r="C16" s="17" t="inlineStr">
        <is>
          <t>Мінімальний обсяг</t>
        </is>
      </c>
      <c r="D16" s="12" t="n">
        <v>1.134047</v>
      </c>
      <c r="E16" s="18">
        <f>D16*$B$4</f>
        <v/>
      </c>
      <c r="F16" s="18">
        <f>E16/$B$8</f>
        <v/>
      </c>
      <c r="G16" s="18">
        <f>F16*$B$5</f>
        <v/>
      </c>
      <c r="H16" s="18">
        <f>F16-E16-G16</f>
        <v/>
      </c>
      <c r="I16" s="19">
        <f>F16*$B$7</f>
        <v/>
      </c>
      <c r="J16" s="19">
        <f>I16/B16*100</f>
        <v/>
      </c>
      <c r="K16" s="15" t="n">
        <v>104</v>
      </c>
      <c r="L16" s="20">
        <f>I16/K16-1</f>
        <v/>
      </c>
    </row>
    <row r="17">
      <c r="A17" s="11" t="inlineStr">
        <is>
          <t>Beef Flavor</t>
        </is>
      </c>
      <c r="B17" s="11" t="n">
        <v>113</v>
      </c>
      <c r="C17" s="11" t="inlineStr">
        <is>
          <t>Мінімальний обсяг</t>
        </is>
      </c>
      <c r="D17" s="12" t="n">
        <v>1.134047</v>
      </c>
      <c r="E17" s="13">
        <f>D17*$B$4</f>
        <v/>
      </c>
      <c r="F17" s="13">
        <f>E17/$B$8</f>
        <v/>
      </c>
      <c r="G17" s="13">
        <f>F17*$B$5</f>
        <v/>
      </c>
      <c r="H17" s="13">
        <f>F17-E17-G17</f>
        <v/>
      </c>
      <c r="I17" s="14">
        <f>F17*$B$7</f>
        <v/>
      </c>
      <c r="J17" s="14">
        <f>I17/B17*100</f>
        <v/>
      </c>
      <c r="K17" s="15" t="n">
        <v>104</v>
      </c>
      <c r="L17" s="16">
        <f>I17/K17-1</f>
        <v/>
      </c>
    </row>
    <row r="18">
      <c r="A18" s="17" t="inlineStr">
        <is>
          <t>Chicken Flavor</t>
        </is>
      </c>
      <c r="B18" s="17" t="n">
        <v>113</v>
      </c>
      <c r="C18" s="17" t="inlineStr">
        <is>
          <t>Мінімальний обсяг</t>
        </is>
      </c>
      <c r="D18" s="12" t="n">
        <v>1.134047</v>
      </c>
      <c r="E18" s="18">
        <f>D18*$B$4</f>
        <v/>
      </c>
      <c r="F18" s="18">
        <f>E18/$B$8</f>
        <v/>
      </c>
      <c r="G18" s="18">
        <f>F18*$B$5</f>
        <v/>
      </c>
      <c r="H18" s="18">
        <f>F18-E18-G18</f>
        <v/>
      </c>
      <c r="I18" s="19">
        <f>F18*$B$7</f>
        <v/>
      </c>
      <c r="J18" s="19">
        <f>I18/B18*100</f>
        <v/>
      </c>
      <c r="K18" s="15" t="n">
        <v>104</v>
      </c>
      <c r="L18" s="20">
        <f>I18/K18-1</f>
        <v/>
      </c>
    </row>
    <row r="19">
      <c r="A19" s="11" t="inlineStr">
        <is>
          <t>Gouda Cheese</t>
        </is>
      </c>
      <c r="B19" s="11" t="n">
        <v>123</v>
      </c>
      <c r="C19" s="11" t="inlineStr">
        <is>
          <t>Середній обсяг</t>
        </is>
      </c>
      <c r="D19" s="12" t="n">
        <v>1.110912</v>
      </c>
      <c r="E19" s="13">
        <f>D19*$B$4</f>
        <v/>
      </c>
      <c r="F19" s="13">
        <f>E19/$B$8</f>
        <v/>
      </c>
      <c r="G19" s="13">
        <f>F19*$B$5</f>
        <v/>
      </c>
      <c r="H19" s="13">
        <f>F19-E19-G19</f>
        <v/>
      </c>
      <c r="I19" s="14">
        <f>F19*$B$7</f>
        <v/>
      </c>
      <c r="J19" s="14">
        <f>I19/B19*100</f>
        <v/>
      </c>
      <c r="K19" s="15" t="n">
        <v>100</v>
      </c>
      <c r="L19" s="16">
        <f>I19/K19-1</f>
        <v/>
      </c>
    </row>
    <row r="20">
      <c r="A20" s="17" t="inlineStr">
        <is>
          <t>Carbonara Spicy</t>
        </is>
      </c>
      <c r="B20" s="17" t="n">
        <v>131</v>
      </c>
      <c r="C20" s="17" t="inlineStr">
        <is>
          <t>Середній обсяг</t>
        </is>
      </c>
      <c r="D20" s="12" t="n">
        <v>1.110912</v>
      </c>
      <c r="E20" s="18">
        <f>D20*$B$4</f>
        <v/>
      </c>
      <c r="F20" s="18">
        <f>E20/$B$8</f>
        <v/>
      </c>
      <c r="G20" s="18">
        <f>F20*$B$5</f>
        <v/>
      </c>
      <c r="H20" s="18">
        <f>F20-E20-G20</f>
        <v/>
      </c>
      <c r="I20" s="19">
        <f>F20*$B$7</f>
        <v/>
      </c>
      <c r="J20" s="19">
        <f>I20/B20*100</f>
        <v/>
      </c>
      <c r="K20" s="15" t="n">
        <v>100</v>
      </c>
      <c r="L20" s="20">
        <f>I20/K20-1</f>
        <v/>
      </c>
    </row>
    <row r="21">
      <c r="A21" s="11" t="inlineStr">
        <is>
          <t>Vegetable Flavor</t>
        </is>
      </c>
      <c r="B21" s="11" t="n">
        <v>113</v>
      </c>
      <c r="C21" s="11" t="inlineStr">
        <is>
          <t>Середній обсяг</t>
        </is>
      </c>
      <c r="D21" s="12" t="n">
        <v>0.962791</v>
      </c>
      <c r="E21" s="13">
        <f>D21*$B$4</f>
        <v/>
      </c>
      <c r="F21" s="13">
        <f>E21/$B$8</f>
        <v/>
      </c>
      <c r="G21" s="13">
        <f>F21*$B$5</f>
        <v/>
      </c>
      <c r="H21" s="13">
        <f>F21-E21-G21</f>
        <v/>
      </c>
      <c r="I21" s="14">
        <f>F21*$B$7</f>
        <v/>
      </c>
      <c r="J21" s="14">
        <f>I21/B21*100</f>
        <v/>
      </c>
      <c r="K21" s="15" t="n">
        <v>104</v>
      </c>
      <c r="L21" s="16">
        <f>I21/K21-1</f>
        <v/>
      </c>
    </row>
    <row r="22">
      <c r="A22" s="17" t="inlineStr">
        <is>
          <t>Spicy Flavor</t>
        </is>
      </c>
      <c r="B22" s="17" t="n">
        <v>112.5</v>
      </c>
      <c r="C22" s="17" t="inlineStr">
        <is>
          <t>Середній обсяг</t>
        </is>
      </c>
      <c r="D22" s="12" t="n">
        <v>0.962791</v>
      </c>
      <c r="E22" s="18">
        <f>D22*$B$4</f>
        <v/>
      </c>
      <c r="F22" s="18">
        <f>E22/$B$8</f>
        <v/>
      </c>
      <c r="G22" s="18">
        <f>F22*$B$5</f>
        <v/>
      </c>
      <c r="H22" s="18">
        <f>F22-E22-G22</f>
        <v/>
      </c>
      <c r="I22" s="19">
        <f>F22*$B$7</f>
        <v/>
      </c>
      <c r="J22" s="19">
        <f>I22/B22*100</f>
        <v/>
      </c>
      <c r="K22" s="15" t="n">
        <v>104</v>
      </c>
      <c r="L22" s="20">
        <f>I22/K22-1</f>
        <v/>
      </c>
    </row>
    <row r="23">
      <c r="A23" s="11" t="inlineStr">
        <is>
          <t>Beef Flavor</t>
        </is>
      </c>
      <c r="B23" s="11" t="n">
        <v>113</v>
      </c>
      <c r="C23" s="11" t="inlineStr">
        <is>
          <t>Середній обсяг</t>
        </is>
      </c>
      <c r="D23" s="12" t="n">
        <v>0.962791</v>
      </c>
      <c r="E23" s="13">
        <f>D23*$B$4</f>
        <v/>
      </c>
      <c r="F23" s="13">
        <f>E23/$B$8</f>
        <v/>
      </c>
      <c r="G23" s="13">
        <f>F23*$B$5</f>
        <v/>
      </c>
      <c r="H23" s="13">
        <f>F23-E23-G23</f>
        <v/>
      </c>
      <c r="I23" s="14">
        <f>F23*$B$7</f>
        <v/>
      </c>
      <c r="J23" s="14">
        <f>I23/B23*100</f>
        <v/>
      </c>
      <c r="K23" s="15" t="n">
        <v>104</v>
      </c>
      <c r="L23" s="16">
        <f>I23/K23-1</f>
        <v/>
      </c>
    </row>
    <row r="24">
      <c r="A24" s="17" t="inlineStr">
        <is>
          <t>Chicken Flavor</t>
        </is>
      </c>
      <c r="B24" s="17" t="n">
        <v>113</v>
      </c>
      <c r="C24" s="17" t="inlineStr">
        <is>
          <t>Середній обсяг</t>
        </is>
      </c>
      <c r="D24" s="12" t="n">
        <v>0.962791</v>
      </c>
      <c r="E24" s="18">
        <f>D24*$B$4</f>
        <v/>
      </c>
      <c r="F24" s="18">
        <f>E24/$B$8</f>
        <v/>
      </c>
      <c r="G24" s="18">
        <f>F24*$B$5</f>
        <v/>
      </c>
      <c r="H24" s="18">
        <f>F24-E24-G24</f>
        <v/>
      </c>
      <c r="I24" s="19">
        <f>F24*$B$7</f>
        <v/>
      </c>
      <c r="J24" s="19">
        <f>I24/B24*100</f>
        <v/>
      </c>
      <c r="K24" s="15" t="n">
        <v>104</v>
      </c>
      <c r="L24" s="20">
        <f>I24/K24-1</f>
        <v/>
      </c>
    </row>
    <row r="25">
      <c r="A25" s="11" t="inlineStr">
        <is>
          <t>Gouda Cheese</t>
        </is>
      </c>
      <c r="B25" s="11" t="n">
        <v>123</v>
      </c>
      <c r="C25" s="11" t="inlineStr">
        <is>
          <t>Максимальний обсяг</t>
        </is>
      </c>
      <c r="D25" s="12" t="n">
        <v>1.018131</v>
      </c>
      <c r="E25" s="13">
        <f>D25*$B$4</f>
        <v/>
      </c>
      <c r="F25" s="13">
        <f>E25/$B$8</f>
        <v/>
      </c>
      <c r="G25" s="13">
        <f>F25*$B$5</f>
        <v/>
      </c>
      <c r="H25" s="13">
        <f>F25-E25-G25</f>
        <v/>
      </c>
      <c r="I25" s="14">
        <f>F25*$B$7</f>
        <v/>
      </c>
      <c r="J25" s="14">
        <f>I25/B25*100</f>
        <v/>
      </c>
      <c r="K25" s="15" t="n">
        <v>100</v>
      </c>
      <c r="L25" s="16">
        <f>I25/K25-1</f>
        <v/>
      </c>
    </row>
    <row r="26">
      <c r="A26" s="17" t="inlineStr">
        <is>
          <t>Carbonara Spicy</t>
        </is>
      </c>
      <c r="B26" s="17" t="n">
        <v>131</v>
      </c>
      <c r="C26" s="17" t="inlineStr">
        <is>
          <t>Максимальний обсяг</t>
        </is>
      </c>
      <c r="D26" s="12" t="n">
        <v>1.018131</v>
      </c>
      <c r="E26" s="18">
        <f>D26*$B$4</f>
        <v/>
      </c>
      <c r="F26" s="18">
        <f>E26/$B$8</f>
        <v/>
      </c>
      <c r="G26" s="18">
        <f>F26*$B$5</f>
        <v/>
      </c>
      <c r="H26" s="18">
        <f>F26-E26-G26</f>
        <v/>
      </c>
      <c r="I26" s="19">
        <f>F26*$B$7</f>
        <v/>
      </c>
      <c r="J26" s="19">
        <f>I26/B26*100</f>
        <v/>
      </c>
      <c r="K26" s="15" t="n">
        <v>100</v>
      </c>
      <c r="L26" s="20">
        <f>I26/K26-1</f>
        <v/>
      </c>
    </row>
    <row r="27">
      <c r="A27" s="11" t="inlineStr">
        <is>
          <t>Vegetable Flavor</t>
        </is>
      </c>
      <c r="B27" s="11" t="n">
        <v>113</v>
      </c>
      <c r="C27" s="11" t="inlineStr">
        <is>
          <t>Максимальний обсяг</t>
        </is>
      </c>
      <c r="D27" s="12" t="n">
        <v>0.8823800000000001</v>
      </c>
      <c r="E27" s="13">
        <f>D27*$B$4</f>
        <v/>
      </c>
      <c r="F27" s="13">
        <f>E27/$B$8</f>
        <v/>
      </c>
      <c r="G27" s="13">
        <f>F27*$B$5</f>
        <v/>
      </c>
      <c r="H27" s="13">
        <f>F27-E27-G27</f>
        <v/>
      </c>
      <c r="I27" s="14">
        <f>F27*$B$7</f>
        <v/>
      </c>
      <c r="J27" s="14">
        <f>I27/B27*100</f>
        <v/>
      </c>
      <c r="K27" s="15" t="n">
        <v>104</v>
      </c>
      <c r="L27" s="16">
        <f>I27/K27-1</f>
        <v/>
      </c>
    </row>
    <row r="28">
      <c r="A28" s="17" t="inlineStr">
        <is>
          <t>Spicy Flavor</t>
        </is>
      </c>
      <c r="B28" s="17" t="n">
        <v>112.5</v>
      </c>
      <c r="C28" s="17" t="inlineStr">
        <is>
          <t>Максимальний обсяг</t>
        </is>
      </c>
      <c r="D28" s="12" t="n">
        <v>0.8823800000000001</v>
      </c>
      <c r="E28" s="18">
        <f>D28*$B$4</f>
        <v/>
      </c>
      <c r="F28" s="18">
        <f>E28/$B$8</f>
        <v/>
      </c>
      <c r="G28" s="18">
        <f>F28*$B$5</f>
        <v/>
      </c>
      <c r="H28" s="18">
        <f>F28-E28-G28</f>
        <v/>
      </c>
      <c r="I28" s="19">
        <f>F28*$B$7</f>
        <v/>
      </c>
      <c r="J28" s="19">
        <f>I28/B28*100</f>
        <v/>
      </c>
      <c r="K28" s="15" t="n">
        <v>104</v>
      </c>
      <c r="L28" s="20">
        <f>I28/K28-1</f>
        <v/>
      </c>
    </row>
    <row r="29">
      <c r="A29" s="11" t="inlineStr">
        <is>
          <t>Beef Flavor</t>
        </is>
      </c>
      <c r="B29" s="11" t="n">
        <v>113</v>
      </c>
      <c r="C29" s="11" t="inlineStr">
        <is>
          <t>Максимальний обсяг</t>
        </is>
      </c>
      <c r="D29" s="12" t="n">
        <v>0.8823800000000001</v>
      </c>
      <c r="E29" s="13">
        <f>D29*$B$4</f>
        <v/>
      </c>
      <c r="F29" s="13">
        <f>E29/$B$8</f>
        <v/>
      </c>
      <c r="G29" s="13">
        <f>F29*$B$5</f>
        <v/>
      </c>
      <c r="H29" s="13">
        <f>F29-E29-G29</f>
        <v/>
      </c>
      <c r="I29" s="14">
        <f>F29*$B$7</f>
        <v/>
      </c>
      <c r="J29" s="14">
        <f>I29/B29*100</f>
        <v/>
      </c>
      <c r="K29" s="15" t="n">
        <v>104</v>
      </c>
      <c r="L29" s="16">
        <f>I29/K29-1</f>
        <v/>
      </c>
    </row>
    <row r="30">
      <c r="A30" s="17" t="inlineStr">
        <is>
          <t>Chicken Flavor</t>
        </is>
      </c>
      <c r="B30" s="17" t="n">
        <v>113</v>
      </c>
      <c r="C30" s="17" t="inlineStr">
        <is>
          <t>Максимальний обсяг</t>
        </is>
      </c>
      <c r="D30" s="12" t="n">
        <v>0.8823800000000001</v>
      </c>
      <c r="E30" s="18">
        <f>D30*$B$4</f>
        <v/>
      </c>
      <c r="F30" s="18">
        <f>E30/$B$8</f>
        <v/>
      </c>
      <c r="G30" s="18">
        <f>F30*$B$5</f>
        <v/>
      </c>
      <c r="H30" s="18">
        <f>F30-E30-G30</f>
        <v/>
      </c>
      <c r="I30" s="19">
        <f>F30*$B$7</f>
        <v/>
      </c>
      <c r="J30" s="19">
        <f>I30/B30*100</f>
        <v/>
      </c>
      <c r="K30" s="15" t="n">
        <v>104</v>
      </c>
      <c r="L30" s="20">
        <f>I30/K30-1</f>
        <v/>
      </c>
    </row>
    <row r="32">
      <c r="A32" s="3" t="inlineStr">
        <is>
          <t>ЗВОРОТНА ЗАДАЧА · ЯКА ЦІНА FCA ПОТРІБНА</t>
        </is>
      </c>
    </row>
    <row r="33" ht="26" customHeight="1">
      <c r="A33" s="10" t="inlineStr">
        <is>
          <t>Цільова полиця</t>
        </is>
      </c>
      <c r="B33" s="10" t="inlineStr">
        <is>
          <t>Полиця, грн</t>
        </is>
      </c>
      <c r="C33" s="10" t="inlineStr">
        <is>
          <t>Допустима СС, грн</t>
        </is>
      </c>
      <c r="D33" s="10" t="inlineStr">
        <is>
          <t>Потрібен FCA, EUR</t>
        </is>
      </c>
      <c r="E33" s="10" t="inlineStr">
        <is>
          <t>До €1,309 (рамен із соусом)</t>
        </is>
      </c>
      <c r="F33" s="10" t="inlineStr">
        <is>
          <t>До €1,134 (рамен з бульйоном)</t>
        </is>
      </c>
    </row>
    <row r="34">
      <c r="A34" s="11" t="inlineStr">
        <is>
          <t>Паритет Ottogi / O’Food</t>
        </is>
      </c>
      <c r="B34" s="21" t="n">
        <v>77</v>
      </c>
      <c r="C34" s="22">
        <f>B34/$B$9</f>
        <v/>
      </c>
      <c r="D34" s="23">
        <f>C34/$B$4</f>
        <v/>
      </c>
      <c r="E34" s="24">
        <f>D34/1.308515625-1</f>
        <v/>
      </c>
      <c r="F34" s="24">
        <f>D34/1.134046875-1</f>
        <v/>
      </c>
    </row>
    <row r="35">
      <c r="A35" s="17" t="inlineStr">
        <is>
          <t>P25 вікна 110–135 г</t>
        </is>
      </c>
      <c r="B35" s="21" t="n">
        <v>86</v>
      </c>
      <c r="C35" s="25">
        <f>B35/$B$9</f>
        <v/>
      </c>
      <c r="D35" s="26">
        <f>C35/$B$4</f>
        <v/>
      </c>
      <c r="E35" s="27">
        <f>D35/1.308515625-1</f>
        <v/>
      </c>
      <c r="F35" s="27">
        <f>D35/1.134046875-1</f>
        <v/>
      </c>
    </row>
    <row r="36">
      <c r="A36" s="11" t="inlineStr">
        <is>
          <t>Медіана сегмента 2 · рамен із соусом</t>
        </is>
      </c>
      <c r="B36" s="21" t="n">
        <v>100</v>
      </c>
      <c r="C36" s="22">
        <f>B36/$B$9</f>
        <v/>
      </c>
      <c r="D36" s="23">
        <f>C36/$B$4</f>
        <v/>
      </c>
      <c r="E36" s="24">
        <f>D36/1.308515625-1</f>
        <v/>
      </c>
      <c r="F36" s="24">
        <f>D36/1.134046875-1</f>
        <v/>
      </c>
    </row>
    <row r="37">
      <c r="A37" s="17" t="inlineStr">
        <is>
          <t>Медіана сегмента 1 · рамен з бульйоном</t>
        </is>
      </c>
      <c r="B37" s="21" t="n">
        <v>104</v>
      </c>
      <c r="C37" s="25">
        <f>B37/$B$9</f>
        <v/>
      </c>
      <c r="D37" s="26">
        <f>C37/$B$4</f>
        <v/>
      </c>
      <c r="E37" s="27">
        <f>D37/1.308515625-1</f>
        <v/>
      </c>
      <c r="F37" s="27">
        <f>D37/1.134046875-1</f>
        <v/>
      </c>
    </row>
    <row r="38">
      <c r="A38" s="11" t="inlineStr">
        <is>
          <t>Медіана категорії</t>
        </is>
      </c>
      <c r="B38" s="21" t="n">
        <v>105</v>
      </c>
      <c r="C38" s="22">
        <f>B38/$B$9</f>
        <v/>
      </c>
      <c r="D38" s="23">
        <f>C38/$B$4</f>
        <v/>
      </c>
      <c r="E38" s="24">
        <f>D38/1.308515625-1</f>
        <v/>
      </c>
      <c r="F38" s="24">
        <f>D38/1.134046875-1</f>
        <v/>
      </c>
    </row>
    <row r="39">
      <c r="A39" s="17" t="inlineStr">
        <is>
          <t>Фактична полиця Choi’s</t>
        </is>
      </c>
      <c r="B39" s="21" t="n">
        <v>125.2</v>
      </c>
      <c r="C39" s="25">
        <f>B39/$B$9</f>
        <v/>
      </c>
      <c r="D39" s="26">
        <f>C39/$B$4</f>
        <v/>
      </c>
      <c r="E39" s="27">
        <f>D39/1.308515625-1</f>
        <v/>
      </c>
      <c r="F39" s="27">
        <f>D39/1.134046875-1</f>
        <v/>
      </c>
    </row>
    <row r="42">
      <c r="A42" s="3" t="inlineStr">
        <is>
          <t>ЯКА МАРЖА ВИХОДИТЬ, ЯКЩО СТАТИ НА РИНКОВУ ЦІНУ</t>
        </is>
      </c>
    </row>
    <row r="43" ht="26" customHeight="1">
      <c r="A43" s="10" t="inlineStr">
        <is>
          <t>Орієнтир</t>
        </is>
      </c>
      <c r="B43" s="10" t="inlineStr">
        <is>
          <t>Полиця, грн</t>
        </is>
      </c>
      <c r="C43" s="10" t="inlineStr">
        <is>
          <t>Ціна партнеру, грн</t>
        </is>
      </c>
      <c r="D43" s="10" t="inlineStr">
        <is>
          <t>Обсяг поставки</t>
        </is>
      </c>
      <c r="E43" s="10" t="inlineStr">
        <is>
          <t>СС, грн</t>
        </is>
      </c>
      <c r="F43" s="10" t="inlineStr">
        <is>
          <t>Прибуток після бонусу</t>
        </is>
      </c>
      <c r="G43" s="10" t="inlineStr">
        <is>
          <t>Маржа, %</t>
        </is>
      </c>
    </row>
    <row r="44">
      <c r="A44" s="11" t="inlineStr">
        <is>
          <t>Медіана сегмента 1 · рамен з бульйоном</t>
        </is>
      </c>
      <c r="B44" s="28" t="n">
        <v>104</v>
      </c>
      <c r="C44" s="13">
        <f>B44/$B$7</f>
        <v/>
      </c>
      <c r="D44" s="11" t="inlineStr">
        <is>
          <t>Мінімальний обсяг</t>
        </is>
      </c>
      <c r="E44" s="13">
        <f>1.134047*$B$4</f>
        <v/>
      </c>
      <c r="F44" s="13">
        <f>C44*(1-$B$5)-E44</f>
        <v/>
      </c>
      <c r="G44" s="29">
        <f>F44/C44</f>
        <v/>
      </c>
    </row>
    <row r="45">
      <c r="A45" s="17" t="inlineStr"/>
      <c r="B45" s="28" t="n">
        <v>104</v>
      </c>
      <c r="C45" s="18">
        <f>B45/$B$7</f>
        <v/>
      </c>
      <c r="D45" s="17" t="inlineStr">
        <is>
          <t>Середній обсяг</t>
        </is>
      </c>
      <c r="E45" s="18">
        <f>0.962791*$B$4</f>
        <v/>
      </c>
      <c r="F45" s="18">
        <f>C45*(1-$B$5)-E45</f>
        <v/>
      </c>
      <c r="G45" s="30">
        <f>F45/C45</f>
        <v/>
      </c>
    </row>
    <row r="46">
      <c r="A46" s="11" t="inlineStr"/>
      <c r="B46" s="28" t="n">
        <v>104</v>
      </c>
      <c r="C46" s="13">
        <f>B46/$B$7</f>
        <v/>
      </c>
      <c r="D46" s="11" t="inlineStr">
        <is>
          <t>Максимальний обсяг</t>
        </is>
      </c>
      <c r="E46" s="13">
        <f>0.88238*$B$4</f>
        <v/>
      </c>
      <c r="F46" s="13">
        <f>C46*(1-$B$5)-E46</f>
        <v/>
      </c>
      <c r="G46" s="29">
        <f>F46/C46</f>
        <v/>
      </c>
    </row>
    <row r="47">
      <c r="A47" s="17" t="inlineStr">
        <is>
          <t>Медіана сегмента 2 · рамен із соусом</t>
        </is>
      </c>
      <c r="B47" s="28" t="n">
        <v>100</v>
      </c>
      <c r="C47" s="18">
        <f>B47/$B$7</f>
        <v/>
      </c>
      <c r="D47" s="17" t="inlineStr">
        <is>
          <t>Мінімальний обсяг</t>
        </is>
      </c>
      <c r="E47" s="18">
        <f>1.308516*$B$4</f>
        <v/>
      </c>
      <c r="F47" s="18">
        <f>C47*(1-$B$5)-E47</f>
        <v/>
      </c>
      <c r="G47" s="30">
        <f>F47/C47</f>
        <v/>
      </c>
    </row>
    <row r="48">
      <c r="A48" s="11" t="inlineStr"/>
      <c r="B48" s="28" t="n">
        <v>100</v>
      </c>
      <c r="C48" s="13">
        <f>B48/$B$7</f>
        <v/>
      </c>
      <c r="D48" s="11" t="inlineStr">
        <is>
          <t>Середній обсяг</t>
        </is>
      </c>
      <c r="E48" s="13">
        <f>1.110912*$B$4</f>
        <v/>
      </c>
      <c r="F48" s="13">
        <f>C48*(1-$B$5)-E48</f>
        <v/>
      </c>
      <c r="G48" s="29">
        <f>F48/C48</f>
        <v/>
      </c>
    </row>
    <row r="49">
      <c r="A49" s="17" t="inlineStr"/>
      <c r="B49" s="28" t="n">
        <v>100</v>
      </c>
      <c r="C49" s="18">
        <f>B49/$B$7</f>
        <v/>
      </c>
      <c r="D49" s="17" t="inlineStr">
        <is>
          <t>Максимальний обсяг</t>
        </is>
      </c>
      <c r="E49" s="18">
        <f>1.018131*$B$4</f>
        <v/>
      </c>
      <c r="F49" s="18">
        <f>C49*(1-$B$5)-E49</f>
        <v/>
      </c>
      <c r="G49" s="30">
        <f>F49/C49</f>
        <v/>
      </c>
    </row>
    <row r="50">
      <c r="A50" s="11" t="inlineStr">
        <is>
          <t>Фактична полиця Choi’s</t>
        </is>
      </c>
      <c r="B50" s="28" t="n">
        <v>125.2</v>
      </c>
      <c r="C50" s="13">
        <f>B50/$B$7</f>
        <v/>
      </c>
      <c r="D50" s="11" t="inlineStr">
        <is>
          <t>Мінімальний обсяг</t>
        </is>
      </c>
      <c r="E50" s="13">
        <f>1.308516*$B$4</f>
        <v/>
      </c>
      <c r="F50" s="13">
        <f>C50*(1-$B$5)-E50</f>
        <v/>
      </c>
      <c r="G50" s="29">
        <f>F50/C50</f>
        <v/>
      </c>
    </row>
    <row r="51">
      <c r="A51" s="17" t="inlineStr"/>
      <c r="B51" s="28" t="n">
        <v>125.2</v>
      </c>
      <c r="C51" s="18">
        <f>B51/$B$7</f>
        <v/>
      </c>
      <c r="D51" s="17" t="inlineStr">
        <is>
          <t>Середній обсяг</t>
        </is>
      </c>
      <c r="E51" s="18">
        <f>1.110912*$B$4</f>
        <v/>
      </c>
      <c r="F51" s="18">
        <f>C51*(1-$B$5)-E51</f>
        <v/>
      </c>
      <c r="G51" s="30">
        <f>F51/C51</f>
        <v/>
      </c>
    </row>
    <row r="52">
      <c r="A52" s="11" t="inlineStr"/>
      <c r="B52" s="28" t="n">
        <v>125.2</v>
      </c>
      <c r="C52" s="13">
        <f>B52/$B$7</f>
        <v/>
      </c>
      <c r="D52" s="11" t="inlineStr">
        <is>
          <t>Максимальний обсяг</t>
        </is>
      </c>
      <c r="E52" s="13">
        <f>1.018131*$B$4</f>
        <v/>
      </c>
      <c r="F52" s="13">
        <f>C52*(1-$B$5)-E52</f>
        <v/>
      </c>
      <c r="G52" s="29">
        <f>F52/C52</f>
        <v/>
      </c>
    </row>
    <row r="53">
      <c r="A53" s="17" t="inlineStr">
        <is>
          <t>Медіана категорії</t>
        </is>
      </c>
      <c r="B53" s="28" t="n">
        <v>105</v>
      </c>
      <c r="C53" s="18">
        <f>B53/$B$7</f>
        <v/>
      </c>
      <c r="D53" s="17" t="inlineStr">
        <is>
          <t>Мінімальний обсяг</t>
        </is>
      </c>
      <c r="E53" s="18">
        <f>1.134047*$B$4</f>
        <v/>
      </c>
      <c r="F53" s="18">
        <f>C53*(1-$B$5)-E53</f>
        <v/>
      </c>
      <c r="G53" s="30">
        <f>F53/C53</f>
        <v/>
      </c>
    </row>
    <row r="54">
      <c r="A54" s="11" t="inlineStr"/>
      <c r="B54" s="28" t="n">
        <v>105</v>
      </c>
      <c r="C54" s="13">
        <f>B54/$B$7</f>
        <v/>
      </c>
      <c r="D54" s="11" t="inlineStr">
        <is>
          <t>Середній обсяг</t>
        </is>
      </c>
      <c r="E54" s="13">
        <f>0.962791*$B$4</f>
        <v/>
      </c>
      <c r="F54" s="13">
        <f>C54*(1-$B$5)-E54</f>
        <v/>
      </c>
      <c r="G54" s="29">
        <f>F54/C54</f>
        <v/>
      </c>
    </row>
    <row r="55">
      <c r="A55" s="17" t="inlineStr"/>
      <c r="B55" s="28" t="n">
        <v>105</v>
      </c>
      <c r="C55" s="18">
        <f>B55/$B$7</f>
        <v/>
      </c>
      <c r="D55" s="17" t="inlineStr">
        <is>
          <t>Максимальний обсяг</t>
        </is>
      </c>
      <c r="E55" s="18">
        <f>0.88238*$B$4</f>
        <v/>
      </c>
      <c r="F55" s="18">
        <f>C55*(1-$B$5)-E55</f>
        <v/>
      </c>
      <c r="G55" s="30">
        <f>F55/C55</f>
        <v/>
      </c>
    </row>
    <row r="58">
      <c r="A58" s="3" t="inlineStr">
        <is>
          <t>ГРОШІ НА ПАРТІЮ (за власною ціною моделі)</t>
        </is>
      </c>
    </row>
    <row r="59" ht="26" customHeight="1">
      <c r="A59" s="10" t="inlineStr">
        <is>
          <t>Обсяг поставки</t>
        </is>
      </c>
      <c r="B59" s="10" t="inlineStr">
        <is>
          <t>Пачок</t>
        </is>
      </c>
      <c r="C59" s="10" t="inlineStr">
        <is>
          <t>Маржа/пачку, грн</t>
        </is>
      </c>
      <c r="D59" s="10" t="inlineStr">
        <is>
          <t>Валова маржа, грн</t>
        </is>
      </c>
      <c r="E59" s="10" t="inlineStr">
        <is>
          <t>Оборотний капітал, грн</t>
        </is>
      </c>
      <c r="F59" s="10" t="inlineStr">
        <is>
          <t>Віддача за оборот</t>
        </is>
      </c>
    </row>
    <row r="60">
      <c r="A60" s="11" t="inlineStr">
        <is>
          <t>Мінімальний обсяг</t>
        </is>
      </c>
      <c r="B60" s="31" t="n">
        <v>9600</v>
      </c>
      <c r="C60" s="32" t="n">
        <v>15.26</v>
      </c>
      <c r="D60" s="31" t="n">
        <v>146500</v>
      </c>
      <c r="E60" s="31" t="n">
        <v>586000</v>
      </c>
      <c r="F60" s="29">
        <f>D60/E60</f>
        <v/>
      </c>
    </row>
    <row r="61">
      <c r="A61" s="17" t="inlineStr">
        <is>
          <t>Середній обсяг</t>
        </is>
      </c>
      <c r="B61" s="33" t="n">
        <v>19200</v>
      </c>
      <c r="C61" s="34" t="n">
        <v>13.27</v>
      </c>
      <c r="D61" s="33" t="n">
        <v>254800</v>
      </c>
      <c r="E61" s="33" t="n">
        <v>1019000</v>
      </c>
      <c r="F61" s="30">
        <f>D61/E61</f>
        <v/>
      </c>
    </row>
    <row r="62">
      <c r="A62" s="11" t="inlineStr">
        <is>
          <t>Максимальний обсяг</t>
        </is>
      </c>
      <c r="B62" s="31" t="n">
        <v>52800</v>
      </c>
      <c r="C62" s="32" t="n">
        <v>12.03</v>
      </c>
      <c r="D62" s="31" t="n">
        <v>635200</v>
      </c>
      <c r="E62" s="31" t="n">
        <v>2541000</v>
      </c>
      <c r="F62" s="29">
        <f>D62/E62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9" customWidth="1" min="3" max="3"/>
    <col width="13" customWidth="1" min="4" max="4"/>
    <col width="16" customWidth="1" min="5" max="5"/>
    <col width="8" customWidth="1" min="6" max="6"/>
    <col width="34" customWidth="1" min="7" max="7"/>
    <col width="10" customWidth="1" min="8" max="8"/>
    <col width="10" customWidth="1" min="9" max="9"/>
    <col width="10" customWidth="1" min="10" max="10"/>
    <col width="11" customWidth="1" min="11" max="11"/>
    <col width="52" customWidth="1" min="12" max="12"/>
  </cols>
  <sheetData>
    <row r="1">
      <c r="A1" s="1" t="inlineStr">
        <is>
          <t>Корейський рамен в Україні · 96 SKU</t>
        </is>
      </c>
    </row>
    <row r="2">
      <c r="A2" s="2" t="inlineStr">
        <is>
          <t>Зріз онлайн-каталогів 18 мереж, 29.09.2026. Ціна — роздріб за одну пачку, з ПДВ.</t>
        </is>
      </c>
    </row>
    <row r="4" ht="26" customHeight="1">
      <c r="A4" s="10" t="inlineStr">
        <is>
          <t>Бренд</t>
        </is>
      </c>
      <c r="B4" s="10" t="inlineStr">
        <is>
          <t>Назва SKU</t>
        </is>
      </c>
      <c r="C4" s="10" t="inlineStr">
        <is>
          <t>Вага, г</t>
        </is>
      </c>
      <c r="D4" s="10" t="inlineStr">
        <is>
          <t>Формат</t>
        </is>
      </c>
      <c r="E4" s="10" t="inlineStr">
        <is>
          <t>EAN</t>
        </is>
      </c>
      <c r="F4" s="10" t="inlineStr">
        <is>
          <t>Мереж</t>
        </is>
      </c>
      <c r="G4" s="10" t="inlineStr">
        <is>
          <t>Мережі</t>
        </is>
      </c>
      <c r="H4" s="10" t="inlineStr">
        <is>
          <t>Ціна мін</t>
        </is>
      </c>
      <c r="I4" s="10" t="inlineStr">
        <is>
          <t>Медіана</t>
        </is>
      </c>
      <c r="J4" s="10" t="inlineStr">
        <is>
          <t>Ціна макс</t>
        </is>
      </c>
      <c r="K4" s="10" t="inlineStr">
        <is>
          <t>грн/100 г</t>
        </is>
      </c>
      <c r="L4" s="10" t="inlineStr">
        <is>
          <t>URL</t>
        </is>
      </c>
    </row>
    <row r="5">
      <c r="A5" s="11" t="inlineStr">
        <is>
          <t>Samyang</t>
        </is>
      </c>
      <c r="B5" s="11" t="inlineStr">
        <is>
          <t>Локшина Samyang Рамен зі смаком курки дуже гостра 140г</t>
        </is>
      </c>
      <c r="C5" s="13" t="n">
        <v>140</v>
      </c>
      <c r="D5" s="11" t="inlineStr">
        <is>
          <t>пакет</t>
        </is>
      </c>
      <c r="E5" s="11" t="inlineStr">
        <is>
          <t>08801073113428</t>
        </is>
      </c>
      <c r="F5" s="11" t="n">
        <v>10</v>
      </c>
      <c r="G5" s="11" t="inlineStr">
        <is>
          <t>Ашан · ЧудоМаркет · Космос · Grono · Клас · NOVUS · Onde · Таврія В · Восторг · Зараз</t>
        </is>
      </c>
      <c r="H5" s="13" t="n">
        <v>86.2</v>
      </c>
      <c r="I5" s="13" t="n">
        <v>136.6</v>
      </c>
      <c r="J5" s="13" t="n">
        <v>151</v>
      </c>
      <c r="K5" s="13" t="n">
        <v>97.59999999999999</v>
      </c>
      <c r="L5" s="11" t="inlineStr"/>
    </row>
    <row r="6">
      <c r="A6" s="17" t="inlineStr">
        <is>
          <t>Nongshim</t>
        </is>
      </c>
      <c r="B6" s="17" t="inlineStr">
        <is>
          <t>Локшина Nongshim Kimchi Ramyun 120г</t>
        </is>
      </c>
      <c r="C6" s="18" t="n">
        <v>120</v>
      </c>
      <c r="D6" s="17" t="inlineStr">
        <is>
          <t>пакет</t>
        </is>
      </c>
      <c r="E6" s="17" t="inlineStr">
        <is>
          <t>08801043157742</t>
        </is>
      </c>
      <c r="F6" s="17" t="n">
        <v>9</v>
      </c>
      <c r="G6" s="17" t="inlineStr">
        <is>
          <t>ЧудоМаркет · Космос · Grono · Клас · METRO · NOVUS · Onde · Таврія В · Восторг</t>
        </is>
      </c>
      <c r="H6" s="18" t="n">
        <v>98.28</v>
      </c>
      <c r="I6" s="18" t="n">
        <v>118</v>
      </c>
      <c r="J6" s="18" t="n">
        <v>124</v>
      </c>
      <c r="K6" s="18" t="n">
        <v>98.3</v>
      </c>
      <c r="L6" s="17" t="inlineStr"/>
    </row>
    <row r="7">
      <c r="A7" s="11" t="inlineStr">
        <is>
          <t>Samyang</t>
        </is>
      </c>
      <c r="B7" s="11" t="inlineStr">
        <is>
          <t>Локшина Samyang Рамен гостра з сиром 130г</t>
        </is>
      </c>
      <c r="C7" s="13" t="n">
        <v>130</v>
      </c>
      <c r="D7" s="11" t="inlineStr">
        <is>
          <t>пакет</t>
        </is>
      </c>
      <c r="E7" s="11" t="inlineStr">
        <is>
          <t>08801073116474</t>
        </is>
      </c>
      <c r="F7" s="11" t="n">
        <v>9</v>
      </c>
      <c r="G7" s="11" t="inlineStr">
        <is>
          <t>ЧудоМаркет · Космос · Grono · Клас · NOVUS · Onde · Таврія В · Торба · Восторг</t>
        </is>
      </c>
      <c r="H7" s="13" t="n">
        <v>99.90000000000001</v>
      </c>
      <c r="I7" s="13" t="n">
        <v>139</v>
      </c>
      <c r="J7" s="13" t="n">
        <v>151</v>
      </c>
      <c r="K7" s="13" t="n">
        <v>106.9</v>
      </c>
      <c r="L7" s="11" t="inlineStr"/>
    </row>
    <row r="8">
      <c r="A8" s="17" t="inlineStr">
        <is>
          <t>Nongshim</t>
        </is>
      </c>
      <c r="B8" s="17" t="inlineStr">
        <is>
          <t>Локшина Nongshim Рамен зі спеціями 120г</t>
        </is>
      </c>
      <c r="C8" s="18" t="n">
        <v>120</v>
      </c>
      <c r="D8" s="17" t="inlineStr">
        <is>
          <t>пакет</t>
        </is>
      </c>
      <c r="E8" s="17" t="inlineStr">
        <is>
          <t>08801043150620</t>
        </is>
      </c>
      <c r="F8" s="17" t="n">
        <v>7</v>
      </c>
      <c r="G8" s="17" t="inlineStr">
        <is>
          <t>Космос · Клас · METRO · NOVUS · Onde · Таврія В · Восторг</t>
        </is>
      </c>
      <c r="H8" s="18" t="n">
        <v>98.28</v>
      </c>
      <c r="I8" s="18" t="n">
        <v>117</v>
      </c>
      <c r="J8" s="18" t="n">
        <v>129</v>
      </c>
      <c r="K8" s="18" t="n">
        <v>97.5</v>
      </c>
      <c r="L8" s="17" t="inlineStr"/>
    </row>
    <row r="9">
      <c r="A9" s="11" t="inlineStr">
        <is>
          <t>Samyang</t>
        </is>
      </c>
      <c r="B9" s="11" t="inlineStr">
        <is>
          <t>Локшина Samyang Buldak Рамен з гострою тушкованою куркою 145г</t>
        </is>
      </c>
      <c r="C9" s="13" t="n">
        <v>145</v>
      </c>
      <c r="D9" s="11" t="inlineStr">
        <is>
          <t>пакет</t>
        </is>
      </c>
      <c r="E9" s="11" t="inlineStr">
        <is>
          <t>08801073113381</t>
        </is>
      </c>
      <c r="F9" s="11" t="n">
        <v>7</v>
      </c>
      <c r="G9" s="11" t="inlineStr">
        <is>
          <t>Ашан · ЧудоМаркет · Космос · Grono · NOVUS · Onde · Таврія В</t>
        </is>
      </c>
      <c r="H9" s="13" t="n">
        <v>93.5</v>
      </c>
      <c r="I9" s="13" t="n">
        <v>135.4</v>
      </c>
      <c r="J9" s="13" t="n">
        <v>184</v>
      </c>
      <c r="K9" s="13" t="n">
        <v>93.40000000000001</v>
      </c>
      <c r="L9" s="11" t="inlineStr"/>
    </row>
    <row r="10">
      <c r="A10" s="17" t="inlineStr">
        <is>
          <t>Samyang</t>
        </is>
      </c>
      <c r="B10" s="17" t="inlineStr">
        <is>
          <t>Лапша Samyang Рамен зі смаком курки гостра 140г</t>
        </is>
      </c>
      <c r="C10" s="18" t="n">
        <v>140</v>
      </c>
      <c r="D10" s="17" t="inlineStr">
        <is>
          <t>пакет</t>
        </is>
      </c>
      <c r="E10" s="17" t="inlineStr">
        <is>
          <t>08801073110502</t>
        </is>
      </c>
      <c r="F10" s="17" t="n">
        <v>7</v>
      </c>
      <c r="G10" s="17" t="inlineStr">
        <is>
          <t>Ашан · Космос · Grono · Onde · Таврія В · Торба · Зараз</t>
        </is>
      </c>
      <c r="H10" s="18" t="n">
        <v>92.90000000000001</v>
      </c>
      <c r="I10" s="18" t="n">
        <v>137.8</v>
      </c>
      <c r="J10" s="18" t="n">
        <v>156</v>
      </c>
      <c r="K10" s="18" t="n">
        <v>98.40000000000001</v>
      </c>
      <c r="L10" s="17" t="inlineStr"/>
    </row>
    <row r="11">
      <c r="A11" s="11" t="inlineStr">
        <is>
          <t>Nongshim</t>
        </is>
      </c>
      <c r="B11" s="11" t="inlineStr">
        <is>
          <t>Локшина Nongshim Toomba Spicy&amp;Creamy Stir-Fry вершково-гостра 137г</t>
        </is>
      </c>
      <c r="C11" s="13" t="n">
        <v>137</v>
      </c>
      <c r="D11" s="11" t="inlineStr">
        <is>
          <t>пакет</t>
        </is>
      </c>
      <c r="E11" s="11" t="inlineStr">
        <is>
          <t>08801043018470</t>
        </is>
      </c>
      <c r="F11" s="11" t="n">
        <v>7</v>
      </c>
      <c r="G11" s="11" t="inlineStr">
        <is>
          <t>Ашан · ЧудоМаркет · Grono · Клас · NOVUS · Onde · Восторг</t>
        </is>
      </c>
      <c r="H11" s="13" t="n">
        <v>131.1</v>
      </c>
      <c r="I11" s="13" t="n">
        <v>149</v>
      </c>
      <c r="J11" s="13" t="n">
        <v>154</v>
      </c>
      <c r="K11" s="13" t="n">
        <v>108.8</v>
      </c>
      <c r="L11" s="11" t="inlineStr"/>
    </row>
    <row r="12">
      <c r="A12" s="17" t="inlineStr">
        <is>
          <t>Samyang</t>
        </is>
      </c>
      <c r="B12" s="17" t="inlineStr">
        <is>
          <t>Локшина Рамен Samyang Buldak Hot Chicken 70г</t>
        </is>
      </c>
      <c r="C12" s="18" t="n">
        <v>70</v>
      </c>
      <c r="D12" s="17" t="inlineStr">
        <is>
          <t>пакет</t>
        </is>
      </c>
      <c r="E12" s="17" t="inlineStr">
        <is>
          <t>08801073210776</t>
        </is>
      </c>
      <c r="F12" s="17" t="n">
        <v>6</v>
      </c>
      <c r="G12" s="17" t="inlineStr">
        <is>
          <t>Космос · Grono · Клас · Onde · Таврія В · Восторг</t>
        </is>
      </c>
      <c r="H12" s="18" t="n">
        <v>33.9</v>
      </c>
      <c r="I12" s="18" t="n">
        <v>102.05</v>
      </c>
      <c r="J12" s="18" t="n">
        <v>149</v>
      </c>
      <c r="K12" s="18" t="n">
        <v>145.8</v>
      </c>
      <c r="L12" s="17" t="inlineStr"/>
    </row>
    <row r="13">
      <c r="A13" s="11" t="inlineStr">
        <is>
          <t>Nongshim</t>
        </is>
      </c>
      <c r="B13" s="11" t="inlineStr">
        <is>
          <t>Локшина Nongshim Chapaghetti 140г</t>
        </is>
      </c>
      <c r="C13" s="13" t="n">
        <v>140</v>
      </c>
      <c r="D13" s="11" t="inlineStr">
        <is>
          <t>пакет</t>
        </is>
      </c>
      <c r="E13" s="11" t="inlineStr">
        <is>
          <t>08801043157728</t>
        </is>
      </c>
      <c r="F13" s="11" t="n">
        <v>6</v>
      </c>
      <c r="G13" s="11" t="inlineStr">
        <is>
          <t>Ашан · Клас · METRO · NOVUS · Onde · Восторг</t>
        </is>
      </c>
      <c r="H13" s="13" t="n">
        <v>89</v>
      </c>
      <c r="I13" s="13" t="n">
        <v>120</v>
      </c>
      <c r="J13" s="13" t="n">
        <v>136</v>
      </c>
      <c r="K13" s="13" t="n">
        <v>85.7</v>
      </c>
      <c r="L13" s="11" t="inlineStr"/>
    </row>
    <row r="14">
      <c r="A14" s="17" t="inlineStr">
        <is>
          <t>Ottogi</t>
        </is>
      </c>
      <c r="B14" s="17" t="inlineStr">
        <is>
          <t>Локшина Ottogi Рамен середньогостра 120г</t>
        </is>
      </c>
      <c r="C14" s="18" t="n">
        <v>120</v>
      </c>
      <c r="D14" s="17" t="inlineStr">
        <is>
          <t>пакет</t>
        </is>
      </c>
      <c r="E14" s="17" t="inlineStr">
        <is>
          <t>08801045999906</t>
        </is>
      </c>
      <c r="F14" s="17" t="n">
        <v>5</v>
      </c>
      <c r="G14" s="17" t="inlineStr">
        <is>
          <t>Ашан · Космос · Grono · Таврія В · Зараз</t>
        </is>
      </c>
      <c r="H14" s="18" t="n">
        <v>67</v>
      </c>
      <c r="I14" s="18" t="n">
        <v>92.7</v>
      </c>
      <c r="J14" s="18" t="n">
        <v>101</v>
      </c>
      <c r="K14" s="18" t="n">
        <v>77.3</v>
      </c>
      <c r="L14" s="17" t="inlineStr"/>
    </row>
    <row r="15">
      <c r="A15" s="11" t="inlineStr">
        <is>
          <t>Nongshim</t>
        </is>
      </c>
      <c r="B15" s="11" t="inlineStr">
        <is>
          <t>Лапша Nongshim з морепродуктами середньогостра 120г</t>
        </is>
      </c>
      <c r="C15" s="13" t="n">
        <v>120</v>
      </c>
      <c r="D15" s="11" t="inlineStr">
        <is>
          <t>пакет</t>
        </is>
      </c>
      <c r="E15" s="11" t="inlineStr">
        <is>
          <t>08801043157773</t>
        </is>
      </c>
      <c r="F15" s="11" t="n">
        <v>5</v>
      </c>
      <c r="G15" s="11" t="inlineStr">
        <is>
          <t>Ашан · Клас · METRO · Onde · Восторг</t>
        </is>
      </c>
      <c r="H15" s="13" t="n">
        <v>84.90000000000001</v>
      </c>
      <c r="I15" s="13" t="n">
        <v>113.6</v>
      </c>
      <c r="J15" s="13" t="n">
        <v>125</v>
      </c>
      <c r="K15" s="13" t="n">
        <v>94.7</v>
      </c>
      <c r="L15" s="11" t="inlineStr"/>
    </row>
    <row r="16">
      <c r="A16" s="17" t="inlineStr">
        <is>
          <t>Ottogi</t>
        </is>
      </c>
      <c r="B16" s="17" t="inlineStr">
        <is>
          <t>Локшина Ottogi Kimchi Ramen 120г</t>
        </is>
      </c>
      <c r="C16" s="18" t="n">
        <v>120</v>
      </c>
      <c r="D16" s="17" t="inlineStr">
        <is>
          <t>пакет</t>
        </is>
      </c>
      <c r="E16" s="17" t="inlineStr">
        <is>
          <t>08801045521312</t>
        </is>
      </c>
      <c r="F16" s="17" t="n">
        <v>4</v>
      </c>
      <c r="G16" s="17" t="inlineStr">
        <is>
          <t>Ашан · Космос · Таврія В · Зараз</t>
        </is>
      </c>
      <c r="H16" s="18" t="n">
        <v>67</v>
      </c>
      <c r="I16" s="18" t="n">
        <v>76.90000000000001</v>
      </c>
      <c r="J16" s="18" t="n">
        <v>84.90000000000001</v>
      </c>
      <c r="K16" s="18" t="n">
        <v>64.09999999999999</v>
      </c>
      <c r="L16" s="17" t="inlineStr"/>
    </row>
    <row r="17">
      <c r="A17" s="11" t="inlineStr">
        <is>
          <t>Samyang</t>
        </is>
      </c>
      <c r="B17" s="11" t="inlineStr">
        <is>
          <t>Локшина Рамен Samyang Buldak Hot Chicken сир 70г</t>
        </is>
      </c>
      <c r="C17" s="13" t="n">
        <v>70</v>
      </c>
      <c r="D17" s="11" t="inlineStr">
        <is>
          <t>пакет</t>
        </is>
      </c>
      <c r="E17" s="11" t="inlineStr">
        <is>
          <t>08801073211254</t>
        </is>
      </c>
      <c r="F17" s="11" t="n">
        <v>4</v>
      </c>
      <c r="G17" s="11" t="inlineStr">
        <is>
          <t>Космос · Клас · Таврія В · Восторг</t>
        </is>
      </c>
      <c r="H17" s="13" t="n">
        <v>137</v>
      </c>
      <c r="I17" s="13" t="n">
        <v>143.45</v>
      </c>
      <c r="J17" s="13" t="n">
        <v>149.9</v>
      </c>
      <c r="K17" s="13" t="n">
        <v>204.9</v>
      </c>
      <c r="L17" s="11" t="inlineStr"/>
    </row>
    <row r="18">
      <c r="A18" s="17" t="inlineStr">
        <is>
          <t>Paldo</t>
        </is>
      </c>
      <c r="B18" s="17" t="inlineStr">
        <is>
          <t>Локшина Paldo Bibim Men швидкого приготування в корейському стилі 130г</t>
        </is>
      </c>
      <c r="C18" s="18" t="n">
        <v>130</v>
      </c>
      <c r="D18" s="17" t="inlineStr">
        <is>
          <t>пакет</t>
        </is>
      </c>
      <c r="E18" s="17" t="inlineStr">
        <is>
          <t>00648436100057</t>
        </is>
      </c>
      <c r="F18" s="17" t="n">
        <v>3</v>
      </c>
      <c r="G18" s="17" t="inlineStr">
        <is>
          <t>ЧудоМаркет · Grono · NOVUS</t>
        </is>
      </c>
      <c r="H18" s="18" t="n">
        <v>72</v>
      </c>
      <c r="I18" s="18" t="n">
        <v>99.90000000000001</v>
      </c>
      <c r="J18" s="18" t="n">
        <v>124</v>
      </c>
      <c r="K18" s="18" t="n">
        <v>76.8</v>
      </c>
      <c r="L18" s="17" t="inlineStr"/>
    </row>
    <row r="19">
      <c r="A19" s="11" t="inlineStr">
        <is>
          <t>Samyang</t>
        </is>
      </c>
      <c r="B19" s="11" t="inlineStr">
        <is>
          <t>Макаронні вироби Samyang Ramen локшина зі смаком курки з лаймом 135г</t>
        </is>
      </c>
      <c r="C19" s="13" t="n">
        <v>135</v>
      </c>
      <c r="D19" s="11" t="inlineStr">
        <is>
          <t>пакет</t>
        </is>
      </c>
      <c r="E19" s="11" t="inlineStr">
        <is>
          <t>08801073115514</t>
        </is>
      </c>
      <c r="F19" s="11" t="n">
        <v>3</v>
      </c>
      <c r="G19" s="11" t="inlineStr">
        <is>
          <t>Ашан · Grono · Зараз</t>
        </is>
      </c>
      <c r="H19" s="13" t="n">
        <v>108.5</v>
      </c>
      <c r="I19" s="13" t="n">
        <v>111.5</v>
      </c>
      <c r="J19" s="13" t="n">
        <v>169</v>
      </c>
      <c r="K19" s="13" t="n">
        <v>82.59999999999999</v>
      </c>
      <c r="L19" s="11" t="inlineStr"/>
    </row>
    <row r="20">
      <c r="A20" s="17" t="inlineStr">
        <is>
          <t>Paldo</t>
        </is>
      </c>
      <c r="B20" s="17" t="inlineStr">
        <is>
          <t>Локшина Paldo Volcano Carbonara куряча швидкого приготування 130г</t>
        </is>
      </c>
      <c r="C20" s="18" t="n">
        <v>130</v>
      </c>
      <c r="D20" s="17" t="inlineStr">
        <is>
          <t>пакет</t>
        </is>
      </c>
      <c r="E20" s="17" t="inlineStr">
        <is>
          <t>00648436310685</t>
        </is>
      </c>
      <c r="F20" s="17" t="n">
        <v>3</v>
      </c>
      <c r="G20" s="17" t="inlineStr">
        <is>
          <t>Ашан · Grono · Onde</t>
        </is>
      </c>
      <c r="H20" s="18" t="n">
        <v>105.3</v>
      </c>
      <c r="I20" s="18" t="n">
        <v>113.6</v>
      </c>
      <c r="J20" s="18" t="n">
        <v>121</v>
      </c>
      <c r="K20" s="18" t="n">
        <v>87.40000000000001</v>
      </c>
      <c r="L20" s="17" t="inlineStr"/>
    </row>
    <row r="21">
      <c r="A21" s="11" t="inlineStr">
        <is>
          <t>Paldo</t>
        </is>
      </c>
      <c r="B21" s="11" t="inlineStr">
        <is>
          <t>Локшина Paldo Volcano Chicken з куркою дуже гостра швидкого приготування 140г</t>
        </is>
      </c>
      <c r="C21" s="13" t="n">
        <v>140</v>
      </c>
      <c r="D21" s="11" t="inlineStr">
        <is>
          <t>пакет</t>
        </is>
      </c>
      <c r="E21" s="11" t="inlineStr">
        <is>
          <t>00648436101276</t>
        </is>
      </c>
      <c r="F21" s="11" t="n">
        <v>3</v>
      </c>
      <c r="G21" s="11" t="inlineStr">
        <is>
          <t>Ашан · Grono · Onde</t>
        </is>
      </c>
      <c r="H21" s="13" t="n">
        <v>83.59999999999999</v>
      </c>
      <c r="I21" s="13" t="n">
        <v>123</v>
      </c>
      <c r="J21" s="13" t="n">
        <v>123.2</v>
      </c>
      <c r="K21" s="13" t="n">
        <v>87.90000000000001</v>
      </c>
      <c r="L21" s="11" t="inlineStr"/>
    </row>
    <row r="22">
      <c r="A22" s="17" t="inlineStr">
        <is>
          <t>Nongshim</t>
        </is>
      </c>
      <c r="B22" s="17" t="inlineStr">
        <is>
          <t>Локшина Nong Shim з морепродуктами 125г</t>
        </is>
      </c>
      <c r="C22" s="18" t="n">
        <v>125</v>
      </c>
      <c r="D22" s="17" t="inlineStr">
        <is>
          <t>пакет</t>
        </is>
      </c>
      <c r="E22" s="17" t="inlineStr">
        <is>
          <t>08801043157766</t>
        </is>
      </c>
      <c r="F22" s="17" t="n">
        <v>3</v>
      </c>
      <c r="G22" s="17" t="inlineStr">
        <is>
          <t>Клас · Onde · Восторг</t>
        </is>
      </c>
      <c r="H22" s="18" t="n">
        <v>125</v>
      </c>
      <c r="I22" s="18" t="n">
        <v>125</v>
      </c>
      <c r="J22" s="18" t="n">
        <v>135.2</v>
      </c>
      <c r="K22" s="18" t="n">
        <v>100</v>
      </c>
      <c r="L22" s="17" t="inlineStr"/>
    </row>
    <row r="23">
      <c r="A23" s="11" t="inlineStr">
        <is>
          <t>Nongshim</t>
        </is>
      </c>
      <c r="B23" s="11" t="inlineStr">
        <is>
          <t>Локшина Nongshim Kimchi Shin Ramyun Cup Noodle Soup 75г</t>
        </is>
      </c>
      <c r="C23" s="13" t="n">
        <v>75</v>
      </c>
      <c r="D23" s="11" t="inlineStr">
        <is>
          <t>стакан/боул</t>
        </is>
      </c>
      <c r="E23" s="11" t="inlineStr">
        <is>
          <t>08801043028158</t>
        </is>
      </c>
      <c r="F23" s="11" t="n">
        <v>3</v>
      </c>
      <c r="G23" s="11" t="inlineStr">
        <is>
          <t>Grono · METRO · Onde</t>
        </is>
      </c>
      <c r="H23" s="13" t="n">
        <v>100.44</v>
      </c>
      <c r="I23" s="13" t="n">
        <v>145</v>
      </c>
      <c r="J23" s="13" t="n">
        <v>157.9</v>
      </c>
      <c r="K23" s="13" t="n">
        <v>193.3</v>
      </c>
      <c r="L23" s="11" t="inlineStr"/>
    </row>
    <row r="24">
      <c r="A24" s="17" t="inlineStr">
        <is>
          <t>Samyang</t>
        </is>
      </c>
      <c r="B24" s="17" t="inlineStr">
        <is>
          <t>Локшина Samyang Tangle зі смаком вершкових грибів 105г</t>
        </is>
      </c>
      <c r="C24" s="18" t="n">
        <v>105</v>
      </c>
      <c r="D24" s="17" t="inlineStr">
        <is>
          <t>пакет</t>
        </is>
      </c>
      <c r="E24" s="17" t="inlineStr">
        <is>
          <t>08801073116832</t>
        </is>
      </c>
      <c r="F24" s="17" t="n">
        <v>3</v>
      </c>
      <c r="G24" s="17" t="inlineStr">
        <is>
          <t>Клас · Onde · Восторг</t>
        </is>
      </c>
      <c r="H24" s="18" t="n">
        <v>77.5</v>
      </c>
      <c r="I24" s="18" t="n">
        <v>157</v>
      </c>
      <c r="J24" s="18" t="n">
        <v>157</v>
      </c>
      <c r="K24" s="18" t="n">
        <v>149.5</v>
      </c>
      <c r="L24" s="17" t="inlineStr"/>
    </row>
    <row r="25">
      <c r="A25" s="11" t="inlineStr">
        <is>
          <t>Samyang</t>
        </is>
      </c>
      <c r="B25" s="11" t="inlineStr">
        <is>
          <t>Локшина Samyang Tangle зі смаком часникової олії 105г</t>
        </is>
      </c>
      <c r="C25" s="13" t="n">
        <v>105</v>
      </c>
      <c r="D25" s="11" t="inlineStr">
        <is>
          <t>пакет</t>
        </is>
      </c>
      <c r="E25" s="11" t="inlineStr">
        <is>
          <t>08801073116849</t>
        </is>
      </c>
      <c r="F25" s="11" t="n">
        <v>3</v>
      </c>
      <c r="G25" s="11" t="inlineStr">
        <is>
          <t>Клас · Onde · Восторг</t>
        </is>
      </c>
      <c r="H25" s="13" t="n">
        <v>77.5</v>
      </c>
      <c r="I25" s="13" t="n">
        <v>157</v>
      </c>
      <c r="J25" s="13" t="n">
        <v>157</v>
      </c>
      <c r="K25" s="13" t="n">
        <v>149.5</v>
      </c>
      <c r="L25" s="11" t="inlineStr"/>
    </row>
    <row r="26">
      <c r="A26" s="17" t="inlineStr">
        <is>
          <t>O'Food</t>
        </is>
      </c>
      <c r="B26" s="17" t="inlineStr">
        <is>
          <t>Макаронні вироби O'Food Кімчі Рамен локшина 144г</t>
        </is>
      </c>
      <c r="C26" s="18" t="n">
        <v>144</v>
      </c>
      <c r="D26" s="17" t="inlineStr">
        <is>
          <t>пакет</t>
        </is>
      </c>
      <c r="E26" s="17" t="inlineStr">
        <is>
          <t>08801052114569</t>
        </is>
      </c>
      <c r="F26" s="17" t="n">
        <v>2</v>
      </c>
      <c r="G26" s="17" t="inlineStr">
        <is>
          <t>Ашан · Зараз</t>
        </is>
      </c>
      <c r="H26" s="18" t="n">
        <v>67.90000000000001</v>
      </c>
      <c r="I26" s="18" t="n">
        <v>69.95</v>
      </c>
      <c r="J26" s="18" t="n">
        <v>72</v>
      </c>
      <c r="K26" s="18" t="n">
        <v>48.6</v>
      </c>
      <c r="L26" s="17" t="inlineStr"/>
    </row>
    <row r="27">
      <c r="A27" s="11" t="inlineStr">
        <is>
          <t>Samyang</t>
        </is>
      </c>
      <c r="B27" s="11" t="inlineStr">
        <is>
          <t>Локшина Samyang Ramen Кімчі 80г</t>
        </is>
      </c>
      <c r="C27" s="13" t="n">
        <v>80</v>
      </c>
      <c r="D27" s="11" t="inlineStr">
        <is>
          <t>пакет</t>
        </is>
      </c>
      <c r="E27" s="11" t="inlineStr">
        <is>
          <t>08801073114029</t>
        </is>
      </c>
      <c r="F27" s="11" t="n">
        <v>2</v>
      </c>
      <c r="G27" s="11" t="inlineStr">
        <is>
          <t>Ашан · Onde</t>
        </is>
      </c>
      <c r="H27" s="13" t="n">
        <v>65.09999999999999</v>
      </c>
      <c r="I27" s="13" t="n">
        <v>75.75</v>
      </c>
      <c r="J27" s="13" t="n">
        <v>86.40000000000001</v>
      </c>
      <c r="K27" s="13" t="n">
        <v>94.7</v>
      </c>
      <c r="L27" s="11" t="inlineStr"/>
    </row>
    <row r="28">
      <c r="A28" s="17" t="inlineStr">
        <is>
          <t>O'Food</t>
        </is>
      </c>
      <c r="B28" s="17" t="inlineStr">
        <is>
          <t>Макаронні вироби O'Food Кімчі Рамен 129г</t>
        </is>
      </c>
      <c r="C28" s="18" t="n">
        <v>129</v>
      </c>
      <c r="D28" s="17" t="inlineStr">
        <is>
          <t>пакет</t>
        </is>
      </c>
      <c r="E28" s="17" t="inlineStr">
        <is>
          <t>08801052114385</t>
        </is>
      </c>
      <c r="F28" s="17" t="n">
        <v>2</v>
      </c>
      <c r="G28" s="17" t="inlineStr">
        <is>
          <t>Ашан · Зараз</t>
        </is>
      </c>
      <c r="H28" s="18" t="n">
        <v>74.5</v>
      </c>
      <c r="I28" s="18" t="n">
        <v>77</v>
      </c>
      <c r="J28" s="18" t="n">
        <v>79.5</v>
      </c>
      <c r="K28" s="18" t="n">
        <v>59.7</v>
      </c>
      <c r="L28" s="17" t="inlineStr"/>
    </row>
    <row r="29">
      <c r="A29" s="11" t="inlineStr">
        <is>
          <t>O'Food</t>
        </is>
      </c>
      <c r="B29" s="11" t="inlineStr">
        <is>
          <t>Макаронні вироби O'Food Сівід Рамен 103г</t>
        </is>
      </c>
      <c r="C29" s="13" t="n">
        <v>103</v>
      </c>
      <c r="D29" s="11" t="inlineStr">
        <is>
          <t>пакет</t>
        </is>
      </c>
      <c r="E29" s="11" t="inlineStr">
        <is>
          <t>08801052114545</t>
        </is>
      </c>
      <c r="F29" s="11" t="n">
        <v>2</v>
      </c>
      <c r="G29" s="11" t="inlineStr">
        <is>
          <t>Ашан · Зараз</t>
        </is>
      </c>
      <c r="H29" s="13" t="n">
        <v>74.5</v>
      </c>
      <c r="I29" s="13" t="n">
        <v>77</v>
      </c>
      <c r="J29" s="13" t="n">
        <v>79.5</v>
      </c>
      <c r="K29" s="13" t="n">
        <v>74.8</v>
      </c>
      <c r="L29" s="11" t="inlineStr"/>
    </row>
    <row r="30">
      <c r="A30" s="17" t="inlineStr">
        <is>
          <t>O'Food</t>
        </is>
      </c>
      <c r="B30" s="17" t="inlineStr">
        <is>
          <t>Макаронні вироби O'Food Рамен смак моректродуктів 102г</t>
        </is>
      </c>
      <c r="C30" s="18" t="n">
        <v>102</v>
      </c>
      <c r="D30" s="17" t="inlineStr">
        <is>
          <t>пакет</t>
        </is>
      </c>
      <c r="E30" s="17" t="inlineStr">
        <is>
          <t>08801052114552</t>
        </is>
      </c>
      <c r="F30" s="17" t="n">
        <v>2</v>
      </c>
      <c r="G30" s="17" t="inlineStr">
        <is>
          <t>Ашан · Зараз</t>
        </is>
      </c>
      <c r="H30" s="18" t="n">
        <v>74.5</v>
      </c>
      <c r="I30" s="18" t="n">
        <v>79.5</v>
      </c>
      <c r="J30" s="18" t="n">
        <v>84.5</v>
      </c>
      <c r="K30" s="18" t="n">
        <v>77.90000000000001</v>
      </c>
      <c r="L30" s="17" t="inlineStr"/>
    </row>
    <row r="31">
      <c r="A31" s="11" t="inlineStr">
        <is>
          <t>Samyang</t>
        </is>
      </c>
      <c r="B31" s="11" t="inlineStr">
        <is>
          <t>Локшина Samyang Topokki Рамен 80г</t>
        </is>
      </c>
      <c r="C31" s="13" t="n">
        <v>80</v>
      </c>
      <c r="D31" s="11" t="inlineStr">
        <is>
          <t>пакет</t>
        </is>
      </c>
      <c r="E31" s="11" t="inlineStr">
        <is>
          <t>08801073114036</t>
        </is>
      </c>
      <c r="F31" s="11" t="n">
        <v>2</v>
      </c>
      <c r="G31" s="11" t="inlineStr">
        <is>
          <t>Ашан · Onde</t>
        </is>
      </c>
      <c r="H31" s="13" t="n">
        <v>65.09999999999999</v>
      </c>
      <c r="I31" s="13" t="n">
        <v>84.34999999999999</v>
      </c>
      <c r="J31" s="13" t="n">
        <v>103.6</v>
      </c>
      <c r="K31" s="13" t="n">
        <v>105.4</v>
      </c>
      <c r="L31" s="11" t="inlineStr"/>
    </row>
    <row r="32">
      <c r="A32" s="17" t="inlineStr">
        <is>
          <t>Nongshim</t>
        </is>
      </c>
      <c r="B32" s="17" t="inlineStr">
        <is>
          <t>Локшина Nongshim Soon Veggie Ramyun овочева 112г</t>
        </is>
      </c>
      <c r="C32" s="18" t="n">
        <v>112</v>
      </c>
      <c r="D32" s="17" t="inlineStr">
        <is>
          <t>пакет</t>
        </is>
      </c>
      <c r="E32" s="17" t="inlineStr">
        <is>
          <t>08801043022705</t>
        </is>
      </c>
      <c r="F32" s="17" t="n">
        <v>2</v>
      </c>
      <c r="G32" s="17" t="inlineStr">
        <is>
          <t>Ашан · Onde</t>
        </is>
      </c>
      <c r="H32" s="18" t="n">
        <v>73.5</v>
      </c>
      <c r="I32" s="18" t="n">
        <v>87.90000000000001</v>
      </c>
      <c r="J32" s="18" t="n">
        <v>102.3</v>
      </c>
      <c r="K32" s="18" t="n">
        <v>78.5</v>
      </c>
      <c r="L32" s="17" t="inlineStr"/>
    </row>
    <row r="33">
      <c r="A33" s="11" t="inlineStr">
        <is>
          <t>Paldo</t>
        </is>
      </c>
      <c r="B33" s="11" t="inlineStr">
        <is>
          <t>Локшина Paldo Hwa Ramyun з гострим перцем швидкого приготування 120г</t>
        </is>
      </c>
      <c r="C33" s="13" t="n">
        <v>120</v>
      </c>
      <c r="D33" s="11" t="inlineStr">
        <is>
          <t>пакет</t>
        </is>
      </c>
      <c r="E33" s="11" t="inlineStr">
        <is>
          <t>00648436100422</t>
        </is>
      </c>
      <c r="F33" s="11" t="n">
        <v>2</v>
      </c>
      <c r="G33" s="11" t="inlineStr">
        <is>
          <t>Ашан · Grono</t>
        </is>
      </c>
      <c r="H33" s="13" t="n">
        <v>87</v>
      </c>
      <c r="I33" s="13" t="n">
        <v>89.95</v>
      </c>
      <c r="J33" s="13" t="n">
        <v>92.90000000000001</v>
      </c>
      <c r="K33" s="13" t="n">
        <v>75</v>
      </c>
      <c r="L33" s="11" t="inlineStr"/>
    </row>
    <row r="34">
      <c r="A34" s="17" t="inlineStr">
        <is>
          <t>Ottogi</t>
        </is>
      </c>
      <c r="B34" s="17" t="inlineStr">
        <is>
          <t>Локшина OTTOGI Jin рамен гостра 120г</t>
        </is>
      </c>
      <c r="C34" s="18" t="n">
        <v>120</v>
      </c>
      <c r="D34" s="17" t="inlineStr">
        <is>
          <t>пакет</t>
        </is>
      </c>
      <c r="E34" s="17" t="inlineStr">
        <is>
          <t>08801045999913</t>
        </is>
      </c>
      <c r="F34" s="17" t="n">
        <v>2</v>
      </c>
      <c r="G34" s="17" t="inlineStr">
        <is>
          <t>Космос · Таврія В</t>
        </is>
      </c>
      <c r="H34" s="18" t="n">
        <v>92.7</v>
      </c>
      <c r="I34" s="18" t="n">
        <v>92.7</v>
      </c>
      <c r="J34" s="18" t="n">
        <v>92.7</v>
      </c>
      <c r="K34" s="18" t="n">
        <v>77.3</v>
      </c>
      <c r="L34" s="17" t="inlineStr"/>
    </row>
    <row r="35">
      <c r="A35" s="11" t="inlineStr">
        <is>
          <t>Paldo</t>
        </is>
      </c>
      <c r="B35" s="11" t="inlineStr">
        <is>
          <t>Локшина Paldo Spicy Zanmang Loopy з бобами гостра 110г</t>
        </is>
      </c>
      <c r="C35" s="13" t="n">
        <v>110</v>
      </c>
      <c r="D35" s="11" t="inlineStr">
        <is>
          <t>пакет</t>
        </is>
      </c>
      <c r="E35" s="11" t="inlineStr">
        <is>
          <t>00648436310777</t>
        </is>
      </c>
      <c r="F35" s="11" t="n">
        <v>2</v>
      </c>
      <c r="G35" s="11" t="inlineStr">
        <is>
          <t>Ашан · Grono</t>
        </is>
      </c>
      <c r="H35" s="13" t="n">
        <v>75.90000000000001</v>
      </c>
      <c r="I35" s="13" t="n">
        <v>94.45</v>
      </c>
      <c r="J35" s="13" t="n">
        <v>113</v>
      </c>
      <c r="K35" s="13" t="n">
        <v>85.90000000000001</v>
      </c>
      <c r="L35" s="11" t="inlineStr"/>
    </row>
    <row r="36">
      <c r="A36" s="17" t="inlineStr">
        <is>
          <t>Paldo</t>
        </is>
      </c>
      <c r="B36" s="17" t="inlineStr">
        <is>
          <t>Локшина Paldo Zanmang Loopy оригінальна 110г</t>
        </is>
      </c>
      <c r="C36" s="18" t="n">
        <v>110</v>
      </c>
      <c r="D36" s="17" t="inlineStr">
        <is>
          <t>пакет</t>
        </is>
      </c>
      <c r="E36" s="17" t="inlineStr">
        <is>
          <t>00648436310746</t>
        </is>
      </c>
      <c r="F36" s="17" t="n">
        <v>2</v>
      </c>
      <c r="G36" s="17" t="inlineStr">
        <is>
          <t>Ашан · Grono</t>
        </is>
      </c>
      <c r="H36" s="18" t="n">
        <v>75.90000000000001</v>
      </c>
      <c r="I36" s="18" t="n">
        <v>94.45</v>
      </c>
      <c r="J36" s="18" t="n">
        <v>113</v>
      </c>
      <c r="K36" s="18" t="n">
        <v>85.90000000000001</v>
      </c>
      <c r="L36" s="17" t="inlineStr"/>
    </row>
    <row r="37">
      <c r="A37" s="11" t="inlineStr">
        <is>
          <t>Nongshim</t>
        </is>
      </c>
      <c r="B37" s="11" t="inlineStr">
        <is>
          <t>Локшина Nongshim AnSungTangMyun з грибами та водоростями 125г</t>
        </is>
      </c>
      <c r="C37" s="13" t="n">
        <v>125</v>
      </c>
      <c r="D37" s="11" t="inlineStr">
        <is>
          <t>пакет</t>
        </is>
      </c>
      <c r="E37" s="11" t="inlineStr">
        <is>
          <t>08801043157735</t>
        </is>
      </c>
      <c r="F37" s="11" t="n">
        <v>2</v>
      </c>
      <c r="G37" s="11" t="inlineStr">
        <is>
          <t>Ашан · Onde</t>
        </is>
      </c>
      <c r="H37" s="13" t="n">
        <v>73.5</v>
      </c>
      <c r="I37" s="13" t="n">
        <v>97.95</v>
      </c>
      <c r="J37" s="13" t="n">
        <v>122.4</v>
      </c>
      <c r="K37" s="13" t="n">
        <v>78.40000000000001</v>
      </c>
      <c r="L37" s="11" t="inlineStr"/>
    </row>
    <row r="38">
      <c r="A38" s="17" t="inlineStr">
        <is>
          <t>Samyang</t>
        </is>
      </c>
      <c r="B38" s="17" t="inlineStr">
        <is>
          <t>Лапша рамен Samyang Chacharoni зі смаком чорних бобів 140г</t>
        </is>
      </c>
      <c r="C38" s="18" t="n">
        <v>140</v>
      </c>
      <c r="D38" s="17" t="inlineStr">
        <is>
          <t>пакет</t>
        </is>
      </c>
      <c r="E38" s="17" t="inlineStr">
        <is>
          <t>00074603005922</t>
        </is>
      </c>
      <c r="F38" s="17" t="n">
        <v>2</v>
      </c>
      <c r="G38" s="17" t="inlineStr">
        <is>
          <t>Ашан · Зараз</t>
        </is>
      </c>
      <c r="H38" s="18" t="n">
        <v>90.5</v>
      </c>
      <c r="I38" s="18" t="n">
        <v>102.8</v>
      </c>
      <c r="J38" s="18" t="n">
        <v>115.1</v>
      </c>
      <c r="K38" s="18" t="n">
        <v>73.40000000000001</v>
      </c>
      <c r="L38" s="17" t="inlineStr"/>
    </row>
    <row r="39">
      <c r="A39" s="11" t="inlineStr">
        <is>
          <t>Nongshim</t>
        </is>
      </c>
      <c r="B39" s="11" t="inlineStr">
        <is>
          <t>Локшина Nongshim Рамен з морепродуктами гостра 120г</t>
        </is>
      </c>
      <c r="C39" s="13" t="n">
        <v>120</v>
      </c>
      <c r="D39" s="11" t="inlineStr">
        <is>
          <t>пакет</t>
        </is>
      </c>
      <c r="E39" s="11" t="inlineStr">
        <is>
          <t>08801043157711</t>
        </is>
      </c>
      <c r="F39" s="11" t="n">
        <v>2</v>
      </c>
      <c r="G39" s="11" t="inlineStr">
        <is>
          <t>Ашан · Onde</t>
        </is>
      </c>
      <c r="H39" s="13" t="n">
        <v>84.90000000000001</v>
      </c>
      <c r="I39" s="13" t="n">
        <v>103.55</v>
      </c>
      <c r="J39" s="13" t="n">
        <v>122.2</v>
      </c>
      <c r="K39" s="13" t="n">
        <v>86.3</v>
      </c>
      <c r="L39" s="11" t="inlineStr"/>
    </row>
    <row r="40">
      <c r="A40" s="17" t="inlineStr">
        <is>
          <t>Paldo</t>
        </is>
      </c>
      <c r="B40" s="17" t="inlineStr">
        <is>
          <t>Локшина Paldo Stir fried з куркою 130г</t>
        </is>
      </c>
      <c r="C40" s="18" t="n">
        <v>130</v>
      </c>
      <c r="D40" s="17" t="inlineStr">
        <is>
          <t>пакет</t>
        </is>
      </c>
      <c r="E40" s="17" t="inlineStr">
        <is>
          <t>00648436101351</t>
        </is>
      </c>
      <c r="F40" s="17" t="n">
        <v>2</v>
      </c>
      <c r="G40" s="17" t="inlineStr">
        <is>
          <t>Ашан · Grono</t>
        </is>
      </c>
      <c r="H40" s="18" t="n">
        <v>85.5</v>
      </c>
      <c r="I40" s="18" t="n">
        <v>104.25</v>
      </c>
      <c r="J40" s="18" t="n">
        <v>123</v>
      </c>
      <c r="K40" s="18" t="n">
        <v>80.2</v>
      </c>
      <c r="L40" s="17" t="inlineStr"/>
    </row>
    <row r="41">
      <c r="A41" s="11" t="inlineStr">
        <is>
          <t>Nongshim</t>
        </is>
      </c>
      <c r="B41" s="11" t="inlineStr">
        <is>
          <t>Локшина Nongshim Shin Ramyun зі смаком гострої курки 120г</t>
        </is>
      </c>
      <c r="C41" s="13" t="n">
        <v>120</v>
      </c>
      <c r="D41" s="11" t="inlineStr">
        <is>
          <t>пакет</t>
        </is>
      </c>
      <c r="E41" s="11" t="inlineStr">
        <is>
          <t>08801043069588</t>
        </is>
      </c>
      <c r="F41" s="11" t="n">
        <v>2</v>
      </c>
      <c r="G41" s="11" t="inlineStr">
        <is>
          <t>Ашан · Grono</t>
        </is>
      </c>
      <c r="H41" s="13" t="n">
        <v>89</v>
      </c>
      <c r="I41" s="13" t="n">
        <v>110.5</v>
      </c>
      <c r="J41" s="13" t="n">
        <v>132</v>
      </c>
      <c r="K41" s="13" t="n">
        <v>92.09999999999999</v>
      </c>
      <c r="L41" s="11" t="inlineStr"/>
    </row>
    <row r="42">
      <c r="A42" s="17" t="inlineStr">
        <is>
          <t>Samyang</t>
        </is>
      </c>
      <c r="B42" s="17" t="inlineStr">
        <is>
          <t>Макаронні вироби Samyang Ramen 115г</t>
        </is>
      </c>
      <c r="C42" s="18" t="n">
        <v>115</v>
      </c>
      <c r="D42" s="17" t="inlineStr">
        <is>
          <t>пакет</t>
        </is>
      </c>
      <c r="E42" s="17" t="inlineStr">
        <is>
          <t>08801073112278</t>
        </is>
      </c>
      <c r="F42" s="17" t="n">
        <v>2</v>
      </c>
      <c r="G42" s="17" t="inlineStr">
        <is>
          <t>Ашан · Зараз</t>
        </is>
      </c>
      <c r="H42" s="18" t="n">
        <v>111.5</v>
      </c>
      <c r="I42" s="18" t="n">
        <v>111.5</v>
      </c>
      <c r="J42" s="18" t="n">
        <v>111.5</v>
      </c>
      <c r="K42" s="18" t="n">
        <v>97</v>
      </c>
      <c r="L42" s="17" t="inlineStr"/>
    </row>
    <row r="43">
      <c r="A43" s="11" t="inlineStr">
        <is>
          <t>Samyang</t>
        </is>
      </c>
      <c r="B43" s="11" t="inlineStr">
        <is>
          <t>Локшина Samyang Ramen з сиром 120г</t>
        </is>
      </c>
      <c r="C43" s="13" t="n">
        <v>120</v>
      </c>
      <c r="D43" s="11" t="inlineStr">
        <is>
          <t>пакет</t>
        </is>
      </c>
      <c r="E43" s="11" t="inlineStr">
        <is>
          <t>08801073114111</t>
        </is>
      </c>
      <c r="F43" s="11" t="n">
        <v>2</v>
      </c>
      <c r="G43" s="11" t="inlineStr">
        <is>
          <t>Ашан · Зараз</t>
        </is>
      </c>
      <c r="H43" s="13" t="n">
        <v>99</v>
      </c>
      <c r="I43" s="13" t="n">
        <v>111.75</v>
      </c>
      <c r="J43" s="13" t="n">
        <v>124.5</v>
      </c>
      <c r="K43" s="13" t="n">
        <v>93.09999999999999</v>
      </c>
      <c r="L43" s="11" t="inlineStr"/>
    </row>
    <row r="44">
      <c r="A44" s="17" t="inlineStr">
        <is>
          <t>Paldo</t>
        </is>
      </c>
      <c r="B44" s="17" t="inlineStr">
        <is>
          <t>Макаронні вироби Paldo Rabokki локшина 145г</t>
        </is>
      </c>
      <c r="C44" s="18" t="n">
        <v>145</v>
      </c>
      <c r="D44" s="17" t="inlineStr">
        <is>
          <t>пакет</t>
        </is>
      </c>
      <c r="E44" s="17" t="inlineStr">
        <is>
          <t>00648436101054</t>
        </is>
      </c>
      <c r="F44" s="17" t="n">
        <v>2</v>
      </c>
      <c r="G44" s="17" t="inlineStr">
        <is>
          <t>Ашан · Grono</t>
        </is>
      </c>
      <c r="H44" s="18" t="n">
        <v>100.6</v>
      </c>
      <c r="I44" s="18" t="n">
        <v>112.3</v>
      </c>
      <c r="J44" s="18" t="n">
        <v>124</v>
      </c>
      <c r="K44" s="18" t="n">
        <v>77.40000000000001</v>
      </c>
      <c r="L44" s="17" t="inlineStr"/>
    </row>
    <row r="45">
      <c r="A45" s="11" t="inlineStr">
        <is>
          <t>Samyang</t>
        </is>
      </c>
      <c r="B45" s="11" t="inlineStr">
        <is>
          <t>Локшина Samyang Ramen зі смаком сиру 105г</t>
        </is>
      </c>
      <c r="C45" s="13" t="n">
        <v>105</v>
      </c>
      <c r="D45" s="11" t="inlineStr">
        <is>
          <t>пакет</t>
        </is>
      </c>
      <c r="E45" s="11" t="inlineStr">
        <is>
          <t>08801073211773</t>
        </is>
      </c>
      <c r="F45" s="11" t="n">
        <v>2</v>
      </c>
      <c r="G45" s="11" t="inlineStr">
        <is>
          <t>Ашан · Зараз</t>
        </is>
      </c>
      <c r="H45" s="13" t="n">
        <v>111.5</v>
      </c>
      <c r="I45" s="13" t="n">
        <v>120.7</v>
      </c>
      <c r="J45" s="13" t="n">
        <v>129.9</v>
      </c>
      <c r="K45" s="13" t="n">
        <v>115</v>
      </c>
      <c r="L45" s="11" t="inlineStr"/>
    </row>
    <row r="46">
      <c r="A46" s="17" t="inlineStr">
        <is>
          <t>Choi's</t>
        </is>
      </c>
      <c r="B46" s="17" t="inlineStr">
        <is>
          <t>Локшина Choi's рамен карбон 131г</t>
        </is>
      </c>
      <c r="C46" s="18" t="n">
        <v>131</v>
      </c>
      <c r="D46" s="17" t="inlineStr">
        <is>
          <t>пакет</t>
        </is>
      </c>
      <c r="E46" s="17" t="inlineStr">
        <is>
          <t>03760344350847</t>
        </is>
      </c>
      <c r="F46" s="17" t="n">
        <v>2</v>
      </c>
      <c r="G46" s="17" t="inlineStr">
        <is>
          <t>Космос · Таврія В</t>
        </is>
      </c>
      <c r="H46" s="18" t="n">
        <v>125.2</v>
      </c>
      <c r="I46" s="18" t="n">
        <v>125.2</v>
      </c>
      <c r="J46" s="18" t="n">
        <v>125.2</v>
      </c>
      <c r="K46" s="18" t="n">
        <v>95.59999999999999</v>
      </c>
      <c r="L46" s="17" t="inlineStr"/>
    </row>
    <row r="47">
      <c r="A47" s="11" t="inlineStr">
        <is>
          <t>Nongshim</t>
        </is>
      </c>
      <c r="B47" s="11" t="inlineStr">
        <is>
          <t>Локшина Nongshim Shin Ramyun Tom Yum Том Ям 123г</t>
        </is>
      </c>
      <c r="C47" s="13" t="n">
        <v>123</v>
      </c>
      <c r="D47" s="11" t="inlineStr">
        <is>
          <t>пакет</t>
        </is>
      </c>
      <c r="E47" s="11" t="inlineStr">
        <is>
          <t>08801043070362</t>
        </is>
      </c>
      <c r="F47" s="11" t="n">
        <v>2</v>
      </c>
      <c r="G47" s="11" t="inlineStr">
        <is>
          <t>Ашан · Grono</t>
        </is>
      </c>
      <c r="H47" s="13" t="n">
        <v>115.9</v>
      </c>
      <c r="I47" s="13" t="n">
        <v>128.95</v>
      </c>
      <c r="J47" s="13" t="n">
        <v>142</v>
      </c>
      <c r="K47" s="13" t="n">
        <v>104.8</v>
      </c>
      <c r="L47" s="11" t="inlineStr"/>
    </row>
    <row r="48">
      <c r="A48" s="17" t="inlineStr">
        <is>
          <t>Samyang</t>
        </is>
      </c>
      <c r="B48" s="17" t="inlineStr">
        <is>
          <t>Локшина Samyang Tangle зі смаком вершкового бульгогі 105г</t>
        </is>
      </c>
      <c r="C48" s="18" t="n">
        <v>105</v>
      </c>
      <c r="D48" s="17" t="inlineStr">
        <is>
          <t>пакет</t>
        </is>
      </c>
      <c r="E48" s="17" t="inlineStr">
        <is>
          <t>08801073116863</t>
        </is>
      </c>
      <c r="F48" s="17" t="n">
        <v>2</v>
      </c>
      <c r="G48" s="17" t="inlineStr">
        <is>
          <t>Клас · Восторг</t>
        </is>
      </c>
      <c r="H48" s="18" t="n">
        <v>157</v>
      </c>
      <c r="I48" s="18" t="n">
        <v>157</v>
      </c>
      <c r="J48" s="18" t="n">
        <v>157</v>
      </c>
      <c r="K48" s="18" t="n">
        <v>149.5</v>
      </c>
      <c r="L48" s="17" t="inlineStr"/>
    </row>
    <row r="49">
      <c r="A49" s="11" t="inlineStr">
        <is>
          <t>Nongshim</t>
        </is>
      </c>
      <c r="B49" s="11" t="inlineStr">
        <is>
          <t>Локшина Nongshim Shin Ramyun Black 130г</t>
        </is>
      </c>
      <c r="C49" s="13" t="n">
        <v>130</v>
      </c>
      <c r="D49" s="11" t="inlineStr">
        <is>
          <t>пакет</t>
        </is>
      </c>
      <c r="E49" s="11" t="inlineStr">
        <is>
          <t>08801043060226</t>
        </is>
      </c>
      <c r="F49" s="11" t="n">
        <v>2</v>
      </c>
      <c r="G49" s="11" t="inlineStr">
        <is>
          <t>Ашан · Grono</t>
        </is>
      </c>
      <c r="H49" s="13" t="n">
        <v>201.5</v>
      </c>
      <c r="I49" s="13" t="n">
        <v>205.25</v>
      </c>
      <c r="J49" s="13" t="n">
        <v>209</v>
      </c>
      <c r="K49" s="13" t="n">
        <v>157.9</v>
      </c>
      <c r="L49" s="11" t="inlineStr"/>
    </row>
    <row r="50">
      <c r="A50" s="17" t="inlineStr">
        <is>
          <t>Samyang</t>
        </is>
      </c>
      <c r="B50" s="17" t="inlineStr">
        <is>
          <t>Локшина Samyang Bulgogi Рамен 80г</t>
        </is>
      </c>
      <c r="C50" s="18" t="n">
        <v>80</v>
      </c>
      <c r="D50" s="17" t="inlineStr">
        <is>
          <t>пакет</t>
        </is>
      </c>
      <c r="E50" s="17" t="inlineStr">
        <is>
          <t>08801073114043</t>
        </is>
      </c>
      <c r="F50" s="17" t="n">
        <v>1</v>
      </c>
      <c r="G50" s="17" t="inlineStr">
        <is>
          <t>Ашан</t>
        </is>
      </c>
      <c r="H50" s="18" t="n">
        <v>65</v>
      </c>
      <c r="I50" s="18" t="n">
        <v>65</v>
      </c>
      <c r="J50" s="18" t="n">
        <v>65</v>
      </c>
      <c r="K50" s="18" t="n">
        <v>81.2</v>
      </c>
      <c r="L50" s="17" t="inlineStr"/>
    </row>
    <row r="51">
      <c r="A51" s="11" t="inlineStr">
        <is>
          <t>Samyang</t>
        </is>
      </c>
      <c r="B51" s="11" t="inlineStr">
        <is>
          <t>Локшина Samyang Jjanang Рамен 80г</t>
        </is>
      </c>
      <c r="C51" s="13" t="n">
        <v>80</v>
      </c>
      <c r="D51" s="11" t="inlineStr">
        <is>
          <t>пакет</t>
        </is>
      </c>
      <c r="E51" s="11" t="inlineStr">
        <is>
          <t>08801073114050</t>
        </is>
      </c>
      <c r="F51" s="11" t="n">
        <v>1</v>
      </c>
      <c r="G51" s="11" t="inlineStr">
        <is>
          <t>Ашан</t>
        </is>
      </c>
      <c r="H51" s="13" t="n">
        <v>65.09999999999999</v>
      </c>
      <c r="I51" s="13" t="n">
        <v>65.09999999999999</v>
      </c>
      <c r="J51" s="13" t="n">
        <v>65.09999999999999</v>
      </c>
      <c r="K51" s="13" t="n">
        <v>81.40000000000001</v>
      </c>
      <c r="L51" s="11" t="inlineStr"/>
    </row>
    <row r="52">
      <c r="A52" s="17" t="inlineStr">
        <is>
          <t>Ottogi</t>
        </is>
      </c>
      <c r="B52" s="17" t="inlineStr">
        <is>
          <t>Локшина Ottogi Yeul Ramen дуже гостра 120г</t>
        </is>
      </c>
      <c r="C52" s="18" t="n">
        <v>120</v>
      </c>
      <c r="D52" s="17" t="inlineStr">
        <is>
          <t>пакет</t>
        </is>
      </c>
      <c r="E52" s="17" t="inlineStr">
        <is>
          <t>00645175521013</t>
        </is>
      </c>
      <c r="F52" s="17" t="n">
        <v>1</v>
      </c>
      <c r="G52" s="17" t="inlineStr">
        <is>
          <t>Ашан</t>
        </is>
      </c>
      <c r="H52" s="18" t="n">
        <v>68.09999999999999</v>
      </c>
      <c r="I52" s="18" t="n">
        <v>68.09999999999999</v>
      </c>
      <c r="J52" s="18" t="n">
        <v>68.09999999999999</v>
      </c>
      <c r="K52" s="18" t="n">
        <v>56.8</v>
      </c>
      <c r="L52" s="17" t="inlineStr"/>
    </row>
    <row r="53">
      <c r="A53" s="11" t="inlineStr">
        <is>
          <t>Paldo</t>
        </is>
      </c>
      <c r="B53" s="11" t="inlineStr">
        <is>
          <t>Локшина Paldo Teumsae Ramen швидкого приготування 120г</t>
        </is>
      </c>
      <c r="C53" s="13" t="n">
        <v>120</v>
      </c>
      <c r="D53" s="11" t="inlineStr">
        <is>
          <t>пакет</t>
        </is>
      </c>
      <c r="E53" s="11" t="inlineStr">
        <is>
          <t>00648436100613</t>
        </is>
      </c>
      <c r="F53" s="11" t="n">
        <v>1</v>
      </c>
      <c r="G53" s="11" t="inlineStr">
        <is>
          <t>Grono</t>
        </is>
      </c>
      <c r="H53" s="13" t="n">
        <v>72</v>
      </c>
      <c r="I53" s="13" t="n">
        <v>72</v>
      </c>
      <c r="J53" s="13" t="n">
        <v>72</v>
      </c>
      <c r="K53" s="13" t="n">
        <v>60</v>
      </c>
      <c r="L53" s="11" t="inlineStr"/>
    </row>
    <row r="54">
      <c r="A54" s="17" t="inlineStr">
        <is>
          <t>Nongshim</t>
        </is>
      </c>
      <c r="B54" s="17" t="inlineStr">
        <is>
          <t>Локшина Nongshim Рамен зі спеціями 120г</t>
        </is>
      </c>
      <c r="C54" s="18" t="n">
        <v>120</v>
      </c>
      <c r="D54" s="17" t="inlineStr">
        <is>
          <t>пакет</t>
        </is>
      </c>
      <c r="E54" s="17" t="inlineStr">
        <is>
          <t>00031146150601</t>
        </is>
      </c>
      <c r="F54" s="17" t="n">
        <v>1</v>
      </c>
      <c r="G54" s="17" t="inlineStr">
        <is>
          <t>Ашан</t>
        </is>
      </c>
      <c r="H54" s="18" t="n">
        <v>73.5</v>
      </c>
      <c r="I54" s="18" t="n">
        <v>73.5</v>
      </c>
      <c r="J54" s="18" t="n">
        <v>73.5</v>
      </c>
      <c r="K54" s="18" t="n">
        <v>61.3</v>
      </c>
      <c r="L54" s="17" t="inlineStr"/>
    </row>
    <row r="55">
      <c r="A55" s="11" t="inlineStr">
        <is>
          <t>Samyang</t>
        </is>
      </c>
      <c r="B55" s="11" t="inlineStr">
        <is>
          <t>Локшина Samyang Tangle зі смаком вершкового бульгогі 105г</t>
        </is>
      </c>
      <c r="C55" s="13" t="n">
        <v>105</v>
      </c>
      <c r="D55" s="11" t="inlineStr">
        <is>
          <t>пакет</t>
        </is>
      </c>
      <c r="E55" s="11" t="inlineStr">
        <is>
          <t>00880173116863</t>
        </is>
      </c>
      <c r="F55" s="11" t="n">
        <v>1</v>
      </c>
      <c r="G55" s="11" t="inlineStr">
        <is>
          <t>Onde</t>
        </is>
      </c>
      <c r="H55" s="13" t="n">
        <v>77.5</v>
      </c>
      <c r="I55" s="13" t="n">
        <v>77.5</v>
      </c>
      <c r="J55" s="13" t="n">
        <v>77.5</v>
      </c>
      <c r="K55" s="13" t="n">
        <v>73.8</v>
      </c>
      <c r="L55" s="11" t="inlineStr"/>
    </row>
    <row r="56">
      <c r="A56" s="17" t="inlineStr">
        <is>
          <t>fire bull</t>
        </is>
      </c>
      <c r="B56" s="17" t="inlineStr">
        <is>
          <t>Локшина Fire Bull Stir-Fried Ramen Beef швидкого приготування 137,8г</t>
        </is>
      </c>
      <c r="C56" s="18" t="n">
        <v>137.8</v>
      </c>
      <c r="D56" s="17" t="inlineStr">
        <is>
          <t>пакет</t>
        </is>
      </c>
      <c r="E56" s="17" t="inlineStr">
        <is>
          <t>08809521341454</t>
        </is>
      </c>
      <c r="F56" s="17" t="n">
        <v>1</v>
      </c>
      <c r="G56" s="17" t="inlineStr">
        <is>
          <t>Onde</t>
        </is>
      </c>
      <c r="H56" s="18" t="n">
        <v>78.40000000000001</v>
      </c>
      <c r="I56" s="18" t="n">
        <v>78.40000000000001</v>
      </c>
      <c r="J56" s="18" t="n">
        <v>78.40000000000001</v>
      </c>
      <c r="K56" s="18" t="n">
        <v>56.9</v>
      </c>
      <c r="L56" s="17" t="inlineStr"/>
    </row>
    <row r="57">
      <c r="A57" s="11" t="inlineStr">
        <is>
          <t>Paldo</t>
        </is>
      </c>
      <c r="B57" s="11" t="inlineStr">
        <is>
          <t>Локшина рамьон Paldo Volcano Carbonara гостра курка 105г</t>
        </is>
      </c>
      <c r="C57" s="13" t="n">
        <v>105</v>
      </c>
      <c r="D57" s="11" t="inlineStr">
        <is>
          <t>пакет</t>
        </is>
      </c>
      <c r="E57" s="11" t="inlineStr">
        <is>
          <t>00648436310715</t>
        </is>
      </c>
      <c r="F57" s="11" t="n">
        <v>1</v>
      </c>
      <c r="G57" s="11" t="inlineStr">
        <is>
          <t>Ашан</t>
        </is>
      </c>
      <c r="H57" s="13" t="n">
        <v>80.5</v>
      </c>
      <c r="I57" s="13" t="n">
        <v>80.5</v>
      </c>
      <c r="J57" s="13" t="n">
        <v>80.5</v>
      </c>
      <c r="K57" s="13" t="n">
        <v>76.7</v>
      </c>
      <c r="L57" s="11" t="inlineStr"/>
    </row>
    <row r="58">
      <c r="A58" s="17" t="inlineStr">
        <is>
          <t>Paldo</t>
        </is>
      </c>
      <c r="B58" s="17" t="inlineStr">
        <is>
          <t>Макаронні вироби Paldo Compaghetti локшина 110г</t>
        </is>
      </c>
      <c r="C58" s="18" t="n">
        <v>110</v>
      </c>
      <c r="D58" s="17" t="inlineStr">
        <is>
          <t>пакет</t>
        </is>
      </c>
      <c r="E58" s="17" t="inlineStr">
        <is>
          <t>00648436310029</t>
        </is>
      </c>
      <c r="F58" s="17" t="n">
        <v>1</v>
      </c>
      <c r="G58" s="17" t="inlineStr">
        <is>
          <t>Ашан</t>
        </is>
      </c>
      <c r="H58" s="18" t="n">
        <v>81.3</v>
      </c>
      <c r="I58" s="18" t="n">
        <v>81.3</v>
      </c>
      <c r="J58" s="18" t="n">
        <v>81.3</v>
      </c>
      <c r="K58" s="18" t="n">
        <v>73.90000000000001</v>
      </c>
      <c r="L58" s="17" t="inlineStr"/>
    </row>
    <row r="59">
      <c r="A59" s="11" t="inlineStr">
        <is>
          <t>Ottogi</t>
        </is>
      </c>
      <c r="B59" s="11" t="inlineStr">
        <is>
          <t>Локшина Ottogi Jin Ramen Гостра 67г</t>
        </is>
      </c>
      <c r="C59" s="13" t="n">
        <v>67</v>
      </c>
      <c r="D59" s="11" t="inlineStr">
        <is>
          <t>пакет</t>
        </is>
      </c>
      <c r="E59" s="11" t="inlineStr">
        <is>
          <t>00645175570288</t>
        </is>
      </c>
      <c r="F59" s="11" t="n">
        <v>1</v>
      </c>
      <c r="G59" s="11" t="inlineStr">
        <is>
          <t>Ашан</t>
        </is>
      </c>
      <c r="H59" s="13" t="n">
        <v>82.3</v>
      </c>
      <c r="I59" s="13" t="n">
        <v>82.3</v>
      </c>
      <c r="J59" s="13" t="n">
        <v>82.3</v>
      </c>
      <c r="K59" s="13" t="n">
        <v>122.8</v>
      </c>
      <c r="L59" s="11" t="inlineStr"/>
    </row>
    <row r="60">
      <c r="A60" s="17" t="inlineStr">
        <is>
          <t>Ottogi</t>
        </is>
      </c>
      <c r="B60" s="17" t="inlineStr">
        <is>
          <t>Локшина Ottogi Рамен з сиром 111г</t>
        </is>
      </c>
      <c r="C60" s="18" t="n">
        <v>111</v>
      </c>
      <c r="D60" s="17" t="inlineStr">
        <is>
          <t>пакет</t>
        </is>
      </c>
      <c r="E60" s="17" t="inlineStr">
        <is>
          <t>08801045524672</t>
        </is>
      </c>
      <c r="F60" s="17" t="n">
        <v>1</v>
      </c>
      <c r="G60" s="17" t="inlineStr">
        <is>
          <t>Зараз</t>
        </is>
      </c>
      <c r="H60" s="18" t="n">
        <v>83</v>
      </c>
      <c r="I60" s="18" t="n">
        <v>83</v>
      </c>
      <c r="J60" s="18" t="n">
        <v>83</v>
      </c>
      <c r="K60" s="18" t="n">
        <v>74.8</v>
      </c>
      <c r="L60" s="17" t="inlineStr"/>
    </row>
    <row r="61">
      <c r="A61" s="11" t="inlineStr">
        <is>
          <t>Ottogi</t>
        </is>
      </c>
      <c r="B61" s="11" t="inlineStr">
        <is>
          <t>Локшина OTTOGI Jin рамен гостра 120г</t>
        </is>
      </c>
      <c r="C61" s="13" t="n">
        <v>120</v>
      </c>
      <c r="D61" s="11" t="inlineStr">
        <is>
          <t>пакет</t>
        </is>
      </c>
      <c r="E61" s="11" t="inlineStr">
        <is>
          <t>08801045522265</t>
        </is>
      </c>
      <c r="F61" s="11" t="n">
        <v>1</v>
      </c>
      <c r="G61" s="11" t="inlineStr">
        <is>
          <t>Ашан</t>
        </is>
      </c>
      <c r="H61" s="13" t="n">
        <v>83.7</v>
      </c>
      <c r="I61" s="13" t="n">
        <v>83.7</v>
      </c>
      <c r="J61" s="13" t="n">
        <v>83.7</v>
      </c>
      <c r="K61" s="13" t="n">
        <v>69.8</v>
      </c>
      <c r="L61" s="11" t="inlineStr"/>
    </row>
    <row r="62">
      <c r="A62" s="17" t="inlineStr">
        <is>
          <t>Nongshim</t>
        </is>
      </c>
      <c r="B62" s="17" t="inlineStr">
        <is>
          <t>Локшина Nongshim Кімчі Рамьон 120г</t>
        </is>
      </c>
      <c r="C62" s="18" t="n">
        <v>120</v>
      </c>
      <c r="D62" s="17" t="inlineStr">
        <is>
          <t>пакет</t>
        </is>
      </c>
      <c r="E62" s="17" t="inlineStr">
        <is>
          <t>00031146181018</t>
        </is>
      </c>
      <c r="F62" s="17" t="n">
        <v>1</v>
      </c>
      <c r="G62" s="17" t="inlineStr">
        <is>
          <t>Ашан</t>
        </is>
      </c>
      <c r="H62" s="18" t="n">
        <v>84.90000000000001</v>
      </c>
      <c r="I62" s="18" t="n">
        <v>84.90000000000001</v>
      </c>
      <c r="J62" s="18" t="n">
        <v>84.90000000000001</v>
      </c>
      <c r="K62" s="18" t="n">
        <v>70.8</v>
      </c>
      <c r="L62" s="17" t="inlineStr"/>
    </row>
    <row r="63">
      <c r="A63" s="11" t="inlineStr">
        <is>
          <t>Bibigo</t>
        </is>
      </c>
      <c r="B63" s="11" t="inlineStr">
        <is>
          <t>Локшина Bibigo Стір-фрай Рамен зі смаком кімчі 122г</t>
        </is>
      </c>
      <c r="C63" s="13" t="n">
        <v>122</v>
      </c>
      <c r="D63" s="11" t="inlineStr">
        <is>
          <t>пакет</t>
        </is>
      </c>
      <c r="E63" s="11" t="inlineStr">
        <is>
          <t>09555050302846</t>
        </is>
      </c>
      <c r="F63" s="11" t="n">
        <v>1</v>
      </c>
      <c r="G63" s="11" t="inlineStr">
        <is>
          <t>Ашан</t>
        </is>
      </c>
      <c r="H63" s="13" t="n">
        <v>85.5</v>
      </c>
      <c r="I63" s="13" t="n">
        <v>85.5</v>
      </c>
      <c r="J63" s="13" t="n">
        <v>85.5</v>
      </c>
      <c r="K63" s="13" t="n">
        <v>70.09999999999999</v>
      </c>
      <c r="L63" s="11" t="inlineStr"/>
    </row>
    <row r="64">
      <c r="A64" s="17" t="inlineStr">
        <is>
          <t>Bibigo</t>
        </is>
      </c>
      <c r="B64" s="17" t="inlineStr">
        <is>
          <t>Локшина Bibigo Стір-фрай Рамен Курка барбекю 122г</t>
        </is>
      </c>
      <c r="C64" s="18" t="n">
        <v>122</v>
      </c>
      <c r="D64" s="17" t="inlineStr">
        <is>
          <t>пакет</t>
        </is>
      </c>
      <c r="E64" s="17" t="inlineStr">
        <is>
          <t>09555050302839</t>
        </is>
      </c>
      <c r="F64" s="17" t="n">
        <v>1</v>
      </c>
      <c r="G64" s="17" t="inlineStr">
        <is>
          <t>Ашан</t>
        </is>
      </c>
      <c r="H64" s="18" t="n">
        <v>85.5</v>
      </c>
      <c r="I64" s="18" t="n">
        <v>85.5</v>
      </c>
      <c r="J64" s="18" t="n">
        <v>85.5</v>
      </c>
      <c r="K64" s="18" t="n">
        <v>70.09999999999999</v>
      </c>
      <c r="L64" s="17" t="inlineStr"/>
    </row>
    <row r="65">
      <c r="A65" s="11" t="inlineStr">
        <is>
          <t>Bibigo</t>
        </is>
      </c>
      <c r="B65" s="11" t="inlineStr">
        <is>
          <t>Локшина Bibigo Стір-фрай Рамен Spicy Tteokbokki гострий 122г</t>
        </is>
      </c>
      <c r="C65" s="13" t="n">
        <v>122</v>
      </c>
      <c r="D65" s="11" t="inlineStr">
        <is>
          <t>пакет</t>
        </is>
      </c>
      <c r="E65" s="11" t="inlineStr">
        <is>
          <t>09555050302808</t>
        </is>
      </c>
      <c r="F65" s="11" t="n">
        <v>1</v>
      </c>
      <c r="G65" s="11" t="inlineStr">
        <is>
          <t>Ашан</t>
        </is>
      </c>
      <c r="H65" s="13" t="n">
        <v>85.5</v>
      </c>
      <c r="I65" s="13" t="n">
        <v>85.5</v>
      </c>
      <c r="J65" s="13" t="n">
        <v>85.5</v>
      </c>
      <c r="K65" s="13" t="n">
        <v>70.09999999999999</v>
      </c>
      <c r="L65" s="11" t="inlineStr"/>
    </row>
    <row r="66">
      <c r="A66" s="17" t="inlineStr">
        <is>
          <t>Bibigo</t>
        </is>
      </c>
      <c r="B66" s="17" t="inlineStr">
        <is>
          <t>Локшина Bibigo Стір-фрай Рамен Cheese Tteokbokki зі смаком сиру 127г</t>
        </is>
      </c>
      <c r="C66" s="18" t="n">
        <v>127</v>
      </c>
      <c r="D66" s="17" t="inlineStr">
        <is>
          <t>пакет</t>
        </is>
      </c>
      <c r="E66" s="17" t="inlineStr">
        <is>
          <t>09555050302815</t>
        </is>
      </c>
      <c r="F66" s="17" t="n">
        <v>1</v>
      </c>
      <c r="G66" s="17" t="inlineStr">
        <is>
          <t>Ашан</t>
        </is>
      </c>
      <c r="H66" s="18" t="n">
        <v>85.5</v>
      </c>
      <c r="I66" s="18" t="n">
        <v>85.5</v>
      </c>
      <c r="J66" s="18" t="n">
        <v>85.5</v>
      </c>
      <c r="K66" s="18" t="n">
        <v>67.3</v>
      </c>
      <c r="L66" s="17" t="inlineStr"/>
    </row>
    <row r="67">
      <c r="A67" s="11" t="inlineStr">
        <is>
          <t>Ottogi</t>
        </is>
      </c>
      <c r="B67" s="11" t="inlineStr">
        <is>
          <t>Локшина Ottogi Stir-Fry Рамен із сиром 120г</t>
        </is>
      </c>
      <c r="C67" s="13" t="n">
        <v>120</v>
      </c>
      <c r="D67" s="11" t="inlineStr">
        <is>
          <t>пакет</t>
        </is>
      </c>
      <c r="E67" s="11" t="inlineStr">
        <is>
          <t>08801045009209</t>
        </is>
      </c>
      <c r="F67" s="11" t="n">
        <v>1</v>
      </c>
      <c r="G67" s="11" t="inlineStr">
        <is>
          <t>Ашан</t>
        </is>
      </c>
      <c r="H67" s="13" t="n">
        <v>89</v>
      </c>
      <c r="I67" s="13" t="n">
        <v>89</v>
      </c>
      <c r="J67" s="13" t="n">
        <v>89</v>
      </c>
      <c r="K67" s="13" t="n">
        <v>74.2</v>
      </c>
      <c r="L67" s="11" t="inlineStr"/>
    </row>
    <row r="68">
      <c r="A68" s="17" t="inlineStr">
        <is>
          <t>Ottogi</t>
        </is>
      </c>
      <c r="B68" s="17" t="inlineStr">
        <is>
          <t>Локшина Ottogi Stir-Fry Рамен із сиром гостра 130г</t>
        </is>
      </c>
      <c r="C68" s="18" t="n">
        <v>130</v>
      </c>
      <c r="D68" s="17" t="inlineStr">
        <is>
          <t>пакет</t>
        </is>
      </c>
      <c r="E68" s="17" t="inlineStr">
        <is>
          <t>08801045178226</t>
        </is>
      </c>
      <c r="F68" s="17" t="n">
        <v>1</v>
      </c>
      <c r="G68" s="17" t="inlineStr">
        <is>
          <t>Ашан</t>
        </is>
      </c>
      <c r="H68" s="18" t="n">
        <v>89</v>
      </c>
      <c r="I68" s="18" t="n">
        <v>89</v>
      </c>
      <c r="J68" s="18" t="n">
        <v>89</v>
      </c>
      <c r="K68" s="18" t="n">
        <v>68.5</v>
      </c>
      <c r="L68" s="17" t="inlineStr"/>
    </row>
    <row r="69">
      <c r="A69" s="11" t="inlineStr">
        <is>
          <t>Nongshim</t>
        </is>
      </c>
      <c r="B69" s="11" t="inlineStr">
        <is>
          <t>Локшина Nongshim Cham-Pong Ramyun з морепродуктами 124г</t>
        </is>
      </c>
      <c r="C69" s="13" t="n">
        <v>124</v>
      </c>
      <c r="D69" s="11" t="inlineStr">
        <is>
          <t>пакет</t>
        </is>
      </c>
      <c r="E69" s="11" t="inlineStr">
        <is>
          <t>08801043157759</t>
        </is>
      </c>
      <c r="F69" s="11" t="n">
        <v>1</v>
      </c>
      <c r="G69" s="11" t="inlineStr">
        <is>
          <t>Ашан</t>
        </is>
      </c>
      <c r="H69" s="13" t="n">
        <v>89</v>
      </c>
      <c r="I69" s="13" t="n">
        <v>89</v>
      </c>
      <c r="J69" s="13" t="n">
        <v>89</v>
      </c>
      <c r="K69" s="13" t="n">
        <v>71.8</v>
      </c>
      <c r="L69" s="11" t="inlineStr"/>
    </row>
    <row r="70">
      <c r="A70" s="17" t="inlineStr">
        <is>
          <t>Nongshim</t>
        </is>
      </c>
      <c r="B70" s="17" t="inlineStr">
        <is>
          <t>Локшина Nongshim Stir Fry Шин Рамьойн гостра 131г</t>
        </is>
      </c>
      <c r="C70" s="18" t="n">
        <v>131</v>
      </c>
      <c r="D70" s="17" t="inlineStr">
        <is>
          <t>пакет</t>
        </is>
      </c>
      <c r="E70" s="17" t="inlineStr">
        <is>
          <t>08801043061674</t>
        </is>
      </c>
      <c r="F70" s="17" t="n">
        <v>1</v>
      </c>
      <c r="G70" s="17" t="inlineStr">
        <is>
          <t>Ашан</t>
        </is>
      </c>
      <c r="H70" s="18" t="n">
        <v>89</v>
      </c>
      <c r="I70" s="18" t="n">
        <v>89</v>
      </c>
      <c r="J70" s="18" t="n">
        <v>89</v>
      </c>
      <c r="K70" s="18" t="n">
        <v>67.90000000000001</v>
      </c>
      <c r="L70" s="17" t="inlineStr"/>
    </row>
    <row r="71">
      <c r="A71" s="11" t="inlineStr">
        <is>
          <t>Paldo</t>
        </is>
      </c>
      <c r="B71" s="11" t="inlineStr">
        <is>
          <t>Суп рамен Paldo Kokomen зі смаком курки гострий 120г</t>
        </is>
      </c>
      <c r="C71" s="13" t="n">
        <v>120</v>
      </c>
      <c r="D71" s="11" t="inlineStr">
        <is>
          <t>пакет</t>
        </is>
      </c>
      <c r="E71" s="11" t="inlineStr">
        <is>
          <t>00648436100682</t>
        </is>
      </c>
      <c r="F71" s="11" t="n">
        <v>1</v>
      </c>
      <c r="G71" s="11" t="inlineStr">
        <is>
          <t>Ашан</t>
        </is>
      </c>
      <c r="H71" s="13" t="n">
        <v>92</v>
      </c>
      <c r="I71" s="13" t="n">
        <v>92</v>
      </c>
      <c r="J71" s="13" t="n">
        <v>92</v>
      </c>
      <c r="K71" s="13" t="n">
        <v>76.7</v>
      </c>
      <c r="L71" s="11" t="inlineStr"/>
    </row>
    <row r="72">
      <c r="A72" s="17" t="inlineStr">
        <is>
          <t>Paldo</t>
        </is>
      </c>
      <c r="B72" s="17" t="inlineStr">
        <is>
          <t>Рамьон Paldo зі смаком морепродуктів 120г</t>
        </is>
      </c>
      <c r="C72" s="18" t="n">
        <v>120</v>
      </c>
      <c r="D72" s="17" t="inlineStr">
        <is>
          <t>пакет</t>
        </is>
      </c>
      <c r="E72" s="17" t="inlineStr">
        <is>
          <t>00648436100583</t>
        </is>
      </c>
      <c r="F72" s="17" t="n">
        <v>1</v>
      </c>
      <c r="G72" s="17" t="inlineStr">
        <is>
          <t>Ашан</t>
        </is>
      </c>
      <c r="H72" s="18" t="n">
        <v>92.90000000000001</v>
      </c>
      <c r="I72" s="18" t="n">
        <v>92.90000000000001</v>
      </c>
      <c r="J72" s="18" t="n">
        <v>92.90000000000001</v>
      </c>
      <c r="K72" s="18" t="n">
        <v>77.40000000000001</v>
      </c>
      <c r="L72" s="17" t="inlineStr"/>
    </row>
    <row r="73">
      <c r="A73" s="11" t="inlineStr">
        <is>
          <t>Otoki</t>
        </is>
      </c>
      <c r="B73" s="11" t="inlineStr">
        <is>
          <t>Рамьон Otoki Cheesy Ramen зі смаком сиру Чеддер та чілі гострий 120г</t>
        </is>
      </c>
      <c r="C73" s="13" t="n">
        <v>120</v>
      </c>
      <c r="D73" s="11" t="inlineStr">
        <is>
          <t>пакет</t>
        </is>
      </c>
      <c r="E73" s="11" t="inlineStr">
        <is>
          <t>00850069667146</t>
        </is>
      </c>
      <c r="F73" s="11" t="n">
        <v>1</v>
      </c>
      <c r="G73" s="11" t="inlineStr">
        <is>
          <t>Ашан</t>
        </is>
      </c>
      <c r="H73" s="13" t="n">
        <v>94.90000000000001</v>
      </c>
      <c r="I73" s="13" t="n">
        <v>94.90000000000001</v>
      </c>
      <c r="J73" s="13" t="n">
        <v>94.90000000000001</v>
      </c>
      <c r="K73" s="13" t="n">
        <v>79.09999999999999</v>
      </c>
      <c r="L73" s="11" t="inlineStr"/>
    </row>
    <row r="74">
      <c r="A74" s="17" t="inlineStr">
        <is>
          <t>Nongshim</t>
        </is>
      </c>
      <c r="B74" s="17" t="inlineStr">
        <is>
          <t>Локшина Nongshim Shin Ramyun Stir Fry зі смаком сиру 136г</t>
        </is>
      </c>
      <c r="C74" s="18" t="n">
        <v>136</v>
      </c>
      <c r="D74" s="17" t="inlineStr">
        <is>
          <t>пакет</t>
        </is>
      </c>
      <c r="E74" s="17" t="inlineStr">
        <is>
          <t>08801043068741</t>
        </is>
      </c>
      <c r="F74" s="17" t="n">
        <v>1</v>
      </c>
      <c r="G74" s="17" t="inlineStr">
        <is>
          <t>Ашан</t>
        </is>
      </c>
      <c r="H74" s="18" t="n">
        <v>95.5</v>
      </c>
      <c r="I74" s="18" t="n">
        <v>95.5</v>
      </c>
      <c r="J74" s="18" t="n">
        <v>95.5</v>
      </c>
      <c r="K74" s="18" t="n">
        <v>70.2</v>
      </c>
      <c r="L74" s="17" t="inlineStr"/>
    </row>
    <row r="75">
      <c r="A75" s="11" t="inlineStr">
        <is>
          <t>Nongshim</t>
        </is>
      </c>
      <c r="B75" s="11" t="inlineStr">
        <is>
          <t>Локшина Nongshim Шин Рамьон гостра сублімована 68г</t>
        </is>
      </c>
      <c r="C75" s="13" t="n">
        <v>68</v>
      </c>
      <c r="D75" s="11" t="inlineStr">
        <is>
          <t>пакет</t>
        </is>
      </c>
      <c r="E75" s="11" t="inlineStr">
        <is>
          <t>00031146270606</t>
        </is>
      </c>
      <c r="F75" s="11" t="n">
        <v>1</v>
      </c>
      <c r="G75" s="11" t="inlineStr">
        <is>
          <t>Ашан</t>
        </is>
      </c>
      <c r="H75" s="13" t="n">
        <v>97</v>
      </c>
      <c r="I75" s="13" t="n">
        <v>97</v>
      </c>
      <c r="J75" s="13" t="n">
        <v>97</v>
      </c>
      <c r="K75" s="13" t="n">
        <v>142.6</v>
      </c>
      <c r="L75" s="11" t="inlineStr"/>
    </row>
    <row r="76">
      <c r="A76" s="17" t="inlineStr">
        <is>
          <t>Paldo</t>
        </is>
      </c>
      <c r="B76" s="17" t="inlineStr">
        <is>
          <t>Суп рамьон Paldo Jumbo Noodle Hot &amp; Spicy у мисці 120г</t>
        </is>
      </c>
      <c r="C76" s="18" t="n">
        <v>120</v>
      </c>
      <c r="D76" s="17" t="inlineStr">
        <is>
          <t>стакан/боул</t>
        </is>
      </c>
      <c r="E76" s="17" t="inlineStr">
        <is>
          <t>00648436100064</t>
        </is>
      </c>
      <c r="F76" s="17" t="n">
        <v>1</v>
      </c>
      <c r="G76" s="17" t="inlineStr">
        <is>
          <t>Ашан</t>
        </is>
      </c>
      <c r="H76" s="18" t="n">
        <v>98.90000000000001</v>
      </c>
      <c r="I76" s="18" t="n">
        <v>98.90000000000001</v>
      </c>
      <c r="J76" s="18" t="n">
        <v>98.90000000000001</v>
      </c>
      <c r="K76" s="18" t="n">
        <v>82.40000000000001</v>
      </c>
      <c r="L76" s="17" t="inlineStr"/>
    </row>
    <row r="77">
      <c r="A77" s="11" t="inlineStr">
        <is>
          <t>Nongshim</t>
        </is>
      </c>
      <c r="B77" s="11" t="inlineStr">
        <is>
          <t>Локшина Nongshim Shrimp в стакані 67г</t>
        </is>
      </c>
      <c r="C77" s="13" t="n">
        <v>67</v>
      </c>
      <c r="D77" s="11" t="inlineStr">
        <is>
          <t>стакан/боул</t>
        </is>
      </c>
      <c r="E77" s="11" t="inlineStr">
        <is>
          <t>00031146017119</t>
        </is>
      </c>
      <c r="F77" s="11" t="n">
        <v>1</v>
      </c>
      <c r="G77" s="11" t="inlineStr">
        <is>
          <t>Ашан</t>
        </is>
      </c>
      <c r="H77" s="13" t="n">
        <v>103</v>
      </c>
      <c r="I77" s="13" t="n">
        <v>103</v>
      </c>
      <c r="J77" s="13" t="n">
        <v>103</v>
      </c>
      <c r="K77" s="13" t="n">
        <v>153.7</v>
      </c>
      <c r="L77" s="11" t="inlineStr"/>
    </row>
    <row r="78">
      <c r="A78" s="17" t="inlineStr">
        <is>
          <t>Nongshim</t>
        </is>
      </c>
      <c r="B78" s="17" t="inlineStr">
        <is>
          <t>Локшина Nongshim Tempura Udon 62г</t>
        </is>
      </c>
      <c r="C78" s="18" t="n">
        <v>62</v>
      </c>
      <c r="D78" s="17" t="inlineStr">
        <is>
          <t>пакет</t>
        </is>
      </c>
      <c r="E78" s="17" t="inlineStr">
        <is>
          <t>00031146017096</t>
        </is>
      </c>
      <c r="F78" s="17" t="n">
        <v>1</v>
      </c>
      <c r="G78" s="17" t="inlineStr">
        <is>
          <t>Ашан</t>
        </is>
      </c>
      <c r="H78" s="18" t="n">
        <v>103</v>
      </c>
      <c r="I78" s="18" t="n">
        <v>103</v>
      </c>
      <c r="J78" s="18" t="n">
        <v>103</v>
      </c>
      <c r="K78" s="18" t="n">
        <v>166.1</v>
      </c>
      <c r="L78" s="17" t="inlineStr"/>
    </row>
    <row r="79">
      <c r="A79" s="11" t="inlineStr">
        <is>
          <t>Nongshim</t>
        </is>
      </c>
      <c r="B79" s="11" t="inlineStr">
        <is>
          <t>Локшина Nongshim Шин Рамьон гостра сублімована 68г</t>
        </is>
      </c>
      <c r="C79" s="13" t="n">
        <v>68</v>
      </c>
      <c r="D79" s="11" t="inlineStr">
        <is>
          <t>пакет</t>
        </is>
      </c>
      <c r="E79" s="11" t="inlineStr">
        <is>
          <t>08801043031011</t>
        </is>
      </c>
      <c r="F79" s="11" t="n">
        <v>1</v>
      </c>
      <c r="G79" s="11" t="inlineStr">
        <is>
          <t>METRO</t>
        </is>
      </c>
      <c r="H79" s="13" t="n">
        <v>104.76</v>
      </c>
      <c r="I79" s="13" t="n">
        <v>104.76</v>
      </c>
      <c r="J79" s="13" t="n">
        <v>104.76</v>
      </c>
      <c r="K79" s="13" t="n">
        <v>154.1</v>
      </c>
      <c r="L79" s="11" t="inlineStr"/>
    </row>
    <row r="80">
      <c r="A80" s="17" t="inlineStr">
        <is>
          <t>Nongshim</t>
        </is>
      </c>
      <c r="B80" s="17" t="inlineStr">
        <is>
          <t>Локшина Nongshim Shin Red Super Spicy гостра 68г</t>
        </is>
      </c>
      <c r="C80" s="18" t="n">
        <v>68</v>
      </c>
      <c r="D80" s="17" t="inlineStr">
        <is>
          <t>пакет</t>
        </is>
      </c>
      <c r="E80" s="17" t="inlineStr">
        <is>
          <t>08801043049566</t>
        </is>
      </c>
      <c r="F80" s="17" t="n">
        <v>1</v>
      </c>
      <c r="G80" s="17" t="inlineStr">
        <is>
          <t>METRO</t>
        </is>
      </c>
      <c r="H80" s="18" t="n">
        <v>104.76</v>
      </c>
      <c r="I80" s="18" t="n">
        <v>104.76</v>
      </c>
      <c r="J80" s="18" t="n">
        <v>104.76</v>
      </c>
      <c r="K80" s="18" t="n">
        <v>154.1</v>
      </c>
      <c r="L80" s="17" t="inlineStr"/>
    </row>
    <row r="81">
      <c r="A81" s="11" t="inlineStr">
        <is>
          <t>Paldo</t>
        </is>
      </c>
      <c r="B81" s="11" t="inlineStr">
        <is>
          <t>Макаронні вироби Paldo локшина з сиром 110г</t>
        </is>
      </c>
      <c r="C81" s="13" t="n">
        <v>110</v>
      </c>
      <c r="D81" s="11" t="inlineStr">
        <is>
          <t>пакет</t>
        </is>
      </c>
      <c r="E81" s="11" t="inlineStr">
        <is>
          <t>00648436100934</t>
        </is>
      </c>
      <c r="F81" s="11" t="n">
        <v>1</v>
      </c>
      <c r="G81" s="11" t="inlineStr">
        <is>
          <t>Ашан</t>
        </is>
      </c>
      <c r="H81" s="13" t="n">
        <v>105.3</v>
      </c>
      <c r="I81" s="13" t="n">
        <v>105.3</v>
      </c>
      <c r="J81" s="13" t="n">
        <v>105.3</v>
      </c>
      <c r="K81" s="13" t="n">
        <v>95.7</v>
      </c>
      <c r="L81" s="11" t="inlineStr"/>
    </row>
    <row r="82">
      <c r="A82" s="17" t="inlineStr">
        <is>
          <t>Baekje</t>
        </is>
      </c>
      <c r="B82" s="17" t="inlineStr">
        <is>
          <t>Локшина Baekje рисова зі смаком кімчі 92г</t>
        </is>
      </c>
      <c r="C82" s="18" t="n">
        <v>92</v>
      </c>
      <c r="D82" s="17" t="inlineStr">
        <is>
          <t>пакет</t>
        </is>
      </c>
      <c r="E82" s="17" t="inlineStr">
        <is>
          <t>08803060080942</t>
        </is>
      </c>
      <c r="F82" s="17" t="n">
        <v>1</v>
      </c>
      <c r="G82" s="17" t="inlineStr">
        <is>
          <t>Ашан</t>
        </is>
      </c>
      <c r="H82" s="18" t="n">
        <v>106.4</v>
      </c>
      <c r="I82" s="18" t="n">
        <v>106.4</v>
      </c>
      <c r="J82" s="18" t="n">
        <v>106.4</v>
      </c>
      <c r="K82" s="18" t="n">
        <v>115.7</v>
      </c>
      <c r="L82" s="17" t="inlineStr"/>
    </row>
    <row r="83">
      <c r="A83" s="11" t="inlineStr">
        <is>
          <t>Samyang</t>
        </is>
      </c>
      <c r="B83" s="11" t="inlineStr">
        <is>
          <t>Локшина Samyang Рамен зі смаком морепродуктів 120г</t>
        </is>
      </c>
      <c r="C83" s="13" t="n">
        <v>120</v>
      </c>
      <c r="D83" s="11" t="inlineStr">
        <is>
          <t>пакет</t>
        </is>
      </c>
      <c r="E83" s="11" t="inlineStr">
        <is>
          <t>00074603006684</t>
        </is>
      </c>
      <c r="F83" s="11" t="n">
        <v>1</v>
      </c>
      <c r="G83" s="11" t="inlineStr">
        <is>
          <t>Onde</t>
        </is>
      </c>
      <c r="H83" s="13" t="n">
        <v>108</v>
      </c>
      <c r="I83" s="13" t="n">
        <v>108</v>
      </c>
      <c r="J83" s="13" t="n">
        <v>108</v>
      </c>
      <c r="K83" s="13" t="n">
        <v>90</v>
      </c>
      <c r="L83" s="11" t="inlineStr"/>
    </row>
    <row r="84">
      <c r="A84" s="17" t="inlineStr">
        <is>
          <t>Samyang</t>
        </is>
      </c>
      <c r="B84" s="17" t="inlineStr">
        <is>
          <t>Рамен Samyang Buldak Jjajang зі смаком гострої курки 140г</t>
        </is>
      </c>
      <c r="C84" s="18" t="n">
        <v>140</v>
      </c>
      <c r="D84" s="17" t="inlineStr">
        <is>
          <t>пакет</t>
        </is>
      </c>
      <c r="E84" s="17" t="inlineStr">
        <is>
          <t>08801073113947</t>
        </is>
      </c>
      <c r="F84" s="17" t="n">
        <v>1</v>
      </c>
      <c r="G84" s="17" t="inlineStr">
        <is>
          <t>Ашан</t>
        </is>
      </c>
      <c r="H84" s="18" t="n">
        <v>108.5</v>
      </c>
      <c r="I84" s="18" t="n">
        <v>108.5</v>
      </c>
      <c r="J84" s="18" t="n">
        <v>108.5</v>
      </c>
      <c r="K84" s="18" t="n">
        <v>77.5</v>
      </c>
      <c r="L84" s="17" t="inlineStr"/>
    </row>
    <row r="85">
      <c r="A85" s="11" t="inlineStr">
        <is>
          <t>Nongshim</t>
        </is>
      </c>
      <c r="B85" s="11" t="inlineStr">
        <is>
          <t>Локшина Nongshim Cup Ramyun Shrimp гостра 67г</t>
        </is>
      </c>
      <c r="C85" s="13" t="n">
        <v>67</v>
      </c>
      <c r="D85" s="11" t="inlineStr">
        <is>
          <t>стакан/боул</t>
        </is>
      </c>
      <c r="E85" s="11" t="inlineStr">
        <is>
          <t>08801043029384</t>
        </is>
      </c>
      <c r="F85" s="11" t="n">
        <v>1</v>
      </c>
      <c r="G85" s="11" t="inlineStr">
        <is>
          <t>METRO</t>
        </is>
      </c>
      <c r="H85" s="13" t="n">
        <v>111.24</v>
      </c>
      <c r="I85" s="13" t="n">
        <v>111.24</v>
      </c>
      <c r="J85" s="13" t="n">
        <v>111.24</v>
      </c>
      <c r="K85" s="13" t="n">
        <v>166</v>
      </c>
      <c r="L85" s="11" t="inlineStr"/>
    </row>
    <row r="86">
      <c r="A86" s="17" t="inlineStr">
        <is>
          <t>Nongshim</t>
        </is>
      </c>
      <c r="B86" s="17" t="inlineStr">
        <is>
          <t>Локшина Nongshim Tempura Udon 62г</t>
        </is>
      </c>
      <c r="C86" s="18" t="n">
        <v>62</v>
      </c>
      <c r="D86" s="17" t="inlineStr">
        <is>
          <t>пакет</t>
        </is>
      </c>
      <c r="E86" s="17" t="inlineStr">
        <is>
          <t>08801043029353</t>
        </is>
      </c>
      <c r="F86" s="17" t="n">
        <v>1</v>
      </c>
      <c r="G86" s="17" t="inlineStr">
        <is>
          <t>METRO</t>
        </is>
      </c>
      <c r="H86" s="18" t="n">
        <v>111.24</v>
      </c>
      <c r="I86" s="18" t="n">
        <v>111.24</v>
      </c>
      <c r="J86" s="18" t="n">
        <v>111.24</v>
      </c>
      <c r="K86" s="18" t="n">
        <v>179.4</v>
      </c>
      <c r="L86" s="17" t="inlineStr"/>
    </row>
    <row r="87">
      <c r="A87" s="11" t="inlineStr">
        <is>
          <t>Nongshim</t>
        </is>
      </c>
      <c r="B87" s="11" t="inlineStr">
        <is>
          <t>Локшина Nongshim Суп Neoguri з морепродуктами гостра 62г</t>
        </is>
      </c>
      <c r="C87" s="13" t="n">
        <v>62</v>
      </c>
      <c r="D87" s="11" t="inlineStr">
        <is>
          <t>пакет</t>
        </is>
      </c>
      <c r="E87" s="11" t="inlineStr">
        <is>
          <t>08801043029315</t>
        </is>
      </c>
      <c r="F87" s="11" t="n">
        <v>1</v>
      </c>
      <c r="G87" s="11" t="inlineStr">
        <is>
          <t>METRO</t>
        </is>
      </c>
      <c r="H87" s="13" t="n">
        <v>111.24</v>
      </c>
      <c r="I87" s="13" t="n">
        <v>111.24</v>
      </c>
      <c r="J87" s="13" t="n">
        <v>111.24</v>
      </c>
      <c r="K87" s="13" t="n">
        <v>179.4</v>
      </c>
      <c r="L87" s="11" t="inlineStr"/>
    </row>
    <row r="88">
      <c r="A88" s="17" t="inlineStr">
        <is>
          <t>Nongshim</t>
        </is>
      </c>
      <c r="B88" s="17" t="inlineStr">
        <is>
          <t>Локшина Nongshim Soon Veggie Cup Noodle Soup 67г</t>
        </is>
      </c>
      <c r="C88" s="18" t="n">
        <v>67</v>
      </c>
      <c r="D88" s="17" t="inlineStr">
        <is>
          <t>стакан/боул</t>
        </is>
      </c>
      <c r="E88" s="17" t="inlineStr">
        <is>
          <t>08801043028127</t>
        </is>
      </c>
      <c r="F88" s="17" t="n">
        <v>1</v>
      </c>
      <c r="G88" s="17" t="inlineStr">
        <is>
          <t>METRO</t>
        </is>
      </c>
      <c r="H88" s="18" t="n">
        <v>111.24</v>
      </c>
      <c r="I88" s="18" t="n">
        <v>111.24</v>
      </c>
      <c r="J88" s="18" t="n">
        <v>111.24</v>
      </c>
      <c r="K88" s="18" t="n">
        <v>166</v>
      </c>
      <c r="L88" s="17" t="inlineStr"/>
    </row>
    <row r="89">
      <c r="A89" s="11" t="inlineStr">
        <is>
          <t>Ottogi</t>
        </is>
      </c>
      <c r="B89" s="11" t="inlineStr">
        <is>
          <t>Рамен Ottogi з кунжутом 115г</t>
        </is>
      </c>
      <c r="C89" s="13" t="n">
        <v>115</v>
      </c>
      <c r="D89" s="11" t="inlineStr">
        <is>
          <t>пакет</t>
        </is>
      </c>
      <c r="E89" s="11" t="inlineStr">
        <is>
          <t>08801045525235</t>
        </is>
      </c>
      <c r="F89" s="11" t="n">
        <v>1</v>
      </c>
      <c r="G89" s="11" t="inlineStr">
        <is>
          <t>Ашан</t>
        </is>
      </c>
      <c r="H89" s="13" t="n">
        <v>111.9</v>
      </c>
      <c r="I89" s="13" t="n">
        <v>111.9</v>
      </c>
      <c r="J89" s="13" t="n">
        <v>111.9</v>
      </c>
      <c r="K89" s="13" t="n">
        <v>97.3</v>
      </c>
      <c r="L89" s="11" t="inlineStr"/>
    </row>
    <row r="90">
      <c r="A90" s="17" t="inlineStr">
        <is>
          <t>Ottogi</t>
        </is>
      </c>
      <c r="B90" s="17" t="inlineStr">
        <is>
          <t>Локшина Ottogi Jin Jjambbong Ramen з морепродуктами 130г</t>
        </is>
      </c>
      <c r="C90" s="18" t="n">
        <v>130</v>
      </c>
      <c r="D90" s="17" t="inlineStr">
        <is>
          <t>пакет</t>
        </is>
      </c>
      <c r="E90" s="17" t="inlineStr">
        <is>
          <t>08801045522555</t>
        </is>
      </c>
      <c r="F90" s="17" t="n">
        <v>1</v>
      </c>
      <c r="G90" s="17" t="inlineStr">
        <is>
          <t>Ашан</t>
        </is>
      </c>
      <c r="H90" s="18" t="n">
        <v>112.5</v>
      </c>
      <c r="I90" s="18" t="n">
        <v>112.5</v>
      </c>
      <c r="J90" s="18" t="n">
        <v>112.5</v>
      </c>
      <c r="K90" s="18" t="n">
        <v>86.5</v>
      </c>
      <c r="L90" s="17" t="inlineStr"/>
    </row>
    <row r="91">
      <c r="A91" s="11" t="inlineStr">
        <is>
          <t>Samyang</t>
        </is>
      </c>
      <c r="B91" s="11" t="inlineStr">
        <is>
          <t>Локшина Samyang Ramen з сиром гостра 130г</t>
        </is>
      </c>
      <c r="C91" s="13" t="n">
        <v>130</v>
      </c>
      <c r="D91" s="11" t="inlineStr">
        <is>
          <t>пакет</t>
        </is>
      </c>
      <c r="E91" s="11" t="inlineStr">
        <is>
          <t>08801073113312</t>
        </is>
      </c>
      <c r="F91" s="11" t="n">
        <v>1</v>
      </c>
      <c r="G91" s="11" t="inlineStr">
        <is>
          <t>Ашан</t>
        </is>
      </c>
      <c r="H91" s="13" t="n">
        <v>115.1</v>
      </c>
      <c r="I91" s="13" t="n">
        <v>115.1</v>
      </c>
      <c r="J91" s="13" t="n">
        <v>115.1</v>
      </c>
      <c r="K91" s="13" t="n">
        <v>88.5</v>
      </c>
      <c r="L91" s="11" t="inlineStr"/>
    </row>
    <row r="92">
      <c r="A92" s="17" t="inlineStr">
        <is>
          <t>Nongshim</t>
        </is>
      </c>
      <c r="B92" s="17" t="inlineStr">
        <is>
          <t>Локшина Nongshim Рамен зі спеціями 120г</t>
        </is>
      </c>
      <c r="C92" s="18" t="n">
        <v>120</v>
      </c>
      <c r="D92" s="17" t="inlineStr">
        <is>
          <t>пакет</t>
        </is>
      </c>
      <c r="E92" s="17" t="inlineStr">
        <is>
          <t>08801043014809</t>
        </is>
      </c>
      <c r="F92" s="17" t="n">
        <v>1</v>
      </c>
      <c r="G92" s="17" t="inlineStr">
        <is>
          <t>Grono</t>
        </is>
      </c>
      <c r="H92" s="18" t="n">
        <v>125</v>
      </c>
      <c r="I92" s="18" t="n">
        <v>125</v>
      </c>
      <c r="J92" s="18" t="n">
        <v>125</v>
      </c>
      <c r="K92" s="18" t="n">
        <v>104.2</v>
      </c>
      <c r="L92" s="17" t="inlineStr"/>
    </row>
    <row r="93">
      <c r="A93" s="11" t="inlineStr">
        <is>
          <t>Nongshim</t>
        </is>
      </c>
      <c r="B93" s="11" t="inlineStr">
        <is>
          <t>Локшина Nongshim Shin Ramyun швидкого приготування з грибами 120г</t>
        </is>
      </c>
      <c r="C93" s="13" t="n">
        <v>120</v>
      </c>
      <c r="D93" s="11" t="inlineStr">
        <is>
          <t>пакет</t>
        </is>
      </c>
      <c r="E93" s="11" t="inlineStr">
        <is>
          <t>08801043150026</t>
        </is>
      </c>
      <c r="F93" s="11" t="n">
        <v>1</v>
      </c>
      <c r="G93" s="11" t="inlineStr">
        <is>
          <t>Onde</t>
        </is>
      </c>
      <c r="H93" s="13" t="n">
        <v>128.4</v>
      </c>
      <c r="I93" s="13" t="n">
        <v>128.4</v>
      </c>
      <c r="J93" s="13" t="n">
        <v>128.4</v>
      </c>
      <c r="K93" s="13" t="n">
        <v>107</v>
      </c>
      <c r="L93" s="11" t="inlineStr"/>
    </row>
    <row r="94">
      <c r="A94" s="17" t="inlineStr">
        <is>
          <t>Nongshim</t>
        </is>
      </c>
      <c r="B94" s="17" t="inlineStr">
        <is>
          <t>Локшина Nongshim Шин Рамен Black 130г</t>
        </is>
      </c>
      <c r="C94" s="18" t="n">
        <v>130</v>
      </c>
      <c r="D94" s="17" t="inlineStr">
        <is>
          <t>пакет</t>
        </is>
      </c>
      <c r="E94" s="17" t="inlineStr">
        <is>
          <t>00031146017379</t>
        </is>
      </c>
      <c r="F94" s="17" t="n">
        <v>1</v>
      </c>
      <c r="G94" s="17" t="inlineStr">
        <is>
          <t>METRO</t>
        </is>
      </c>
      <c r="H94" s="18" t="n">
        <v>165.24</v>
      </c>
      <c r="I94" s="18" t="n">
        <v>165.24</v>
      </c>
      <c r="J94" s="18" t="n">
        <v>165.24</v>
      </c>
      <c r="K94" s="18" t="n">
        <v>127.1</v>
      </c>
      <c r="L94" s="17" t="inlineStr"/>
    </row>
    <row r="95">
      <c r="A95" s="11" t="inlineStr">
        <is>
          <t>Nongshim</t>
        </is>
      </c>
      <c r="B95" s="11" t="inlineStr">
        <is>
          <t>Макаронні вироби Nongshim Shin Cup локшина швидкого приготування з грибами 80г</t>
        </is>
      </c>
      <c r="C95" s="13" t="n">
        <v>80</v>
      </c>
      <c r="D95" s="11" t="inlineStr">
        <is>
          <t>стакан/боул</t>
        </is>
      </c>
      <c r="E95" s="11" t="inlineStr">
        <is>
          <t>08801043031110</t>
        </is>
      </c>
      <c r="F95" s="11" t="n">
        <v>1</v>
      </c>
      <c r="G95" s="11" t="inlineStr">
        <is>
          <t>Grono</t>
        </is>
      </c>
      <c r="H95" s="13" t="n">
        <v>195</v>
      </c>
      <c r="I95" s="13" t="n">
        <v>195</v>
      </c>
      <c r="J95" s="13" t="n">
        <v>195</v>
      </c>
      <c r="K95" s="13" t="n">
        <v>243.8</v>
      </c>
      <c r="L95" s="11" t="inlineStr"/>
    </row>
    <row r="96">
      <c r="A96" s="17" t="inlineStr">
        <is>
          <t>Yopokki</t>
        </is>
      </c>
      <c r="B96" s="17" t="inlineStr">
        <is>
          <t>Топоккі та локшина Рамен Yopokki з сиром 145г</t>
        </is>
      </c>
      <c r="C96" s="18" t="n">
        <v>145</v>
      </c>
      <c r="D96" s="17" t="inlineStr">
        <is>
          <t>пакет</t>
        </is>
      </c>
      <c r="E96" s="17" t="inlineStr">
        <is>
          <t>08809054402356</t>
        </is>
      </c>
      <c r="F96" s="17" t="n">
        <v>1</v>
      </c>
      <c r="G96" s="17" t="inlineStr">
        <is>
          <t>METRO</t>
        </is>
      </c>
      <c r="H96" s="18" t="n">
        <v>197.64</v>
      </c>
      <c r="I96" s="18" t="n">
        <v>197.64</v>
      </c>
      <c r="J96" s="18" t="n">
        <v>197.64</v>
      </c>
      <c r="K96" s="18" t="n">
        <v>136.3</v>
      </c>
      <c r="L96" s="17" t="inlineStr"/>
    </row>
    <row r="97">
      <c r="A97" s="11" t="inlineStr">
        <is>
          <t>Nongshim</t>
        </is>
      </c>
      <c r="B97" s="11" t="inlineStr">
        <is>
          <t>Локшина швидкого приготування Nongshim Spicy &amp; Creamy Toomba K-Pop 137г</t>
        </is>
      </c>
      <c r="C97" s="13" t="n">
        <v>137</v>
      </c>
      <c r="D97" s="11" t="inlineStr">
        <is>
          <t>пакет</t>
        </is>
      </c>
      <c r="E97" s="11" t="inlineStr">
        <is>
          <t>08801043015479</t>
        </is>
      </c>
      <c r="F97" s="11" t="n">
        <v>1</v>
      </c>
      <c r="G97" s="11" t="inlineStr">
        <is>
          <t>Grono</t>
        </is>
      </c>
      <c r="H97" s="13" t="n">
        <v>198</v>
      </c>
      <c r="I97" s="13" t="n">
        <v>198</v>
      </c>
      <c r="J97" s="13" t="n">
        <v>198</v>
      </c>
      <c r="K97" s="13" t="n">
        <v>144.5</v>
      </c>
      <c r="L97" s="11" t="inlineStr"/>
    </row>
    <row r="98">
      <c r="A98" s="17" t="inlineStr">
        <is>
          <t>Yopokki</t>
        </is>
      </c>
      <c r="B98" s="17" t="inlineStr">
        <is>
          <t>Топоккі та локшина Рамен Yopokki гострі 145г</t>
        </is>
      </c>
      <c r="C98" s="18" t="n">
        <v>145</v>
      </c>
      <c r="D98" s="17" t="inlineStr">
        <is>
          <t>пакет</t>
        </is>
      </c>
      <c r="E98" s="17" t="inlineStr">
        <is>
          <t>08809054402363</t>
        </is>
      </c>
      <c r="F98" s="17" t="n">
        <v>1</v>
      </c>
      <c r="G98" s="17" t="inlineStr">
        <is>
          <t>METRO</t>
        </is>
      </c>
      <c r="H98" s="18" t="n">
        <v>204.12</v>
      </c>
      <c r="I98" s="18" t="n">
        <v>204.12</v>
      </c>
      <c r="J98" s="18" t="n">
        <v>204.12</v>
      </c>
      <c r="K98" s="18" t="n">
        <v>140.8</v>
      </c>
      <c r="L98" s="17" t="inlineStr"/>
    </row>
    <row r="99">
      <c r="A99" s="11" t="inlineStr">
        <is>
          <t>Yopokki</t>
        </is>
      </c>
      <c r="B99" s="11" t="inlineStr">
        <is>
          <t>Топоккі та локшина Рамен Yopokki зі смаком кімчі 145г</t>
        </is>
      </c>
      <c r="C99" s="13" t="n">
        <v>145</v>
      </c>
      <c r="D99" s="11" t="inlineStr">
        <is>
          <t>пакет</t>
        </is>
      </c>
      <c r="E99" s="11" t="inlineStr">
        <is>
          <t>08809054402370</t>
        </is>
      </c>
      <c r="F99" s="11" t="n">
        <v>1</v>
      </c>
      <c r="G99" s="11" t="inlineStr">
        <is>
          <t>METRO</t>
        </is>
      </c>
      <c r="H99" s="13" t="n">
        <v>204.12</v>
      </c>
      <c r="I99" s="13" t="n">
        <v>204.12</v>
      </c>
      <c r="J99" s="13" t="n">
        <v>204.12</v>
      </c>
      <c r="K99" s="13" t="n">
        <v>140.8</v>
      </c>
      <c r="L99" s="11" t="inlineStr"/>
    </row>
    <row r="100">
      <c r="A100" s="17" t="inlineStr">
        <is>
          <t>Yopokki</t>
        </is>
      </c>
      <c r="B100" s="17" t="inlineStr">
        <is>
          <t>Топоккі та локшина Рамен Yopokki гостро-солодкі 145г</t>
        </is>
      </c>
      <c r="C100" s="18" t="n">
        <v>145</v>
      </c>
      <c r="D100" s="17" t="inlineStr">
        <is>
          <t>пакет</t>
        </is>
      </c>
      <c r="E100" s="17" t="inlineStr">
        <is>
          <t>08809054402349</t>
        </is>
      </c>
      <c r="F100" s="17" t="n">
        <v>1</v>
      </c>
      <c r="G100" s="17" t="inlineStr">
        <is>
          <t>METRO</t>
        </is>
      </c>
      <c r="H100" s="18" t="n">
        <v>204.12</v>
      </c>
      <c r="I100" s="18" t="n">
        <v>204.12</v>
      </c>
      <c r="J100" s="18" t="n">
        <v>204.12</v>
      </c>
      <c r="K100" s="18" t="n">
        <v>140.8</v>
      </c>
      <c r="L100" s="17" t="inlineStr"/>
    </row>
  </sheetData>
  <autoFilter ref="A4:L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3" customWidth="1" min="4" max="4"/>
    <col width="14" customWidth="1" min="5" max="5"/>
    <col width="11" customWidth="1" min="6" max="6"/>
    <col width="11" customWidth="1" min="7" max="7"/>
    <col width="11" customWidth="1" min="8" max="8"/>
    <col width="12" customWidth="1" min="9" max="9"/>
  </cols>
  <sheetData>
    <row r="1">
      <c r="A1" s="1" t="inlineStr">
        <is>
          <t>Зведення по брендах</t>
        </is>
      </c>
    </row>
    <row r="4" ht="26" customHeight="1">
      <c r="A4" s="10" t="inlineStr">
        <is>
          <t>Бренд</t>
        </is>
      </c>
      <c r="B4" s="10" t="inlineStr">
        <is>
          <t>SKU</t>
        </is>
      </c>
      <c r="C4" s="10" t="inlineStr">
        <is>
          <t>Мереж</t>
        </is>
      </c>
      <c r="D4" s="10" t="inlineStr">
        <is>
          <t>Вага мін, г</t>
        </is>
      </c>
      <c r="E4" s="10" t="inlineStr">
        <is>
          <t>Вага макс, г</t>
        </is>
      </c>
      <c r="F4" s="10" t="inlineStr">
        <is>
          <t>Ціна мін</t>
        </is>
      </c>
      <c r="G4" s="10" t="inlineStr">
        <is>
          <t>Медіана</t>
        </is>
      </c>
      <c r="H4" s="10" t="inlineStr">
        <is>
          <t>Ціна макс</t>
        </is>
      </c>
      <c r="I4" s="10" t="inlineStr">
        <is>
          <t>грн/100 г</t>
        </is>
      </c>
    </row>
    <row r="5">
      <c r="A5" s="11" t="inlineStr">
        <is>
          <t>Samyang</t>
        </is>
      </c>
      <c r="B5" s="11" t="n">
        <v>22</v>
      </c>
      <c r="C5" s="11" t="n">
        <v>11</v>
      </c>
      <c r="D5" s="11" t="n">
        <v>70</v>
      </c>
      <c r="E5" s="11" t="n">
        <v>145</v>
      </c>
      <c r="F5" s="11" t="n">
        <v>33.9</v>
      </c>
      <c r="G5" s="11" t="n">
        <v>112</v>
      </c>
      <c r="H5" s="11" t="n">
        <v>184</v>
      </c>
      <c r="I5" s="11" t="n">
        <v>96</v>
      </c>
    </row>
    <row r="6">
      <c r="A6" s="17" t="inlineStr">
        <is>
          <t>Nongshim</t>
        </is>
      </c>
      <c r="B6" s="17" t="n">
        <v>32</v>
      </c>
      <c r="C6" s="17" t="n">
        <v>10</v>
      </c>
      <c r="D6" s="17" t="n">
        <v>62</v>
      </c>
      <c r="E6" s="17" t="n">
        <v>140</v>
      </c>
      <c r="F6" s="17" t="n">
        <v>73.5</v>
      </c>
      <c r="G6" s="17" t="n">
        <v>111</v>
      </c>
      <c r="H6" s="17" t="n">
        <v>209</v>
      </c>
      <c r="I6" s="17" t="n">
        <v>106</v>
      </c>
    </row>
    <row r="7">
      <c r="A7" s="11" t="inlineStr">
        <is>
          <t>Paldo</t>
        </is>
      </c>
      <c r="B7" s="11" t="n">
        <v>15</v>
      </c>
      <c r="C7" s="11" t="n">
        <v>5</v>
      </c>
      <c r="D7" s="11" t="n">
        <v>105</v>
      </c>
      <c r="E7" s="11" t="n">
        <v>145</v>
      </c>
      <c r="F7" s="11" t="n">
        <v>72</v>
      </c>
      <c r="G7" s="11" t="n">
        <v>94</v>
      </c>
      <c r="H7" s="11" t="n">
        <v>124</v>
      </c>
      <c r="I7" s="11" t="n">
        <v>77</v>
      </c>
    </row>
    <row r="8">
      <c r="A8" s="17" t="inlineStr">
        <is>
          <t>Ottogi</t>
        </is>
      </c>
      <c r="B8" s="17" t="n">
        <v>11</v>
      </c>
      <c r="C8" s="17" t="n">
        <v>5</v>
      </c>
      <c r="D8" s="17" t="n">
        <v>67</v>
      </c>
      <c r="E8" s="17" t="n">
        <v>130</v>
      </c>
      <c r="F8" s="17" t="n">
        <v>67</v>
      </c>
      <c r="G8" s="17" t="n">
        <v>89</v>
      </c>
      <c r="H8" s="17" t="n">
        <v>112.5</v>
      </c>
      <c r="I8" s="17" t="n">
        <v>75</v>
      </c>
    </row>
    <row r="9">
      <c r="A9" s="11" t="inlineStr">
        <is>
          <t>O'Food</t>
        </is>
      </c>
      <c r="B9" s="11" t="n">
        <v>4</v>
      </c>
      <c r="C9" s="11" t="n">
        <v>2</v>
      </c>
      <c r="D9" s="11" t="n">
        <v>102</v>
      </c>
      <c r="E9" s="11" t="n">
        <v>144</v>
      </c>
      <c r="F9" s="11" t="n">
        <v>67.90000000000001</v>
      </c>
      <c r="G9" s="11" t="n">
        <v>77</v>
      </c>
      <c r="H9" s="11" t="n">
        <v>84.5</v>
      </c>
      <c r="I9" s="11" t="n">
        <v>67</v>
      </c>
    </row>
    <row r="10">
      <c r="A10" s="17" t="inlineStr">
        <is>
          <t>Choi's</t>
        </is>
      </c>
      <c r="B10" s="17" t="n">
        <v>1</v>
      </c>
      <c r="C10" s="17" t="n">
        <v>2</v>
      </c>
      <c r="D10" s="17" t="n">
        <v>131</v>
      </c>
      <c r="E10" s="17" t="n">
        <v>131</v>
      </c>
      <c r="F10" s="17" t="n">
        <v>125.2</v>
      </c>
      <c r="G10" s="17" t="n">
        <v>125</v>
      </c>
      <c r="H10" s="17" t="n">
        <v>125.2</v>
      </c>
      <c r="I10" s="17" t="n">
        <v>96</v>
      </c>
    </row>
    <row r="11">
      <c r="A11" s="11" t="inlineStr">
        <is>
          <t>Yopokki</t>
        </is>
      </c>
      <c r="B11" s="11" t="n">
        <v>4</v>
      </c>
      <c r="C11" s="11" t="n">
        <v>1</v>
      </c>
      <c r="D11" s="11" t="n">
        <v>145</v>
      </c>
      <c r="E11" s="11" t="n">
        <v>145</v>
      </c>
      <c r="F11" s="11" t="n">
        <v>197.64</v>
      </c>
      <c r="G11" s="11" t="n">
        <v>204</v>
      </c>
      <c r="H11" s="11" t="n">
        <v>204.12</v>
      </c>
      <c r="I11" s="11" t="n">
        <v>141</v>
      </c>
    </row>
    <row r="12">
      <c r="A12" s="17" t="inlineStr">
        <is>
          <t>Bibigo</t>
        </is>
      </c>
      <c r="B12" s="17" t="n">
        <v>4</v>
      </c>
      <c r="C12" s="17" t="n">
        <v>1</v>
      </c>
      <c r="D12" s="17" t="n">
        <v>122</v>
      </c>
      <c r="E12" s="17" t="n">
        <v>127</v>
      </c>
      <c r="F12" s="17" t="n">
        <v>85.5</v>
      </c>
      <c r="G12" s="17" t="n">
        <v>86</v>
      </c>
      <c r="H12" s="17" t="n">
        <v>85.5</v>
      </c>
      <c r="I12" s="17" t="n">
        <v>70</v>
      </c>
    </row>
    <row r="13">
      <c r="A13" s="11" t="inlineStr">
        <is>
          <t>Otoki</t>
        </is>
      </c>
      <c r="B13" s="11" t="n">
        <v>1</v>
      </c>
      <c r="C13" s="11" t="n">
        <v>1</v>
      </c>
      <c r="D13" s="11" t="n">
        <v>120</v>
      </c>
      <c r="E13" s="11" t="n">
        <v>120</v>
      </c>
      <c r="F13" s="11" t="n">
        <v>94.90000000000001</v>
      </c>
      <c r="G13" s="11" t="n">
        <v>95</v>
      </c>
      <c r="H13" s="11" t="n">
        <v>94.90000000000001</v>
      </c>
      <c r="I13" s="11" t="n">
        <v>79</v>
      </c>
    </row>
    <row r="14">
      <c r="A14" s="17" t="inlineStr">
        <is>
          <t>Baekje</t>
        </is>
      </c>
      <c r="B14" s="17" t="n">
        <v>1</v>
      </c>
      <c r="C14" s="17" t="n">
        <v>1</v>
      </c>
      <c r="D14" s="17" t="n">
        <v>92</v>
      </c>
      <c r="E14" s="17" t="n">
        <v>92</v>
      </c>
      <c r="F14" s="17" t="n">
        <v>106.4</v>
      </c>
      <c r="G14" s="17" t="n">
        <v>106</v>
      </c>
      <c r="H14" s="17" t="n">
        <v>106.4</v>
      </c>
      <c r="I14" s="17" t="n">
        <v>116</v>
      </c>
    </row>
    <row r="15">
      <c r="A15" s="11" t="inlineStr">
        <is>
          <t>fire bull</t>
        </is>
      </c>
      <c r="B15" s="11" t="n">
        <v>1</v>
      </c>
      <c r="C15" s="11" t="n">
        <v>1</v>
      </c>
      <c r="D15" s="11" t="n">
        <v>137.8</v>
      </c>
      <c r="E15" s="11" t="n">
        <v>137.8</v>
      </c>
      <c r="F15" s="11" t="n">
        <v>78.40000000000001</v>
      </c>
      <c r="G15" s="11" t="n">
        <v>78</v>
      </c>
      <c r="H15" s="11" t="n">
        <v>78.40000000000001</v>
      </c>
      <c r="I15" s="11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Ритейл-аудит: корейський рамен по мережах</t>
        </is>
      </c>
    </row>
    <row r="2">
      <c r="A2" s="2" t="inlineStr">
        <is>
          <t>18 мереж перевірено, 13 мають категорію.</t>
        </is>
      </c>
    </row>
    <row r="4" ht="26" customHeight="1">
      <c r="A4" s="10" t="inlineStr">
        <is>
          <t>Мережа</t>
        </is>
      </c>
      <c r="B4" s="10" t="inlineStr">
        <is>
          <t>SKU</t>
        </is>
      </c>
      <c r="C4" s="10" t="inlineStr">
        <is>
          <t>Медіана, грн</t>
        </is>
      </c>
      <c r="D4" s="10" t="inlineStr">
        <is>
          <t>Мін, грн</t>
        </is>
      </c>
      <c r="E4" s="10" t="inlineStr">
        <is>
          <t>Макс, грн</t>
        </is>
      </c>
    </row>
    <row r="5">
      <c r="A5" s="11" t="inlineStr">
        <is>
          <t>Ашан</t>
        </is>
      </c>
      <c r="B5" s="11" t="n">
        <v>63</v>
      </c>
      <c r="C5" s="11" t="n">
        <v>95</v>
      </c>
      <c r="D5" s="11" t="n">
        <v>65</v>
      </c>
      <c r="E5" s="11" t="n">
        <v>205</v>
      </c>
    </row>
    <row r="6">
      <c r="A6" s="11" t="inlineStr">
        <is>
          <t>Grono</t>
        </is>
      </c>
      <c r="B6" s="11" t="n">
        <v>25</v>
      </c>
      <c r="C6" s="11" t="n">
        <v>118</v>
      </c>
      <c r="D6" s="11" t="n">
        <v>72</v>
      </c>
      <c r="E6" s="11" t="n">
        <v>205</v>
      </c>
    </row>
    <row r="7">
      <c r="A7" s="11" t="inlineStr">
        <is>
          <t>Onde</t>
        </is>
      </c>
      <c r="B7" s="11" t="n">
        <v>25</v>
      </c>
      <c r="C7" s="11" t="n">
        <v>118</v>
      </c>
      <c r="D7" s="11" t="n">
        <v>76</v>
      </c>
      <c r="E7" s="11" t="n">
        <v>157</v>
      </c>
    </row>
    <row r="8">
      <c r="A8" s="11" t="inlineStr">
        <is>
          <t>METRO</t>
        </is>
      </c>
      <c r="B8" s="11" t="n">
        <v>16</v>
      </c>
      <c r="C8" s="11" t="n">
        <v>118</v>
      </c>
      <c r="D8" s="11" t="n">
        <v>105</v>
      </c>
      <c r="E8" s="11" t="n">
        <v>204</v>
      </c>
    </row>
    <row r="9">
      <c r="A9" s="11" t="inlineStr">
        <is>
          <t>Зараз</t>
        </is>
      </c>
      <c r="B9" s="11" t="n">
        <v>14</v>
      </c>
      <c r="C9" s="11" t="n">
        <v>98</v>
      </c>
      <c r="D9" s="11" t="n">
        <v>70</v>
      </c>
      <c r="E9" s="11" t="n">
        <v>138</v>
      </c>
    </row>
    <row r="10">
      <c r="A10" s="11" t="inlineStr">
        <is>
          <t>Клас</t>
        </is>
      </c>
      <c r="B10" s="11" t="n">
        <v>13</v>
      </c>
      <c r="C10" s="11" t="n">
        <v>137</v>
      </c>
      <c r="D10" s="11" t="n">
        <v>102</v>
      </c>
      <c r="E10" s="11" t="n">
        <v>157</v>
      </c>
    </row>
    <row r="11">
      <c r="A11" s="11" t="inlineStr">
        <is>
          <t>Восторг</t>
        </is>
      </c>
      <c r="B11" s="11" t="n">
        <v>13</v>
      </c>
      <c r="C11" s="11" t="n">
        <v>137</v>
      </c>
      <c r="D11" s="11" t="n">
        <v>102</v>
      </c>
      <c r="E11" s="11" t="n">
        <v>157</v>
      </c>
    </row>
    <row r="12">
      <c r="A12" s="11" t="inlineStr">
        <is>
          <t>Космос</t>
        </is>
      </c>
      <c r="B12" s="11" t="n">
        <v>12</v>
      </c>
      <c r="C12" s="11" t="n">
        <v>122</v>
      </c>
      <c r="D12" s="11" t="n">
        <v>77</v>
      </c>
      <c r="E12" s="11" t="n">
        <v>143</v>
      </c>
    </row>
    <row r="13">
      <c r="A13" s="11" t="inlineStr">
        <is>
          <t>Таврія В</t>
        </is>
      </c>
      <c r="B13" s="11" t="n">
        <v>12</v>
      </c>
      <c r="C13" s="11" t="n">
        <v>122</v>
      </c>
      <c r="D13" s="11" t="n">
        <v>77</v>
      </c>
      <c r="E13" s="11" t="n">
        <v>143</v>
      </c>
    </row>
    <row r="14">
      <c r="A14" s="11" t="inlineStr">
        <is>
          <t>NOVUS</t>
        </is>
      </c>
      <c r="B14" s="11" t="n">
        <v>8</v>
      </c>
      <c r="C14" s="11" t="n">
        <v>128</v>
      </c>
      <c r="D14" s="11" t="n">
        <v>100</v>
      </c>
      <c r="E14" s="11" t="n">
        <v>149</v>
      </c>
    </row>
    <row r="15">
      <c r="A15" s="11" t="inlineStr">
        <is>
          <t>ЧудоМаркет</t>
        </is>
      </c>
      <c r="B15" s="11" t="n">
        <v>6</v>
      </c>
      <c r="C15" s="11" t="n">
        <v>136</v>
      </c>
      <c r="D15" s="11" t="n">
        <v>100</v>
      </c>
      <c r="E15" s="11" t="n">
        <v>149</v>
      </c>
    </row>
    <row r="16">
      <c r="A16" s="11" t="inlineStr">
        <is>
          <t>Торба</t>
        </is>
      </c>
      <c r="B16" s="11" t="n">
        <v>2</v>
      </c>
      <c r="C16" s="11" t="n">
        <v>138</v>
      </c>
      <c r="D16" s="11" t="n">
        <v>138</v>
      </c>
      <c r="E16" s="11" t="n">
        <v>139</v>
      </c>
    </row>
    <row r="17">
      <c r="A17" s="4" t="inlineStr">
        <is>
          <t>Сільпо</t>
        </is>
      </c>
      <c r="B17" s="4" t="n">
        <v>4</v>
      </c>
      <c r="C17" s="4" t="n">
        <v>114</v>
      </c>
      <c r="D17" s="4" t="n">
        <v>90</v>
      </c>
      <c r="E17" s="4" t="n">
        <v>199</v>
      </c>
    </row>
    <row r="18">
      <c r="A18" s="4" t="inlineStr">
        <is>
          <t>МегаМаркет</t>
        </is>
      </c>
      <c r="B18" s="4" t="n">
        <v>0</v>
      </c>
      <c r="C18" s="4" t="inlineStr">
        <is>
          <t>категорії немає</t>
        </is>
      </c>
    </row>
    <row r="19">
      <c r="A19" s="4" t="inlineStr">
        <is>
          <t>Ultramarket</t>
        </is>
      </c>
      <c r="B19" s="4" t="n">
        <v>0</v>
      </c>
      <c r="C19" s="4" t="inlineStr">
        <is>
          <t>категорії немає</t>
        </is>
      </c>
    </row>
    <row r="20">
      <c r="A20" s="4" t="inlineStr">
        <is>
          <t>ЕКО маркет</t>
        </is>
      </c>
      <c r="B20" s="4" t="n">
        <v>0</v>
      </c>
      <c r="C20" s="4" t="inlineStr">
        <is>
          <t>категорії немає</t>
        </is>
      </c>
    </row>
    <row r="21">
      <c r="A21" s="4" t="inlineStr">
        <is>
          <t>Епіцентр</t>
        </is>
      </c>
      <c r="B21" s="4" t="n">
        <v>0</v>
      </c>
      <c r="C21" s="4" t="inlineStr">
        <is>
          <t>категорії немає</t>
        </is>
      </c>
    </row>
    <row r="22">
      <c r="A22" s="4" t="inlineStr">
        <is>
          <t>Ідеал</t>
        </is>
      </c>
      <c r="B22" s="4" t="n">
        <v>0</v>
      </c>
      <c r="C22" s="4" t="inlineStr">
        <is>
          <t>категорії немає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>
      <c r="A1" s="1" t="inlineStr">
        <is>
          <t>Імпорт HS 1902 30 до України</t>
        </is>
      </c>
    </row>
    <row r="2">
      <c r="A2" s="2" t="inlineStr">
        <is>
          <t>UN Comtrade, дзеркальні дані країн-експортерів. Україна за 2025 рік не звітувала.</t>
        </is>
      </c>
    </row>
    <row r="4" ht="26" customHeight="1">
      <c r="A4" s="10" t="inlineStr">
        <is>
          <t>Країна</t>
        </is>
      </c>
      <c r="B4" s="10" t="inlineStr">
        <is>
          <t>2024, кг</t>
        </is>
      </c>
      <c r="C4" s="10" t="inlineStr">
        <is>
          <t>2024, $</t>
        </is>
      </c>
      <c r="D4" s="10" t="inlineStr">
        <is>
          <t>2024, $/кг</t>
        </is>
      </c>
      <c r="E4" s="10" t="inlineStr">
        <is>
          <t>2025, кг</t>
        </is>
      </c>
      <c r="F4" s="10" t="inlineStr">
        <is>
          <t>2025, $</t>
        </is>
      </c>
      <c r="G4" s="10" t="inlineStr">
        <is>
          <t>2025, $/кг</t>
        </is>
      </c>
      <c r="H4" s="10" t="inlineStr">
        <is>
          <t>Δ кг</t>
        </is>
      </c>
    </row>
    <row r="5">
      <c r="A5" s="11" t="inlineStr">
        <is>
          <t>Китай</t>
        </is>
      </c>
      <c r="B5" s="31" t="n">
        <v>611845</v>
      </c>
      <c r="C5" s="31" t="n">
        <v>911589</v>
      </c>
      <c r="D5" s="32" t="n">
        <v>1.489901854227786</v>
      </c>
      <c r="E5" s="31" t="n">
        <v>734052</v>
      </c>
      <c r="F5" s="31" t="n">
        <v>1129548</v>
      </c>
      <c r="G5" s="32" t="n">
        <v>1.538784718248843</v>
      </c>
      <c r="H5" s="16" t="n">
        <v>0.1997352270591408</v>
      </c>
    </row>
    <row r="6">
      <c r="A6" s="17" t="inlineStr">
        <is>
          <t>Корея</t>
        </is>
      </c>
      <c r="B6" s="33" t="n">
        <v>233250.8</v>
      </c>
      <c r="C6" s="33" t="n">
        <v>917800</v>
      </c>
      <c r="D6" s="34" t="n">
        <v>3.934820373606436</v>
      </c>
      <c r="E6" s="33" t="n">
        <v>253814.561</v>
      </c>
      <c r="F6" s="33" t="n">
        <v>1238347</v>
      </c>
      <c r="G6" s="34" t="n">
        <v>4.878943883759293</v>
      </c>
      <c r="H6" s="20" t="n">
        <v>0.08816158829894682</v>
      </c>
    </row>
    <row r="7">
      <c r="A7" s="11" t="inlineStr">
        <is>
          <t>Польща</t>
        </is>
      </c>
      <c r="B7" s="31" t="n">
        <v>119991</v>
      </c>
      <c r="C7" s="31" t="n">
        <v>600862</v>
      </c>
      <c r="D7" s="32" t="n">
        <v>5.007558900250852</v>
      </c>
      <c r="E7" s="31" t="n">
        <v>242009</v>
      </c>
      <c r="F7" s="31" t="n">
        <v>1317645</v>
      </c>
      <c r="G7" s="32" t="n">
        <v>5.444611564032742</v>
      </c>
      <c r="H7" s="16" t="n">
        <v>1.016892933636689</v>
      </c>
    </row>
    <row r="8">
      <c r="A8" s="17" t="inlineStr">
        <is>
          <t>Туреччина</t>
        </is>
      </c>
      <c r="B8" s="33" t="n">
        <v>142983</v>
      </c>
      <c r="C8" s="33" t="n">
        <v>102765</v>
      </c>
      <c r="D8" s="34" t="n">
        <v>0.7187218060888357</v>
      </c>
      <c r="E8" s="33" t="n">
        <v>186519</v>
      </c>
      <c r="F8" s="33" t="n">
        <v>117332</v>
      </c>
      <c r="G8" s="34" t="n">
        <v>0.6290619186249122</v>
      </c>
      <c r="H8" s="20" t="n">
        <v>0.3044837498164117</v>
      </c>
    </row>
    <row r="9">
      <c r="A9" s="11" t="inlineStr">
        <is>
          <t>Словаччина</t>
        </is>
      </c>
      <c r="B9" s="31" t="n">
        <v>5783</v>
      </c>
      <c r="C9" s="31" t="n">
        <v>26577.852</v>
      </c>
      <c r="D9" s="32" t="n">
        <v>4.595858896766384</v>
      </c>
      <c r="E9" s="31" t="n">
        <v>83170</v>
      </c>
      <c r="F9" s="31" t="n">
        <v>428124.913</v>
      </c>
      <c r="G9" s="32" t="n">
        <v>5.1475882289287</v>
      </c>
      <c r="H9" s="16" t="n">
        <v>13.38180874978385</v>
      </c>
    </row>
    <row r="10">
      <c r="A10" s="17" t="inlineStr">
        <is>
          <t>Італія</t>
        </is>
      </c>
      <c r="B10" s="33" t="n">
        <v>35466</v>
      </c>
      <c r="C10" s="33" t="n">
        <v>68761.466</v>
      </c>
      <c r="D10" s="34" t="n">
        <v>1.938799582698923</v>
      </c>
      <c r="E10" s="33" t="n">
        <v>49909</v>
      </c>
      <c r="F10" s="33" t="n">
        <v>97344.658</v>
      </c>
      <c r="G10" s="34" t="n">
        <v>1.950442966198481</v>
      </c>
      <c r="H10" s="20" t="n">
        <v>0.4072350984041053</v>
      </c>
    </row>
    <row r="11">
      <c r="A11" s="11" t="inlineStr">
        <is>
          <t>Таїланд</t>
        </is>
      </c>
      <c r="B11" s="31" t="n">
        <v>31332.028</v>
      </c>
      <c r="C11" s="31" t="n">
        <v>71244.299</v>
      </c>
      <c r="D11" s="32" t="n">
        <v>2.273848950983958</v>
      </c>
      <c r="E11" s="31" t="n">
        <v>29865</v>
      </c>
      <c r="F11" s="31" t="n">
        <v>67426.427</v>
      </c>
      <c r="G11" s="32" t="n">
        <v>2.257707249288464</v>
      </c>
      <c r="H11" s="16" t="n">
        <v>-0.04682199313750135</v>
      </c>
    </row>
    <row r="12">
      <c r="A12" s="17" t="inlineStr">
        <is>
          <t>Німеччина</t>
        </is>
      </c>
      <c r="B12" s="33" t="n">
        <v>20285</v>
      </c>
      <c r="C12" s="33" t="n">
        <v>57096.613</v>
      </c>
      <c r="D12" s="34" t="n">
        <v>2.814720877495686</v>
      </c>
      <c r="E12" s="33" t="n">
        <v>23441</v>
      </c>
      <c r="F12" s="33" t="n">
        <v>133383.231</v>
      </c>
      <c r="G12" s="34" t="n">
        <v>5.690168124226783</v>
      </c>
      <c r="H12" s="20" t="n">
        <v>0.1555829430613753</v>
      </c>
    </row>
    <row r="13">
      <c r="A13" s="11" t="inlineStr">
        <is>
          <t>Литва</t>
        </is>
      </c>
      <c r="B13" s="31" t="n">
        <v>207328</v>
      </c>
      <c r="C13" s="31" t="n">
        <v>485192</v>
      </c>
      <c r="D13" s="32" t="n">
        <v>2.340214539280753</v>
      </c>
      <c r="E13" s="31" t="n">
        <v>21535.35</v>
      </c>
      <c r="F13" s="31" t="n">
        <v>42190</v>
      </c>
      <c r="G13" s="32" t="n">
        <v>1.959104449196321</v>
      </c>
      <c r="H13" s="16" t="n">
        <v>-0.8961290804908165</v>
      </c>
    </row>
    <row r="14">
      <c r="A14" s="17" t="inlineStr">
        <is>
          <t>Чехія</t>
        </is>
      </c>
      <c r="B14" s="33" t="n">
        <v>3.677</v>
      </c>
      <c r="C14" s="33" t="n">
        <v>10</v>
      </c>
      <c r="D14" s="34" t="n">
        <v>2.719608376393799</v>
      </c>
      <c r="E14" s="33" t="n">
        <v>13512.7</v>
      </c>
      <c r="F14" s="33" t="n">
        <v>103965</v>
      </c>
      <c r="G14" s="34" t="n">
        <v>7.693873171164904</v>
      </c>
      <c r="H14" s="20" t="n">
        <v>3673.925210769649</v>
      </c>
    </row>
    <row r="15">
      <c r="A15" s="11" t="inlineStr">
        <is>
          <t>Угорщина</t>
        </is>
      </c>
      <c r="B15" s="31" t="n">
        <v>8675</v>
      </c>
      <c r="C15" s="31" t="n">
        <v>40065.929</v>
      </c>
      <c r="D15" s="32" t="n">
        <v>4.618550893371758</v>
      </c>
      <c r="E15" s="31" t="n">
        <v>11837</v>
      </c>
      <c r="F15" s="31" t="n">
        <v>65164.461</v>
      </c>
      <c r="G15" s="32" t="n">
        <v>5.50515003801639</v>
      </c>
      <c r="H15" s="16" t="n">
        <v>0.3644956772334293</v>
      </c>
    </row>
    <row r="16">
      <c r="A16" s="17" t="inlineStr">
        <is>
          <t>Велика Британія</t>
        </is>
      </c>
      <c r="B16" s="33" t="n"/>
      <c r="C16" s="33" t="n"/>
      <c r="D16" s="34" t="n"/>
      <c r="E16" s="33" t="n">
        <v>7727</v>
      </c>
      <c r="F16" s="33" t="n">
        <v>355435.511</v>
      </c>
      <c r="G16" s="34" t="n">
        <v>45.99916021741944</v>
      </c>
      <c r="H16" s="20" t="n"/>
    </row>
    <row r="17">
      <c r="A17" s="11" t="inlineStr">
        <is>
          <t>Латвія</t>
        </is>
      </c>
      <c r="B17" s="31" t="n"/>
      <c r="C17" s="31" t="n"/>
      <c r="D17" s="32" t="n"/>
      <c r="E17" s="31" t="n">
        <v>6178</v>
      </c>
      <c r="F17" s="31" t="n">
        <v>42271.971</v>
      </c>
      <c r="G17" s="32" t="n">
        <v>6.84233910650696</v>
      </c>
      <c r="H17" s="16" t="n"/>
    </row>
    <row r="18">
      <c r="A18" s="17" t="inlineStr">
        <is>
          <t>Малайзія</t>
        </is>
      </c>
      <c r="B18" s="33" t="n"/>
      <c r="C18" s="33" t="n"/>
      <c r="D18" s="34" t="n"/>
      <c r="E18" s="33" t="n">
        <v>5318.4</v>
      </c>
      <c r="F18" s="33" t="n">
        <v>18707.656</v>
      </c>
      <c r="G18" s="34" t="n">
        <v>3.517534596871239</v>
      </c>
      <c r="H18" s="20" t="n"/>
    </row>
    <row r="19">
      <c r="A19" s="11" t="inlineStr">
        <is>
          <t>Нідерланди</t>
        </is>
      </c>
      <c r="B19" s="31" t="n">
        <v>9175</v>
      </c>
      <c r="C19" s="31" t="n">
        <v>36846.396</v>
      </c>
      <c r="D19" s="32" t="n">
        <v>4.015955967302452</v>
      </c>
      <c r="E19" s="31" t="n">
        <v>2058</v>
      </c>
      <c r="F19" s="31" t="n">
        <v>9908.822</v>
      </c>
      <c r="G19" s="32" t="n">
        <v>4.81478231292517</v>
      </c>
      <c r="H19" s="16" t="n">
        <v>-0.7756948228882834</v>
      </c>
    </row>
    <row r="20">
      <c r="A20" s="17" t="inlineStr">
        <is>
          <t>Франція</t>
        </is>
      </c>
      <c r="B20" s="33" t="n">
        <v>139</v>
      </c>
      <c r="C20" s="33" t="n">
        <v>939.506</v>
      </c>
      <c r="D20" s="34" t="n">
        <v>6.759035971223021</v>
      </c>
      <c r="E20" s="33" t="n">
        <v>1455</v>
      </c>
      <c r="F20" s="33" t="n">
        <v>4631.485</v>
      </c>
      <c r="G20" s="34" t="n">
        <v>3.183151202749141</v>
      </c>
      <c r="H20" s="20" t="n">
        <v>9.467625899280575</v>
      </c>
    </row>
    <row r="21">
      <c r="A21" s="11" t="inlineStr">
        <is>
          <t>Швеція</t>
        </is>
      </c>
      <c r="B21" s="31" t="n">
        <v>42.158</v>
      </c>
      <c r="C21" s="31" t="n">
        <v>189.257</v>
      </c>
      <c r="D21" s="32" t="n">
        <v>4.489230988187296</v>
      </c>
      <c r="E21" s="31" t="n">
        <v>1334.115</v>
      </c>
      <c r="F21" s="31" t="n">
        <v>6115.811</v>
      </c>
      <c r="G21" s="32" t="n">
        <v>4.584170779880295</v>
      </c>
      <c r="H21" s="16" t="n">
        <v>30.64559514208454</v>
      </c>
    </row>
    <row r="22">
      <c r="A22" s="17" t="inlineStr">
        <is>
          <t>Бельгія</t>
        </is>
      </c>
      <c r="B22" s="33" t="n">
        <v>675.76</v>
      </c>
      <c r="C22" s="33" t="n">
        <v>6707.23</v>
      </c>
      <c r="D22" s="34" t="n">
        <v>9.925461702379543</v>
      </c>
      <c r="E22" s="33" t="n">
        <v>573.5</v>
      </c>
      <c r="F22" s="33" t="n">
        <v>9306.134</v>
      </c>
      <c r="G22" s="34" t="n">
        <v>16.22691194420227</v>
      </c>
      <c r="H22" s="20" t="n">
        <v>-0.1513259145258672</v>
      </c>
    </row>
    <row r="23">
      <c r="A23" s="11" t="inlineStr">
        <is>
          <t>Канада</t>
        </is>
      </c>
      <c r="B23" s="31" t="n">
        <v>9</v>
      </c>
      <c r="C23" s="31" t="n">
        <v>36.938</v>
      </c>
      <c r="D23" s="32" t="n">
        <v>4.104222222222223</v>
      </c>
      <c r="E23" s="31" t="n">
        <v>105</v>
      </c>
      <c r="F23" s="31" t="n">
        <v>91.048</v>
      </c>
      <c r="G23" s="32" t="n">
        <v>0.8671238095238095</v>
      </c>
      <c r="H23" s="16" t="n">
        <v>10.66666666666667</v>
      </c>
    </row>
    <row r="24">
      <c r="A24" s="17" t="inlineStr">
        <is>
          <t>Австрія</t>
        </is>
      </c>
      <c r="B24" s="33" t="n">
        <v>56</v>
      </c>
      <c r="C24" s="33" t="n">
        <v>216.476</v>
      </c>
      <c r="D24" s="34" t="n">
        <v>3.865642857142857</v>
      </c>
      <c r="E24" s="33" t="n">
        <v>58</v>
      </c>
      <c r="F24" s="33" t="n">
        <v>225.997</v>
      </c>
      <c r="G24" s="34" t="n">
        <v>3.8965</v>
      </c>
      <c r="H24" s="20" t="n">
        <v>0.03571428571428581</v>
      </c>
    </row>
    <row r="25">
      <c r="A25" s="11" t="inlineStr">
        <is>
          <t>Іспанія</t>
        </is>
      </c>
      <c r="B25" s="31" t="n">
        <v>183</v>
      </c>
      <c r="C25" s="31" t="n">
        <v>1027.965</v>
      </c>
      <c r="D25" s="32" t="n">
        <v>5.617295081967213</v>
      </c>
      <c r="E25" s="31" t="n">
        <v>1.8</v>
      </c>
      <c r="F25" s="31" t="n">
        <v>56.39</v>
      </c>
      <c r="G25" s="32" t="n">
        <v>31.32777777777778</v>
      </c>
      <c r="H25" s="16" t="n">
        <v>-0.9901639344262295</v>
      </c>
    </row>
    <row r="26">
      <c r="A26" s="17" t="inlineStr">
        <is>
          <t>Ірландія</t>
        </is>
      </c>
      <c r="B26" s="33" t="n">
        <v>45</v>
      </c>
      <c r="C26" s="33" t="n">
        <v>386.41</v>
      </c>
      <c r="D26" s="34" t="n">
        <v>8.58688888888889</v>
      </c>
      <c r="E26" s="33" t="n"/>
      <c r="F26" s="33" t="n"/>
      <c r="G26" s="34" t="n"/>
      <c r="H26" s="20" t="n"/>
    </row>
    <row r="27">
      <c r="A27" s="11" t="inlineStr">
        <is>
          <t>Японія</t>
        </is>
      </c>
      <c r="B27" s="31" t="n">
        <v>192</v>
      </c>
      <c r="C27" s="31" t="n">
        <v>1473.247</v>
      </c>
      <c r="D27" s="32" t="n">
        <v>7.673161458333333</v>
      </c>
      <c r="E27" s="31" t="n"/>
      <c r="F27" s="31" t="n"/>
      <c r="G27" s="32" t="n"/>
      <c r="H27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10" customWidth="1" min="4" max="4"/>
    <col width="9" customWidth="1" min="5" max="5"/>
    <col width="16" customWidth="1" min="6" max="6"/>
    <col width="12" customWidth="1" min="7" max="7"/>
  </cols>
  <sheetData>
    <row r="1">
      <c r="A1" s="1" t="inlineStr">
        <is>
          <t>Не-корейська локшина швидкого приготування</t>
        </is>
      </c>
    </row>
    <row r="2">
      <c r="A2" s="2" t="inlineStr">
        <is>
          <t>По одному найпоширенішому SKU на бренд, вага 40–160 г.</t>
        </is>
      </c>
    </row>
    <row r="4" ht="26" customHeight="1">
      <c r="A4" s="10" t="inlineStr">
        <is>
          <t>Бренд</t>
        </is>
      </c>
      <c r="B4" s="10" t="inlineStr">
        <is>
          <t>Позиція</t>
        </is>
      </c>
      <c r="C4" s="10" t="inlineStr">
        <is>
          <t>Походження</t>
        </is>
      </c>
      <c r="D4" s="10" t="inlineStr">
        <is>
          <t>Вага</t>
        </is>
      </c>
      <c r="E4" s="10" t="inlineStr">
        <is>
          <t>Мереж</t>
        </is>
      </c>
      <c r="F4" s="10" t="inlineStr">
        <is>
          <t>Ціна</t>
        </is>
      </c>
      <c r="G4" s="10" t="inlineStr">
        <is>
          <t>грн/100 г</t>
        </is>
      </c>
    </row>
    <row r="5">
      <c r="A5" s="11" t="inlineStr">
        <is>
          <t>Garnenka</t>
        </is>
      </c>
      <c r="B5" s="11" t="inlineStr">
        <is>
          <t>Garnenka зі смаком курки</t>
        </is>
      </c>
      <c r="C5" s="11" t="inlineStr">
        <is>
          <t>Україна</t>
        </is>
      </c>
      <c r="D5" s="11" t="inlineStr">
        <is>
          <t>60 Г</t>
        </is>
      </c>
      <c r="E5" s="11" t="n">
        <v>5</v>
      </c>
      <c r="F5" s="11" t="inlineStr">
        <is>
          <t>9–13 грн</t>
        </is>
      </c>
      <c r="G5" s="11" t="n">
        <v>18.3</v>
      </c>
    </row>
    <row r="6">
      <c r="A6" s="17" t="inlineStr">
        <is>
          <t>Дарина</t>
        </is>
      </c>
      <c r="B6" s="17" t="inlineStr">
        <is>
          <t>Daryna зі смаком курки</t>
        </is>
      </c>
      <c r="C6" s="17" t="inlineStr">
        <is>
          <t>Україна</t>
        </is>
      </c>
      <c r="D6" s="17" t="inlineStr">
        <is>
          <t>50 Г</t>
        </is>
      </c>
      <c r="E6" s="17" t="n">
        <v>2</v>
      </c>
      <c r="F6" s="17" t="inlineStr">
        <is>
          <t>12 грн</t>
        </is>
      </c>
      <c r="G6" s="17" t="n">
        <v>23.5</v>
      </c>
    </row>
    <row r="7">
      <c r="A7" s="11" t="inlineStr">
        <is>
          <t>Хуторок</t>
        </is>
      </c>
      <c r="B7" s="11" t="inlineStr">
        <is>
          <t>Хуторок зі смаком курки гостра</t>
        </is>
      </c>
      <c r="C7" s="11" t="inlineStr">
        <is>
          <t>Україна</t>
        </is>
      </c>
      <c r="D7" s="11" t="inlineStr">
        <is>
          <t>60 Г</t>
        </is>
      </c>
      <c r="E7" s="11" t="n">
        <v>4</v>
      </c>
      <c r="F7" s="11" t="inlineStr">
        <is>
          <t>13–16 грн</t>
        </is>
      </c>
      <c r="G7" s="11" t="n">
        <v>24.3</v>
      </c>
    </row>
    <row r="8">
      <c r="A8" s="17" t="inlineStr">
        <is>
          <t>Щедро</t>
        </is>
      </c>
      <c r="B8" s="17" t="inlineStr">
        <is>
          <t>Щедро Том Ям з морепродуктами</t>
        </is>
      </c>
      <c r="C8" s="17" t="inlineStr">
        <is>
          <t>Україна</t>
        </is>
      </c>
      <c r="D8" s="17" t="inlineStr">
        <is>
          <t>60 Г</t>
        </is>
      </c>
      <c r="E8" s="17" t="n">
        <v>6</v>
      </c>
      <c r="F8" s="17" t="inlineStr">
        <is>
          <t>12–18 грн</t>
        </is>
      </c>
      <c r="G8" s="17" t="n">
        <v>28.2</v>
      </c>
    </row>
    <row r="9">
      <c r="A9" s="11" t="inlineStr">
        <is>
          <t>Reeva</t>
        </is>
      </c>
      <c r="B9" s="11" t="inlineStr">
        <is>
          <t>Reeva зі смаком грибів</t>
        </is>
      </c>
      <c r="C9" s="11" t="inlineStr">
        <is>
          <t>Україна</t>
        </is>
      </c>
      <c r="D9" s="11" t="inlineStr">
        <is>
          <t>60 Г</t>
        </is>
      </c>
      <c r="E9" s="11" t="n">
        <v>12</v>
      </c>
      <c r="F9" s="11" t="inlineStr">
        <is>
          <t>15–22 грн</t>
        </is>
      </c>
      <c r="G9" s="11" t="n">
        <v>32.7</v>
      </c>
    </row>
    <row r="10">
      <c r="A10" s="17" t="inlineStr">
        <is>
          <t>ChiBi</t>
        </is>
      </c>
      <c r="B10" s="17" t="inlineStr">
        <is>
          <t>ChiBi Sweet Chili Crab</t>
        </is>
      </c>
      <c r="C10" s="17" t="inlineStr">
        <is>
          <t>Україна</t>
        </is>
      </c>
      <c r="D10" s="17" t="inlineStr">
        <is>
          <t>85 Г</t>
        </is>
      </c>
      <c r="E10" s="17" t="n">
        <v>3</v>
      </c>
      <c r="F10" s="17" t="inlineStr">
        <is>
          <t>18–25 грн</t>
        </is>
      </c>
      <c r="G10" s="17" t="n">
        <v>28.2</v>
      </c>
    </row>
    <row r="11">
      <c r="A11" s="11" t="inlineStr">
        <is>
          <t>Нао Нао</t>
        </is>
      </c>
      <c r="B11" s="11" t="inlineStr">
        <is>
          <t>Acecook Hao Hao зі смаком Кімчі</t>
        </is>
      </c>
      <c r="C11" s="11" t="inlineStr">
        <is>
          <t>В'єтнам</t>
        </is>
      </c>
      <c r="D11" s="11" t="inlineStr">
        <is>
          <t>77 Г</t>
        </is>
      </c>
      <c r="E11" s="11" t="n">
        <v>2</v>
      </c>
      <c r="F11" s="11" t="inlineStr">
        <is>
          <t>38–51 грн</t>
        </is>
      </c>
      <c r="G11" s="11" t="n">
        <v>57.5</v>
      </c>
    </row>
    <row r="12">
      <c r="A12" s="17" t="inlineStr">
        <is>
          <t>Yum Yum</t>
        </is>
      </c>
      <c r="B12" s="17" t="inlineStr">
        <is>
          <t>рамен Yum Yum Tom Yum з креветками</t>
        </is>
      </c>
      <c r="C12" s="17" t="inlineStr">
        <is>
          <t>Тайланд</t>
        </is>
      </c>
      <c r="D12" s="17" t="inlineStr">
        <is>
          <t>70 Г</t>
        </is>
      </c>
      <c r="E12" s="17" t="n">
        <v>2</v>
      </c>
      <c r="F12" s="17" t="inlineStr">
        <is>
          <t>60 грн</t>
        </is>
      </c>
      <c r="G12" s="17" t="n">
        <v>85.59999999999999</v>
      </c>
    </row>
    <row r="13">
      <c r="A13" s="11" t="inlineStr">
        <is>
          <t>Micoem</t>
        </is>
      </c>
      <c r="B13" s="11" t="inlineStr">
        <is>
          <t>рисова Micoem Cung Dinh з куркою</t>
        </is>
      </c>
      <c r="C13" s="11" t="inlineStr">
        <is>
          <t>В'єтнам</t>
        </is>
      </c>
      <c r="D13" s="11" t="inlineStr">
        <is>
          <t>68 Г</t>
        </is>
      </c>
      <c r="E13" s="11" t="n">
        <v>8</v>
      </c>
      <c r="F13" s="11" t="inlineStr">
        <is>
          <t>50–87 грн</t>
        </is>
      </c>
      <c r="G13" s="11" t="n">
        <v>105.9</v>
      </c>
    </row>
    <row r="14">
      <c r="A14" s="17" t="inlineStr">
        <is>
          <t>Hokkaido Club</t>
        </is>
      </c>
      <c r="B14" s="17" t="inlineStr">
        <is>
          <t>рисова Hokkaido Club Рамен</t>
        </is>
      </c>
      <c r="C14" s="17" t="inlineStr">
        <is>
          <t>Україна</t>
        </is>
      </c>
      <c r="D14" s="17" t="inlineStr">
        <is>
          <t>80 Г</t>
        </is>
      </c>
      <c r="E14" s="17" t="n">
        <v>7</v>
      </c>
      <c r="F14" s="17" t="inlineStr">
        <is>
          <t>62–90 грн</t>
        </is>
      </c>
      <c r="G14" s="17" t="n">
        <v>95</v>
      </c>
    </row>
    <row r="15">
      <c r="A15" s="11" t="inlineStr">
        <is>
          <t>Ippin</t>
        </is>
      </c>
      <c r="B15" s="11" t="inlineStr">
        <is>
          <t>Ippin класичний рамен Хаката</t>
        </is>
      </c>
      <c r="C15" s="11" t="inlineStr">
        <is>
          <t>В'єтнам</t>
        </is>
      </c>
      <c r="D15" s="11" t="inlineStr">
        <is>
          <t>73 Г</t>
        </is>
      </c>
      <c r="E15" s="11" t="n">
        <v>2</v>
      </c>
      <c r="F15" s="11" t="inlineStr">
        <is>
          <t>82–97 грн</t>
        </is>
      </c>
      <c r="G15" s="11" t="n">
        <v>122.8</v>
      </c>
    </row>
    <row r="16">
      <c r="A16" s="17" t="inlineStr">
        <is>
          <t>Мівіна</t>
        </is>
      </c>
      <c r="B16" s="17" t="inlineStr">
        <is>
          <t>Макаронні вироби МІВІНА® Street Fo</t>
        </is>
      </c>
      <c r="C16" s="17" t="inlineStr">
        <is>
          <t>Україна</t>
        </is>
      </c>
      <c r="D16" s="17" t="inlineStr">
        <is>
          <t>121 Г</t>
        </is>
      </c>
      <c r="E16" s="17" t="n">
        <v>12</v>
      </c>
      <c r="F16" s="17" t="inlineStr">
        <is>
          <t>81–108 грн</t>
        </is>
      </c>
      <c r="G16" s="17" t="n">
        <v>77.7</v>
      </c>
    </row>
    <row r="17">
      <c r="A17" s="11" t="inlineStr">
        <is>
          <t>Bich-Chi</t>
        </is>
      </c>
      <c r="B17" s="11" t="inlineStr">
        <is>
          <t>рисова Bich-Chi Vina Pho Ga зі сма</t>
        </is>
      </c>
      <c r="C17" s="11" t="inlineStr">
        <is>
          <t>В'єтнам</t>
        </is>
      </c>
      <c r="D17" s="11" t="inlineStr">
        <is>
          <t>70 Г</t>
        </is>
      </c>
      <c r="E17" s="11" t="n">
        <v>4</v>
      </c>
      <c r="F17" s="11" t="inlineStr">
        <is>
          <t>100–108 грн</t>
        </is>
      </c>
      <c r="G17" s="11" t="n">
        <v>146.1</v>
      </c>
    </row>
    <row r="18">
      <c r="A18" s="17" t="inlineStr">
        <is>
          <t>Kool Cung Dinh</t>
        </is>
      </c>
      <c r="B18" s="17" t="inlineStr">
        <is>
          <t>Cung Dinh Kool Korean BBQ</t>
        </is>
      </c>
      <c r="C18" s="17" t="inlineStr">
        <is>
          <t>В'єтнам</t>
        </is>
      </c>
      <c r="D18" s="17" t="inlineStr">
        <is>
          <t>105 Г</t>
        </is>
      </c>
      <c r="E18" s="17" t="n">
        <v>4</v>
      </c>
      <c r="F18" s="17" t="inlineStr">
        <is>
          <t>110–144 грн</t>
        </is>
      </c>
      <c r="G18" s="17" t="n">
        <v>117.6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2026-10-02T12:20:06Z</dcterms:created>
  <dcterms:modified xmlns:dcterms="http://purl.org/dc/terms/" xmlns:xsi="http://www.w3.org/2001/XMLSchema-instance" xsi:type="dcterms:W3CDTF">2026-10-02T12:20:06Z</dcterms:modified>
</cp:coreProperties>
</file>