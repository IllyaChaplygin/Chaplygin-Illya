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W:\Проектные задачи\Фурикаке\Китай\Mishima foods co., ltd\"/>
    </mc:Choice>
  </mc:AlternateContent>
  <xr:revisionPtr revIDLastSave="0" documentId="13_ncr:1_{A181437C-59E9-495C-8BE3-F92D8C0BD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shima foods co., ltd" sheetId="1" r:id="rId1"/>
    <sheet name="Takaokaya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6" i="1"/>
  <c r="O7" i="1"/>
  <c r="O8" i="1"/>
  <c r="O9" i="1"/>
  <c r="O10" i="1"/>
  <c r="O11" i="1"/>
  <c r="O12" i="1"/>
  <c r="O13" i="1"/>
  <c r="O6" i="1"/>
  <c r="N7" i="1"/>
  <c r="N8" i="1"/>
  <c r="N9" i="1"/>
  <c r="N10" i="1"/>
  <c r="N11" i="1"/>
  <c r="N12" i="1"/>
  <c r="N13" i="1"/>
  <c r="N6" i="1"/>
  <c r="M7" i="1"/>
  <c r="M8" i="1"/>
  <c r="M9" i="1"/>
  <c r="M10" i="1"/>
  <c r="M11" i="1"/>
  <c r="M12" i="1"/>
  <c r="M13" i="1"/>
  <c r="M6" i="1"/>
  <c r="L7" i="1"/>
  <c r="L8" i="1"/>
  <c r="L9" i="1"/>
  <c r="L10" i="1"/>
  <c r="L11" i="1"/>
  <c r="L12" i="1"/>
  <c r="L13" i="1"/>
  <c r="L6" i="1"/>
  <c r="K7" i="1"/>
  <c r="K8" i="1"/>
  <c r="K9" i="1"/>
  <c r="K10" i="1"/>
  <c r="K11" i="1"/>
  <c r="K12" i="1"/>
  <c r="K13" i="1"/>
  <c r="K6" i="1"/>
  <c r="D14" i="1"/>
  <c r="J7" i="1"/>
  <c r="J8" i="1"/>
  <c r="J9" i="1"/>
  <c r="J10" i="1"/>
  <c r="J11" i="1"/>
  <c r="J12" i="1"/>
  <c r="J13" i="1"/>
  <c r="J6" i="1"/>
  <c r="D7" i="1"/>
  <c r="D8" i="1"/>
  <c r="D9" i="1"/>
  <c r="D10" i="1"/>
  <c r="D11" i="1"/>
  <c r="D12" i="1"/>
  <c r="D13" i="1"/>
  <c r="D6" i="1"/>
  <c r="Y7" i="2"/>
  <c r="Y8" i="2"/>
  <c r="Y9" i="2"/>
  <c r="Y10" i="2"/>
  <c r="Y11" i="2"/>
  <c r="Y12" i="2"/>
  <c r="Y6" i="2"/>
  <c r="S13" i="2"/>
  <c r="S7" i="2"/>
  <c r="S8" i="2"/>
  <c r="S9" i="2"/>
  <c r="S10" i="2"/>
  <c r="S11" i="2"/>
  <c r="S12" i="2"/>
  <c r="S6" i="2"/>
  <c r="H7" i="2"/>
  <c r="H8" i="2"/>
  <c r="H9" i="2"/>
  <c r="H10" i="2"/>
  <c r="H11" i="2"/>
  <c r="H12" i="2"/>
  <c r="H6" i="2"/>
  <c r="O7" i="2"/>
  <c r="O8" i="2"/>
  <c r="O9" i="2"/>
  <c r="O10" i="2"/>
  <c r="O11" i="2"/>
  <c r="O12" i="2"/>
  <c r="O6" i="2"/>
  <c r="N7" i="2"/>
  <c r="N8" i="2"/>
  <c r="N9" i="2"/>
  <c r="N10" i="2"/>
  <c r="N11" i="2"/>
  <c r="N12" i="2"/>
  <c r="N6" i="2"/>
  <c r="D7" i="2"/>
  <c r="D8" i="2"/>
  <c r="D9" i="2"/>
  <c r="D10" i="2"/>
  <c r="D11" i="2"/>
  <c r="D12" i="2"/>
  <c r="D6" i="2"/>
  <c r="E7" i="2"/>
  <c r="E8" i="2"/>
  <c r="E9" i="2"/>
  <c r="E10" i="2"/>
  <c r="E11" i="2"/>
  <c r="E12" i="2"/>
  <c r="E6" i="2"/>
  <c r="M7" i="2"/>
  <c r="M8" i="2"/>
  <c r="M9" i="2"/>
  <c r="M10" i="2"/>
  <c r="M11" i="2"/>
  <c r="M12" i="2"/>
  <c r="M6" i="2"/>
  <c r="L7" i="2"/>
  <c r="L8" i="2"/>
  <c r="L9" i="2"/>
  <c r="L10" i="2"/>
  <c r="L11" i="2"/>
  <c r="L12" i="2"/>
  <c r="L6" i="2"/>
  <c r="K7" i="2"/>
  <c r="K8" i="2"/>
  <c r="K9" i="2"/>
  <c r="K10" i="2"/>
  <c r="K11" i="2"/>
  <c r="K12" i="2"/>
  <c r="K6" i="2"/>
  <c r="I13" i="2"/>
  <c r="F13" i="2"/>
  <c r="AJ7" i="2"/>
  <c r="AJ6" i="2"/>
  <c r="M13" i="2"/>
  <c r="L13" i="2"/>
  <c r="H13" i="2"/>
  <c r="G14" i="2" s="1"/>
  <c r="O13" i="2"/>
  <c r="R5" i="2"/>
  <c r="K13" i="2" l="1"/>
  <c r="P6" i="2"/>
  <c r="P7" i="2"/>
  <c r="P8" i="2"/>
  <c r="P9" i="2"/>
  <c r="P10" i="2"/>
  <c r="P11" i="2"/>
  <c r="P12" i="2"/>
  <c r="G14" i="1"/>
  <c r="AI7" i="1"/>
  <c r="E14" i="1"/>
  <c r="H14" i="1"/>
  <c r="K14" i="1"/>
  <c r="J14" i="1" l="1"/>
  <c r="P13" i="2"/>
  <c r="Q6" i="2"/>
  <c r="AI6" i="1"/>
  <c r="L14" i="1"/>
  <c r="F15" i="1"/>
  <c r="Q5" i="1"/>
  <c r="N14" i="1" l="1"/>
  <c r="AF6" i="2"/>
  <c r="AB6" i="2"/>
  <c r="Z6" i="2"/>
  <c r="T6" i="2"/>
  <c r="R6" i="2"/>
  <c r="Q12" i="2"/>
  <c r="Q11" i="2"/>
  <c r="Q10" i="2"/>
  <c r="Q9" i="2"/>
  <c r="Q8" i="2"/>
  <c r="Q7" i="2"/>
  <c r="O14" i="1" l="1"/>
  <c r="P6" i="1"/>
  <c r="AF7" i="2"/>
  <c r="AG7" i="2" s="1"/>
  <c r="AB7" i="2"/>
  <c r="AC7" i="2" s="1"/>
  <c r="Z7" i="2"/>
  <c r="T7" i="2"/>
  <c r="U7" i="2"/>
  <c r="R7" i="2"/>
  <c r="Q13" i="2"/>
  <c r="AF8" i="2"/>
  <c r="AG8" i="2" s="1"/>
  <c r="AB8" i="2"/>
  <c r="AC8" i="2" s="1"/>
  <c r="Z8" i="2"/>
  <c r="T8" i="2"/>
  <c r="U8" i="2"/>
  <c r="R8" i="2"/>
  <c r="AF9" i="2"/>
  <c r="AG9" i="2" s="1"/>
  <c r="AB9" i="2"/>
  <c r="AC9" i="2" s="1"/>
  <c r="Z9" i="2"/>
  <c r="T9" i="2"/>
  <c r="U9" i="2"/>
  <c r="R9" i="2"/>
  <c r="AF10" i="2"/>
  <c r="AG10" i="2" s="1"/>
  <c r="AB10" i="2"/>
  <c r="AC10" i="2" s="1"/>
  <c r="Z10" i="2"/>
  <c r="T10" i="2"/>
  <c r="U10" i="2"/>
  <c r="R10" i="2"/>
  <c r="AF11" i="2"/>
  <c r="AG11" i="2" s="1"/>
  <c r="AB11" i="2"/>
  <c r="AC11" i="2" s="1"/>
  <c r="Z11" i="2"/>
  <c r="T11" i="2"/>
  <c r="U11" i="2"/>
  <c r="R11" i="2"/>
  <c r="AF12" i="2"/>
  <c r="AG12" i="2" s="1"/>
  <c r="AB12" i="2"/>
  <c r="AC12" i="2" s="1"/>
  <c r="Z12" i="2"/>
  <c r="T12" i="2"/>
  <c r="U12" i="2"/>
  <c r="R12" i="2"/>
  <c r="U6" i="2"/>
  <c r="T13" i="2"/>
  <c r="Z13" i="2"/>
  <c r="AD6" i="2"/>
  <c r="AA6" i="2"/>
  <c r="AB13" i="2"/>
  <c r="AC6" i="2"/>
  <c r="AC13" i="2" s="1"/>
  <c r="AF13" i="2"/>
  <c r="AG6" i="2"/>
  <c r="AG13" i="2" s="1"/>
  <c r="Y6" i="1" l="1"/>
  <c r="S6" i="1"/>
  <c r="P8" i="1"/>
  <c r="P9" i="1"/>
  <c r="P10" i="1"/>
  <c r="P11" i="1"/>
  <c r="P12" i="1"/>
  <c r="P13" i="1"/>
  <c r="P7" i="1"/>
  <c r="AE6" i="2"/>
  <c r="U13" i="2"/>
  <c r="X6" i="2"/>
  <c r="X12" i="2"/>
  <c r="AD12" i="2"/>
  <c r="AA12" i="2"/>
  <c r="AE12" i="2" s="1"/>
  <c r="X11" i="2"/>
  <c r="AD11" i="2"/>
  <c r="AA11" i="2"/>
  <c r="AE11" i="2" s="1"/>
  <c r="X10" i="2"/>
  <c r="AD10" i="2"/>
  <c r="AA10" i="2"/>
  <c r="AE10" i="2" s="1"/>
  <c r="X9" i="2"/>
  <c r="AD9" i="2"/>
  <c r="AA9" i="2"/>
  <c r="AE9" i="2" s="1"/>
  <c r="X8" i="2"/>
  <c r="AD8" i="2"/>
  <c r="AA8" i="2"/>
  <c r="AE8" i="2" s="1"/>
  <c r="X7" i="2"/>
  <c r="AD7" i="2"/>
  <c r="AA7" i="2"/>
  <c r="AE6" i="1"/>
  <c r="AA6" i="1"/>
  <c r="R6" i="1"/>
  <c r="Q6" i="1"/>
  <c r="Y7" i="1" l="1"/>
  <c r="S7" i="1"/>
  <c r="AE7" i="1"/>
  <c r="AA7" i="1"/>
  <c r="R7" i="1"/>
  <c r="T7" i="1" s="1"/>
  <c r="W7" i="1" s="1"/>
  <c r="Q7" i="1"/>
  <c r="P14" i="1"/>
  <c r="Y13" i="1"/>
  <c r="S13" i="1"/>
  <c r="Q13" i="1"/>
  <c r="R13" i="1"/>
  <c r="T13" i="1" s="1"/>
  <c r="AA13" i="1"/>
  <c r="AB13" i="1" s="1"/>
  <c r="AE13" i="1"/>
  <c r="AF13" i="1" s="1"/>
  <c r="Y12" i="1"/>
  <c r="S12" i="1"/>
  <c r="Q12" i="1"/>
  <c r="R12" i="1"/>
  <c r="T12" i="1" s="1"/>
  <c r="AA12" i="1"/>
  <c r="AB12" i="1" s="1"/>
  <c r="AE12" i="1"/>
  <c r="AF12" i="1" s="1"/>
  <c r="Y11" i="1"/>
  <c r="S11" i="1"/>
  <c r="Q11" i="1"/>
  <c r="R11" i="1"/>
  <c r="T11" i="1" s="1"/>
  <c r="AA11" i="1"/>
  <c r="AB11" i="1" s="1"/>
  <c r="AE11" i="1"/>
  <c r="AF11" i="1" s="1"/>
  <c r="Y10" i="1"/>
  <c r="S10" i="1"/>
  <c r="Q10" i="1"/>
  <c r="R10" i="1"/>
  <c r="T10" i="1" s="1"/>
  <c r="AA10" i="1"/>
  <c r="AB10" i="1" s="1"/>
  <c r="AE10" i="1"/>
  <c r="AF10" i="1" s="1"/>
  <c r="Y9" i="1"/>
  <c r="S9" i="1"/>
  <c r="Q9" i="1"/>
  <c r="R9" i="1"/>
  <c r="T9" i="1" s="1"/>
  <c r="AA9" i="1"/>
  <c r="AB9" i="1" s="1"/>
  <c r="AE9" i="1"/>
  <c r="AF9" i="1" s="1"/>
  <c r="Y8" i="1"/>
  <c r="S8" i="1"/>
  <c r="Q8" i="1"/>
  <c r="R8" i="1"/>
  <c r="T8" i="1" s="1"/>
  <c r="AA8" i="1"/>
  <c r="AB8" i="1" s="1"/>
  <c r="AE8" i="1"/>
  <c r="AF8" i="1" s="1"/>
  <c r="S14" i="1"/>
  <c r="Y14" i="1"/>
  <c r="AE7" i="2"/>
  <c r="AA13" i="2"/>
  <c r="AD13" i="2"/>
  <c r="X13" i="2"/>
  <c r="AE13" i="2"/>
  <c r="X7" i="1"/>
  <c r="R14" i="1"/>
  <c r="T6" i="1"/>
  <c r="T14" i="1" s="1"/>
  <c r="AC6" i="1"/>
  <c r="Z6" i="1"/>
  <c r="AB6" i="1"/>
  <c r="AF6" i="1"/>
  <c r="W8" i="1" l="1"/>
  <c r="X8" i="1"/>
  <c r="Z8" i="1"/>
  <c r="AD8" i="1" s="1"/>
  <c r="AC8" i="1"/>
  <c r="AG8" i="1" s="1"/>
  <c r="AJ8" i="1" s="1"/>
  <c r="W9" i="1"/>
  <c r="X9" i="1"/>
  <c r="Z9" i="1"/>
  <c r="AD9" i="1" s="1"/>
  <c r="AC9" i="1"/>
  <c r="AG9" i="1" s="1"/>
  <c r="AJ9" i="1" s="1"/>
  <c r="W10" i="1"/>
  <c r="X10" i="1"/>
  <c r="Z10" i="1"/>
  <c r="AD10" i="1" s="1"/>
  <c r="AC10" i="1"/>
  <c r="AG10" i="1" s="1"/>
  <c r="AJ10" i="1" s="1"/>
  <c r="W11" i="1"/>
  <c r="X11" i="1"/>
  <c r="Z11" i="1"/>
  <c r="AD11" i="1" s="1"/>
  <c r="AC11" i="1"/>
  <c r="AG11" i="1" s="1"/>
  <c r="AJ11" i="1" s="1"/>
  <c r="W12" i="1"/>
  <c r="X12" i="1"/>
  <c r="Z12" i="1"/>
  <c r="AD12" i="1" s="1"/>
  <c r="AC12" i="1"/>
  <c r="AG12" i="1" s="1"/>
  <c r="AJ12" i="1" s="1"/>
  <c r="W13" i="1"/>
  <c r="X13" i="1"/>
  <c r="Z13" i="1"/>
  <c r="AD13" i="1" s="1"/>
  <c r="AC13" i="1"/>
  <c r="AG13" i="1" s="1"/>
  <c r="AJ13" i="1" s="1"/>
  <c r="AB7" i="1"/>
  <c r="AB14" i="1" s="1"/>
  <c r="AA14" i="1"/>
  <c r="AF7" i="1"/>
  <c r="AF14" i="1" s="1"/>
  <c r="AE14" i="1"/>
  <c r="AC7" i="1"/>
  <c r="AC14" i="1" s="1"/>
  <c r="Z7" i="1"/>
  <c r="Y13" i="2"/>
  <c r="AI6" i="2"/>
  <c r="AH6" i="2"/>
  <c r="AH12" i="2"/>
  <c r="AK12" i="2" s="1"/>
  <c r="AI12" i="2"/>
  <c r="AH11" i="2"/>
  <c r="AK11" i="2" s="1"/>
  <c r="AI11" i="2"/>
  <c r="AH10" i="2"/>
  <c r="AK10" i="2" s="1"/>
  <c r="AI10" i="2"/>
  <c r="AH9" i="2"/>
  <c r="AK9" i="2" s="1"/>
  <c r="AI9" i="2"/>
  <c r="AH8" i="2"/>
  <c r="AK8" i="2" s="1"/>
  <c r="AI8" i="2"/>
  <c r="AH7" i="2"/>
  <c r="AK7" i="2" s="1"/>
  <c r="AI7" i="2"/>
  <c r="AD6" i="1"/>
  <c r="W6" i="1"/>
  <c r="W14" i="1" s="1"/>
  <c r="AG7" i="1"/>
  <c r="AJ7" i="1" s="1"/>
  <c r="AD7" i="1" l="1"/>
  <c r="Z14" i="1"/>
  <c r="AK13" i="1"/>
  <c r="AL13" i="1"/>
  <c r="AM13" i="1"/>
  <c r="AN13" i="1" s="1"/>
  <c r="AH13" i="1"/>
  <c r="AK12" i="1"/>
  <c r="AL12" i="1"/>
  <c r="AM12" i="1"/>
  <c r="AN12" i="1" s="1"/>
  <c r="AH12" i="1"/>
  <c r="AK11" i="1"/>
  <c r="AL11" i="1"/>
  <c r="AM11" i="1"/>
  <c r="AN11" i="1" s="1"/>
  <c r="AH11" i="1"/>
  <c r="AK10" i="1"/>
  <c r="AL10" i="1"/>
  <c r="AM10" i="1"/>
  <c r="AN10" i="1" s="1"/>
  <c r="AH10" i="1"/>
  <c r="AK9" i="1"/>
  <c r="AL9" i="1"/>
  <c r="AM9" i="1"/>
  <c r="AN9" i="1" s="1"/>
  <c r="AH9" i="1"/>
  <c r="AK8" i="1"/>
  <c r="AL8" i="1"/>
  <c r="AM8" i="1"/>
  <c r="AN8" i="1" s="1"/>
  <c r="AH8" i="1"/>
  <c r="AM7" i="2"/>
  <c r="AL7" i="2"/>
  <c r="AN7" i="2" s="1"/>
  <c r="AO7" i="2" s="1"/>
  <c r="AM8" i="2"/>
  <c r="AL8" i="2"/>
  <c r="AN8" i="2" s="1"/>
  <c r="AO8" i="2" s="1"/>
  <c r="AM9" i="2"/>
  <c r="AL9" i="2"/>
  <c r="AN9" i="2" s="1"/>
  <c r="AO9" i="2" s="1"/>
  <c r="AM10" i="2"/>
  <c r="AL10" i="2"/>
  <c r="AN10" i="2" s="1"/>
  <c r="AO10" i="2" s="1"/>
  <c r="AM11" i="2"/>
  <c r="AL11" i="2"/>
  <c r="AN11" i="2" s="1"/>
  <c r="AO11" i="2" s="1"/>
  <c r="AM12" i="2"/>
  <c r="AL12" i="2"/>
  <c r="AN12" i="2" s="1"/>
  <c r="AO12" i="2" s="1"/>
  <c r="AH13" i="2"/>
  <c r="AK6" i="2"/>
  <c r="AI13" i="2"/>
  <c r="AL7" i="1"/>
  <c r="AK7" i="1"/>
  <c r="AM7" i="1" s="1"/>
  <c r="AN7" i="1" s="1"/>
  <c r="X6" i="1"/>
  <c r="X14" i="1" s="1"/>
  <c r="AH7" i="1" l="1"/>
  <c r="AD14" i="1"/>
  <c r="AM6" i="2"/>
  <c r="AL6" i="2"/>
  <c r="AN6" i="2" s="1"/>
  <c r="AO6" i="2" s="1"/>
  <c r="AH6" i="1"/>
  <c r="AH14" i="1" s="1"/>
  <c r="AG6" i="1"/>
  <c r="AG14" i="1" s="1"/>
  <c r="AJ6" i="1" l="1"/>
  <c r="AL6" i="1" l="1"/>
  <c r="AK6" i="1"/>
  <c r="AM6" i="1" s="1"/>
  <c r="AN6" i="1" s="1"/>
</calcChain>
</file>

<file path=xl/sharedStrings.xml><?xml version="1.0" encoding="utf-8"?>
<sst xmlns="http://schemas.openxmlformats.org/spreadsheetml/2006/main" count="145" uniqueCount="64">
  <si>
    <t>Збірний вантаж обсягом 17 м³ - F.O.B. Bangkok</t>
  </si>
  <si>
    <t>Расходы</t>
  </si>
  <si>
    <t>код</t>
  </si>
  <si>
    <t>Країна походження</t>
  </si>
  <si>
    <t>Наименование</t>
  </si>
  <si>
    <t>Ед расфасовки на скл при приемке</t>
  </si>
  <si>
    <t>Ціна за
одиницю, USD</t>
  </si>
  <si>
    <t>Сумма</t>
  </si>
  <si>
    <t>CBM
/ короб</t>
  </si>
  <si>
    <t>м³ - Итого</t>
  </si>
  <si>
    <t>Коробок</t>
  </si>
  <si>
    <t>ПАЧОК
У КОРОБІ</t>
  </si>
  <si>
    <t>Расфасовка</t>
  </si>
  <si>
    <t>Количество по инвойсу, упаковка</t>
  </si>
  <si>
    <t>Цена за единицу</t>
  </si>
  <si>
    <t>К-во 1С, пак.</t>
  </si>
  <si>
    <t>Стоимость  Авто</t>
  </si>
  <si>
    <t>%</t>
  </si>
  <si>
    <t>пусто</t>
  </si>
  <si>
    <t>тамож. ст-сть</t>
  </si>
  <si>
    <t>логистика вэд</t>
  </si>
  <si>
    <t>Итого там ст-сть</t>
  </si>
  <si>
    <t>курс</t>
  </si>
  <si>
    <t>Сбор</t>
  </si>
  <si>
    <t>Пошлина</t>
  </si>
  <si>
    <t>НДС</t>
  </si>
  <si>
    <t xml:space="preserve">транспорт </t>
  </si>
  <si>
    <t>транспорт грн</t>
  </si>
  <si>
    <t>ФОП Жуков(брокер)</t>
  </si>
  <si>
    <t>Брокер
 грн</t>
  </si>
  <si>
    <t>Транспортные, итого$</t>
  </si>
  <si>
    <t>итого транспорт грн</t>
  </si>
  <si>
    <t>Решение/ Терминал/Карантин/Сертиф./Аутсорс</t>
  </si>
  <si>
    <t>итого грн+Устич</t>
  </si>
  <si>
    <t>Итого расходы на контейнер €</t>
  </si>
  <si>
    <t>Итого расходы на контейнер грн</t>
  </si>
  <si>
    <t>Курс к с/с контейнера</t>
  </si>
  <si>
    <t>СС чистая, /ед. товара</t>
  </si>
  <si>
    <t xml:space="preserve">Кредитные деньги </t>
  </si>
  <si>
    <t>Втом числе лог. Нагрузка</t>
  </si>
  <si>
    <t>ИТОГО С/С, € ед. Товара</t>
  </si>
  <si>
    <t>ИТОГО С/С, UAH ед. Товара</t>
  </si>
  <si>
    <t>коробів</t>
  </si>
  <si>
    <t>доля</t>
  </si>
  <si>
    <t>грн</t>
  </si>
  <si>
    <t>$</t>
  </si>
  <si>
    <t>UAH/$</t>
  </si>
  <si>
    <t>Китай</t>
  </si>
  <si>
    <t>Furikake з креветкою — 25 г</t>
  </si>
  <si>
    <t>Furikake з креветкою — 50 г</t>
  </si>
  <si>
    <t>Furikake васабі — 25 г</t>
  </si>
  <si>
    <t>Furikake васабі — 50 г</t>
  </si>
  <si>
    <t>Furikake зі смаком кімчі — 25 г</t>
  </si>
  <si>
    <t>Furikake зі смаком кімчі — 50 г</t>
  </si>
  <si>
    <t>Furikake з норі — 25 г</t>
  </si>
  <si>
    <t>Furikake з норі — 50 г</t>
  </si>
  <si>
    <t>Япония</t>
  </si>
  <si>
    <t>Nori Furikake Bottle 50 g</t>
  </si>
  <si>
    <t>Nori Wasabi Furikake Bottle 50 g</t>
  </si>
  <si>
    <t>Yuzu Kosho Furikake Bottle 50 g</t>
  </si>
  <si>
    <t>Nori Katsuo Furikake 45 g</t>
  </si>
  <si>
    <t>Nori Tamago Furikake 60 g</t>
  </si>
  <si>
    <t>Curry Furikake 45 g</t>
  </si>
  <si>
    <t>Garlic Chili Oil Furikake 45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</si>
</sst>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* #,##0.00\ &quot;₴&quot;_-;\-* #,##0.00\ &quot;₴&quot;_-;_-* &quot;-&quot;??\ &quot;₴&quot;_-;_-@_-"/>
    <numFmt numFmtId="164" formatCode="_-[$$-409]* #,##0_ ;_-[$$-409]* \-#,##0\ ;_-[$$-409]* &quot;-&quot;??_ ;_-@_ "/>
    <numFmt numFmtId="165" formatCode="_-[$$-C09]* #,##0.00_-;\-[$$-C09]* #,##0.00_-;_-[$$-C09]* &quot;-&quot;??_-;_-@_-"/>
    <numFmt numFmtId="166" formatCode="0.000"/>
    <numFmt numFmtId="167" formatCode="#,##0.0000"/>
    <numFmt numFmtId="168" formatCode="_-* #,##0\ &quot;₴&quot;_-;\-* #,##0\ &quot;₴&quot;_-;_-* &quot;-&quot;??\ &quot;₴&quot;_-;_-@_-"/>
    <numFmt numFmtId="169" formatCode="_-[$$-C09]* #,##0_-;\-[$$-C09]* #,##0_-;_-[$$-C09]* &quot;-&quot;??_-;_-@_-"/>
    <numFmt numFmtId="170" formatCode="_-* #,##0\ [$₴-422]_-;\-* #,##0\ [$₴-422]_-;_-* &quot;-&quot;??\ [$₴-422]_-;_-@_-"/>
    <numFmt numFmtId="171" formatCode="_-* #,##0.00\ [$₴-422]_-;\-* #,##0.00\ [$₴-422]_-;_-* &quot;-&quot;??\ [$₴-422]_-;_-@_-"/>
    <numFmt numFmtId="172" formatCode="#,##0.000000"/>
    <numFmt numFmtId="173" formatCode="_-[$$-2809]* #,##0.00_-;\-[$$-2809]* #,##0.00_-;_-[$$-2809]* &quot;-&quot;??_-;_-@_-"/>
    <numFmt numFmtId="174" formatCode="#,##0.00_ ;[Red]\-#,##0.00\ "/>
    <numFmt numFmtId="175" formatCode="0.0%"/>
    <numFmt numFmtId="176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0" tint="-0.499984740745262"/>
      <name val="Arial"/>
      <family val="2"/>
      <charset val="204"/>
    </font>
    <font>
      <sz val="10"/>
      <color theme="9" tint="0.3999755851924192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b/>
      <sz val="8"/>
      <color rgb="FFFFFFFF"/>
      <name val="Arial"/>
      <charset val="1"/>
    </font>
    <font>
      <sz val="10"/>
      <color rgb="FF0070C0"/>
      <name val="Arial"/>
      <family val="2"/>
      <charset val="204"/>
    </font>
    <font>
      <b/>
      <sz val="10"/>
      <color theme="5" tint="-0.499984740745262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theme="9" tint="0.39997558519241921"/>
      <name val="Arial"/>
      <family val="2"/>
      <charset val="204"/>
    </font>
    <font>
      <sz val="10"/>
      <color theme="0" tint="-0.34998626667073579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833C00"/>
      <name val="Arial"/>
      <charset val="1"/>
    </font>
    <font>
      <sz val="10"/>
      <color rgb="FF1F4E79"/>
      <name val="Arial"/>
      <charset val="1"/>
    </font>
    <font>
      <sz val="10"/>
      <color theme="1" tint="0.499984740745262"/>
      <name val="Arial"/>
      <family val="2"/>
      <charset val="204"/>
    </font>
    <font>
      <sz val="10"/>
      <color theme="0" tint="-0.499984740745262"/>
      <name val="Arial"/>
      <family val="2"/>
      <charset val="204"/>
    </font>
    <font>
      <sz val="10"/>
      <color theme="3" tint="0.39997558519241921"/>
      <name val="Arial"/>
      <family val="2"/>
      <charset val="204"/>
    </font>
    <font>
      <b/>
      <sz val="10"/>
      <color rgb="FFFFFFFF"/>
      <name val="Arial"/>
      <charset val="1"/>
    </font>
    <font>
      <b/>
      <sz val="10"/>
      <color theme="0" tint="-0.499984740745262"/>
      <name val="Arial"/>
      <family val="2"/>
      <charset val="204"/>
    </font>
    <font>
      <b/>
      <sz val="10"/>
      <color rgb="FF0070C0"/>
      <name val="Arial"/>
      <family val="2"/>
      <charset val="204"/>
    </font>
    <font>
      <b/>
      <sz val="11"/>
      <color rgb="FF006100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548235"/>
        <bgColor rgb="FF33996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F3864"/>
        <bgColor rgb="FF1F4E79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E2EFDA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1">
    <xf numFmtId="0" fontId="0" fillId="0" borderId="0" xfId="0"/>
    <xf numFmtId="4" fontId="2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 vertical="center"/>
    </xf>
    <xf numFmtId="9" fontId="4" fillId="0" borderId="1" xfId="1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9" fontId="4" fillId="0" borderId="0" xfId="1" applyFont="1" applyFill="1" applyBorder="1" applyAlignment="1">
      <alignment horizontal="center"/>
    </xf>
    <xf numFmtId="9" fontId="4" fillId="0" borderId="0" xfId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4" fontId="2" fillId="0" borderId="8" xfId="0" applyNumberFormat="1" applyFont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0" fillId="9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" fontId="11" fillId="0" borderId="8" xfId="0" applyNumberFormat="1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164" fontId="8" fillId="3" borderId="8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164" fontId="4" fillId="6" borderId="8" xfId="0" applyNumberFormat="1" applyFont="1" applyFill="1" applyBorder="1" applyAlignment="1">
      <alignment horizontal="center" vertical="center"/>
    </xf>
    <xf numFmtId="3" fontId="4" fillId="6" borderId="8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 wrapText="1"/>
    </xf>
    <xf numFmtId="4" fontId="12" fillId="10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4" fillId="6" borderId="8" xfId="0" applyNumberFormat="1" applyFont="1" applyFill="1" applyBorder="1" applyAlignment="1">
      <alignment horizontal="center"/>
    </xf>
    <xf numFmtId="3" fontId="4" fillId="6" borderId="8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8" xfId="0" quotePrefix="1" applyFont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 wrapText="1"/>
    </xf>
    <xf numFmtId="3" fontId="5" fillId="4" borderId="8" xfId="0" applyNumberFormat="1" applyFont="1" applyFill="1" applyBorder="1" applyAlignment="1">
      <alignment horizontal="center" vertical="center" wrapText="1"/>
    </xf>
    <xf numFmtId="165" fontId="14" fillId="12" borderId="8" xfId="0" applyNumberFormat="1" applyFont="1" applyFill="1" applyBorder="1" applyAlignment="1">
      <alignment horizontal="center" vertical="center" wrapText="1"/>
    </xf>
    <xf numFmtId="166" fontId="15" fillId="13" borderId="8" xfId="0" applyNumberFormat="1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 wrapText="1"/>
    </xf>
    <xf numFmtId="165" fontId="5" fillId="0" borderId="8" xfId="0" applyNumberFormat="1" applyFont="1" applyBorder="1" applyAlignment="1">
      <alignment horizontal="center" vertical="center"/>
    </xf>
    <xf numFmtId="10" fontId="2" fillId="0" borderId="13" xfId="0" applyNumberFormat="1" applyFont="1" applyBorder="1" applyAlignment="1">
      <alignment horizontal="center" vertical="center"/>
    </xf>
    <xf numFmtId="167" fontId="16" fillId="0" borderId="8" xfId="0" applyNumberFormat="1" applyFont="1" applyBorder="1" applyAlignment="1">
      <alignment horizontal="center" vertical="center"/>
    </xf>
    <xf numFmtId="165" fontId="17" fillId="0" borderId="8" xfId="0" applyNumberFormat="1" applyFont="1" applyBorder="1" applyAlignment="1">
      <alignment horizontal="center" vertical="center"/>
    </xf>
    <xf numFmtId="44" fontId="5" fillId="0" borderId="8" xfId="0" applyNumberFormat="1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165" fontId="18" fillId="0" borderId="8" xfId="0" applyNumberFormat="1" applyFont="1" applyBorder="1" applyAlignment="1">
      <alignment horizontal="center" vertical="center"/>
    </xf>
    <xf numFmtId="168" fontId="5" fillId="0" borderId="8" xfId="0" applyNumberFormat="1" applyFont="1" applyBorder="1" applyAlignment="1">
      <alignment horizontal="center" vertical="center"/>
    </xf>
    <xf numFmtId="168" fontId="18" fillId="14" borderId="8" xfId="0" applyNumberFormat="1" applyFont="1" applyFill="1" applyBorder="1" applyAlignment="1">
      <alignment horizontal="center" vertical="center"/>
    </xf>
    <xf numFmtId="169" fontId="17" fillId="0" borderId="8" xfId="0" applyNumberFormat="1" applyFont="1" applyBorder="1" applyAlignment="1">
      <alignment horizontal="center" vertical="center"/>
    </xf>
    <xf numFmtId="170" fontId="18" fillId="14" borderId="8" xfId="0" applyNumberFormat="1" applyFont="1" applyFill="1" applyBorder="1" applyAlignment="1">
      <alignment horizontal="center" vertical="center"/>
    </xf>
    <xf numFmtId="170" fontId="8" fillId="14" borderId="8" xfId="0" applyNumberFormat="1" applyFont="1" applyFill="1" applyBorder="1" applyAlignment="1">
      <alignment horizontal="center" vertical="center"/>
    </xf>
    <xf numFmtId="169" fontId="4" fillId="6" borderId="8" xfId="0" applyNumberFormat="1" applyFont="1" applyFill="1" applyBorder="1" applyAlignment="1">
      <alignment horizontal="center" vertical="center"/>
    </xf>
    <xf numFmtId="170" fontId="4" fillId="6" borderId="8" xfId="0" applyNumberFormat="1" applyFont="1" applyFill="1" applyBorder="1" applyAlignment="1">
      <alignment horizontal="center" vertical="center"/>
    </xf>
    <xf numFmtId="165" fontId="4" fillId="8" borderId="8" xfId="0" applyNumberFormat="1" applyFont="1" applyFill="1" applyBorder="1" applyAlignment="1">
      <alignment horizontal="center" vertical="center"/>
    </xf>
    <xf numFmtId="165" fontId="4" fillId="9" borderId="8" xfId="0" applyNumberFormat="1" applyFont="1" applyFill="1" applyBorder="1" applyAlignment="1">
      <alignment horizontal="center" vertical="center"/>
    </xf>
    <xf numFmtId="171" fontId="4" fillId="15" borderId="8" xfId="0" applyNumberFormat="1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165" fontId="4" fillId="6" borderId="8" xfId="0" applyNumberFormat="1" applyFont="1" applyFill="1" applyBorder="1" applyAlignment="1">
      <alignment horizontal="center" vertical="center"/>
    </xf>
    <xf numFmtId="166" fontId="19" fillId="16" borderId="8" xfId="0" applyNumberFormat="1" applyFont="1" applyFill="1" applyBorder="1" applyAlignment="1">
      <alignment horizontal="center" vertical="center" wrapText="1"/>
    </xf>
    <xf numFmtId="9" fontId="4" fillId="6" borderId="8" xfId="1" applyFont="1" applyFill="1" applyBorder="1" applyAlignment="1">
      <alignment horizontal="center"/>
    </xf>
    <xf numFmtId="172" fontId="4" fillId="6" borderId="8" xfId="0" applyNumberFormat="1" applyFont="1" applyFill="1" applyBorder="1" applyAlignment="1">
      <alignment horizontal="center" vertical="center"/>
    </xf>
    <xf numFmtId="165" fontId="20" fillId="6" borderId="8" xfId="0" applyNumberFormat="1" applyFont="1" applyFill="1" applyBorder="1" applyAlignment="1">
      <alignment horizontal="center"/>
    </xf>
    <xf numFmtId="165" fontId="4" fillId="6" borderId="8" xfId="0" applyNumberFormat="1" applyFont="1" applyFill="1" applyBorder="1" applyAlignment="1">
      <alignment horizontal="center"/>
    </xf>
    <xf numFmtId="165" fontId="21" fillId="17" borderId="8" xfId="0" applyNumberFormat="1" applyFont="1" applyFill="1" applyBorder="1" applyAlignment="1">
      <alignment horizontal="center"/>
    </xf>
    <xf numFmtId="168" fontId="21" fillId="17" borderId="8" xfId="0" applyNumberFormat="1" applyFont="1" applyFill="1" applyBorder="1" applyAlignment="1">
      <alignment horizontal="center"/>
    </xf>
    <xf numFmtId="170" fontId="4" fillId="6" borderId="8" xfId="0" applyNumberFormat="1" applyFont="1" applyFill="1" applyBorder="1" applyAlignment="1">
      <alignment horizontal="center"/>
    </xf>
    <xf numFmtId="170" fontId="21" fillId="17" borderId="8" xfId="0" applyNumberFormat="1" applyFont="1" applyFill="1" applyBorder="1" applyAlignment="1">
      <alignment horizontal="center"/>
    </xf>
    <xf numFmtId="173" fontId="4" fillId="6" borderId="8" xfId="0" applyNumberFormat="1" applyFont="1" applyFill="1" applyBorder="1" applyAlignment="1">
      <alignment horizontal="center"/>
    </xf>
    <xf numFmtId="9" fontId="4" fillId="0" borderId="8" xfId="1" applyFont="1" applyFill="1" applyBorder="1" applyAlignment="1">
      <alignment horizontal="center"/>
    </xf>
    <xf numFmtId="174" fontId="4" fillId="0" borderId="8" xfId="0" applyNumberFormat="1" applyFont="1" applyBorder="1" applyAlignment="1">
      <alignment horizontal="center"/>
    </xf>
    <xf numFmtId="175" fontId="22" fillId="18" borderId="8" xfId="0" applyNumberFormat="1" applyFont="1" applyFill="1" applyBorder="1" applyAlignment="1">
      <alignment horizontal="center" vertical="center" wrapText="1"/>
    </xf>
    <xf numFmtId="2" fontId="15" fillId="13" borderId="8" xfId="0" applyNumberFormat="1" applyFont="1" applyFill="1" applyBorder="1" applyAlignment="1">
      <alignment horizontal="center" vertical="center" wrapText="1"/>
    </xf>
    <xf numFmtId="166" fontId="15" fillId="19" borderId="8" xfId="0" applyNumberFormat="1" applyFont="1" applyFill="1" applyBorder="1" applyAlignment="1">
      <alignment horizontal="center" vertical="center" wrapText="1"/>
    </xf>
    <xf numFmtId="10" fontId="2" fillId="0" borderId="8" xfId="0" applyNumberFormat="1" applyFont="1" applyBorder="1" applyAlignment="1">
      <alignment horizontal="center" vertical="center"/>
    </xf>
    <xf numFmtId="176" fontId="15" fillId="13" borderId="8" xfId="0" applyNumberFormat="1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top" wrapText="1"/>
    </xf>
    <xf numFmtId="0" fontId="4" fillId="3" borderId="17" xfId="0" applyFont="1" applyFill="1" applyBorder="1" applyAlignment="1">
      <alignment horizontal="center" vertical="top" wrapText="1"/>
    </xf>
    <xf numFmtId="0" fontId="4" fillId="4" borderId="8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4" fontId="2" fillId="0" borderId="7" xfId="0" applyNumberFormat="1" applyFont="1" applyBorder="1" applyAlignment="1">
      <alignment horizontal="center" vertical="center" wrapText="1"/>
    </xf>
    <xf numFmtId="4" fontId="2" fillId="0" borderId="12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</cellXfs>
  <cellStyles count="2">
    <cellStyle name="Відсотковий" xfId="1" builtinId="5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"/>
  <sheetViews>
    <sheetView tabSelected="1" workbookViewId="0">
      <selection activeCell="K17" sqref="K17"/>
    </sheetView>
  </sheetViews>
  <sheetFormatPr defaultRowHeight="14.4" x14ac:dyDescent="0.3"/>
  <cols>
    <col min="1" max="1" width="4.33203125" bestFit="1" customWidth="1"/>
    <col min="2" max="2" width="12.21875" customWidth="1"/>
    <col min="3" max="3" width="20.77734375" customWidth="1"/>
    <col min="4" max="4" width="18.21875" customWidth="1"/>
    <col min="5" max="5" width="11.44140625" bestFit="1" customWidth="1"/>
    <col min="10" max="10" width="11.5546875" customWidth="1"/>
    <col min="11" max="11" width="19.109375" customWidth="1"/>
    <col min="12" max="12" width="11.6640625" customWidth="1"/>
    <col min="15" max="15" width="11.44140625" bestFit="1" customWidth="1"/>
    <col min="16" max="16" width="12.5546875" bestFit="1" customWidth="1"/>
    <col min="18" max="18" width="12.5546875" bestFit="1" customWidth="1"/>
    <col min="19" max="20" width="10.44140625" bestFit="1" customWidth="1"/>
    <col min="25" max="25" width="10.44140625" bestFit="1" customWidth="1"/>
    <col min="26" max="26" width="10.44140625" customWidth="1"/>
    <col min="27" max="27" width="13.6640625" bestFit="1" customWidth="1"/>
    <col min="28" max="28" width="9.6640625" bestFit="1" customWidth="1"/>
    <col min="29" max="29" width="10.44140625" bestFit="1" customWidth="1"/>
    <col min="30" max="30" width="10.6640625" bestFit="1" customWidth="1"/>
    <col min="31" max="31" width="18.109375" customWidth="1"/>
    <col min="32" max="32" width="11.6640625" customWidth="1"/>
    <col min="33" max="33" width="17.21875" customWidth="1"/>
    <col min="34" max="34" width="14.33203125" customWidth="1"/>
    <col min="38" max="38" width="13.6640625" customWidth="1"/>
    <col min="39" max="39" width="13.5546875" customWidth="1"/>
    <col min="40" max="40" width="14.33203125" customWidth="1"/>
  </cols>
  <sheetData>
    <row r="1" spans="1:41" s="9" customFormat="1" ht="13.8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3"/>
      <c r="S1" s="3"/>
      <c r="T1" s="3"/>
      <c r="U1" s="3"/>
      <c r="V1" s="3"/>
      <c r="W1" s="3"/>
      <c r="X1" s="3">
        <v>0.2</v>
      </c>
      <c r="Y1" s="4"/>
      <c r="Z1" s="5"/>
      <c r="AA1" s="5"/>
      <c r="AB1" s="5"/>
      <c r="AC1" s="5"/>
      <c r="AD1" s="5"/>
      <c r="AE1" s="5"/>
      <c r="AF1" s="5"/>
      <c r="AG1" s="5"/>
      <c r="AH1" s="5"/>
      <c r="AI1" s="6"/>
      <c r="AJ1" s="6"/>
      <c r="AK1" s="3"/>
      <c r="AL1" s="7"/>
      <c r="AM1" s="8"/>
    </row>
    <row r="2" spans="1:41" s="9" customFormat="1" ht="15" customHeight="1" thickBot="1" x14ac:dyDescent="0.3">
      <c r="A2" s="100" t="s">
        <v>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  <c r="P2" s="1"/>
      <c r="Q2" s="2"/>
      <c r="R2" s="103" t="s">
        <v>1</v>
      </c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"/>
      <c r="AJ2" s="11"/>
      <c r="AK2" s="11"/>
      <c r="AL2" s="11"/>
      <c r="AM2" s="8">
        <v>2.5000000000000001E-2</v>
      </c>
    </row>
    <row r="3" spans="1:41" s="25" customFormat="1" ht="52.8" x14ac:dyDescent="0.3">
      <c r="A3" s="105" t="s">
        <v>2</v>
      </c>
      <c r="B3" s="105" t="s">
        <v>3</v>
      </c>
      <c r="C3" s="105" t="s">
        <v>4</v>
      </c>
      <c r="D3" s="95" t="s">
        <v>5</v>
      </c>
      <c r="E3" s="95" t="s">
        <v>7</v>
      </c>
      <c r="F3" s="108" t="s">
        <v>8</v>
      </c>
      <c r="G3" s="108" t="s">
        <v>9</v>
      </c>
      <c r="H3" s="95" t="s">
        <v>10</v>
      </c>
      <c r="I3" s="95" t="s">
        <v>11</v>
      </c>
      <c r="J3" s="95" t="s">
        <v>12</v>
      </c>
      <c r="K3" s="95" t="s">
        <v>13</v>
      </c>
      <c r="L3" s="95" t="s">
        <v>13</v>
      </c>
      <c r="M3" s="95" t="s">
        <v>14</v>
      </c>
      <c r="N3" s="95" t="s">
        <v>15</v>
      </c>
      <c r="O3" s="95" t="s">
        <v>16</v>
      </c>
      <c r="P3" s="12" t="s">
        <v>17</v>
      </c>
      <c r="Q3" s="13" t="s">
        <v>18</v>
      </c>
      <c r="R3" s="14" t="s">
        <v>19</v>
      </c>
      <c r="S3" s="14" t="s">
        <v>20</v>
      </c>
      <c r="T3" s="14" t="s">
        <v>21</v>
      </c>
      <c r="U3" s="15" t="s">
        <v>22</v>
      </c>
      <c r="V3" s="16" t="s">
        <v>23</v>
      </c>
      <c r="W3" s="15" t="s">
        <v>24</v>
      </c>
      <c r="X3" s="16" t="s">
        <v>25</v>
      </c>
      <c r="Y3" s="17" t="s">
        <v>26</v>
      </c>
      <c r="Z3" s="17" t="s">
        <v>27</v>
      </c>
      <c r="AA3" s="17" t="s">
        <v>28</v>
      </c>
      <c r="AB3" s="17" t="s">
        <v>29</v>
      </c>
      <c r="AC3" s="14" t="s">
        <v>30</v>
      </c>
      <c r="AD3" s="14" t="s">
        <v>31</v>
      </c>
      <c r="AE3" s="14" t="s">
        <v>32</v>
      </c>
      <c r="AF3" s="14" t="s">
        <v>33</v>
      </c>
      <c r="AG3" s="18" t="s">
        <v>34</v>
      </c>
      <c r="AH3" s="18" t="s">
        <v>35</v>
      </c>
      <c r="AI3" s="19" t="s">
        <v>36</v>
      </c>
      <c r="AJ3" s="20" t="s">
        <v>37</v>
      </c>
      <c r="AK3" s="21" t="s">
        <v>38</v>
      </c>
      <c r="AL3" s="22" t="s">
        <v>39</v>
      </c>
      <c r="AM3" s="23" t="s">
        <v>40</v>
      </c>
      <c r="AN3" s="24" t="s">
        <v>41</v>
      </c>
    </row>
    <row r="4" spans="1:41" s="25" customFormat="1" ht="13.2" x14ac:dyDescent="0.3">
      <c r="A4" s="106"/>
      <c r="B4" s="106"/>
      <c r="C4" s="106"/>
      <c r="D4" s="96"/>
      <c r="E4" s="96"/>
      <c r="F4" s="109"/>
      <c r="G4" s="109"/>
      <c r="H4" s="96" t="s">
        <v>42</v>
      </c>
      <c r="I4" s="96" t="s">
        <v>11</v>
      </c>
      <c r="J4" s="96"/>
      <c r="K4" s="96"/>
      <c r="L4" s="96"/>
      <c r="M4" s="96"/>
      <c r="N4" s="96"/>
      <c r="O4" s="96"/>
      <c r="P4" s="98" t="s">
        <v>43</v>
      </c>
      <c r="Q4" s="26"/>
      <c r="R4" s="27" t="s">
        <v>44</v>
      </c>
      <c r="S4" s="27"/>
      <c r="T4" s="27"/>
      <c r="U4" s="15"/>
      <c r="V4" s="16"/>
      <c r="W4" s="15"/>
      <c r="X4" s="16"/>
      <c r="Y4" s="28" t="s">
        <v>45</v>
      </c>
      <c r="Z4" s="29" t="s">
        <v>44</v>
      </c>
      <c r="AA4" s="28" t="s">
        <v>45</v>
      </c>
      <c r="AB4" s="29" t="s">
        <v>44</v>
      </c>
      <c r="AC4" s="28" t="s">
        <v>45</v>
      </c>
      <c r="AD4" s="27" t="s">
        <v>44</v>
      </c>
      <c r="AE4" s="28" t="s">
        <v>45</v>
      </c>
      <c r="AF4" s="27" t="s">
        <v>44</v>
      </c>
      <c r="AG4" s="30" t="s">
        <v>45</v>
      </c>
      <c r="AH4" s="31" t="s">
        <v>44</v>
      </c>
      <c r="AI4" s="32" t="s">
        <v>46</v>
      </c>
      <c r="AJ4" s="21"/>
      <c r="AK4" s="21">
        <v>120</v>
      </c>
      <c r="AL4" s="33"/>
      <c r="AM4" s="23"/>
      <c r="AN4" s="23"/>
    </row>
    <row r="5" spans="1:41" s="9" customFormat="1" ht="13.2" x14ac:dyDescent="0.25">
      <c r="A5" s="107"/>
      <c r="B5" s="107"/>
      <c r="C5" s="107"/>
      <c r="D5" s="97"/>
      <c r="E5" s="97"/>
      <c r="F5" s="110"/>
      <c r="G5" s="110"/>
      <c r="H5" s="97"/>
      <c r="I5" s="97"/>
      <c r="J5" s="97"/>
      <c r="K5" s="97"/>
      <c r="L5" s="97"/>
      <c r="M5" s="97"/>
      <c r="N5" s="97"/>
      <c r="O5" s="97"/>
      <c r="P5" s="99"/>
      <c r="Q5" s="34">
        <f>U6/R5</f>
        <v>1</v>
      </c>
      <c r="R5" s="35">
        <v>45</v>
      </c>
      <c r="S5" s="35"/>
      <c r="T5" s="35"/>
      <c r="U5" s="36"/>
      <c r="V5" s="36"/>
      <c r="W5" s="36"/>
      <c r="X5" s="36"/>
      <c r="Y5" s="37"/>
      <c r="Z5" s="38"/>
      <c r="AA5" s="37"/>
      <c r="AB5" s="37"/>
      <c r="AC5" s="39"/>
      <c r="AD5" s="40"/>
      <c r="AE5" s="39"/>
      <c r="AF5" s="39"/>
      <c r="AG5" s="41"/>
      <c r="AH5" s="42"/>
      <c r="AI5" s="43"/>
      <c r="AJ5" s="40"/>
      <c r="AK5" s="40"/>
      <c r="AL5" s="33"/>
      <c r="AM5" s="23"/>
      <c r="AN5" s="23"/>
      <c r="AO5" s="25"/>
    </row>
    <row r="6" spans="1:41" s="9" customFormat="1" ht="26.4" x14ac:dyDescent="0.25">
      <c r="A6" s="35">
        <v>1</v>
      </c>
      <c r="B6" s="44" t="s">
        <v>47</v>
      </c>
      <c r="C6" s="45" t="s">
        <v>48</v>
      </c>
      <c r="D6" s="46">
        <f>H6*I6</f>
        <v>2400</v>
      </c>
      <c r="E6" s="47">
        <v>1728</v>
      </c>
      <c r="F6" s="83">
        <v>6.6150000000000002E-3</v>
      </c>
      <c r="G6" s="48">
        <f>F6*H6</f>
        <v>0.79380000000000006</v>
      </c>
      <c r="H6" s="46">
        <v>120</v>
      </c>
      <c r="I6" s="49">
        <v>20</v>
      </c>
      <c r="J6" s="46">
        <f>H6*I6</f>
        <v>2400</v>
      </c>
      <c r="K6" s="46">
        <f>H6*I6</f>
        <v>2400</v>
      </c>
      <c r="L6" s="35">
        <f>H6*I6</f>
        <v>2400</v>
      </c>
      <c r="M6" s="50">
        <f>E6/L6</f>
        <v>0.72</v>
      </c>
      <c r="N6" s="46">
        <f>H6*I6</f>
        <v>2400</v>
      </c>
      <c r="O6" s="47">
        <f>M6*N6</f>
        <v>1728</v>
      </c>
      <c r="P6" s="51">
        <f>O6/$O$14</f>
        <v>3.6970474967907577E-2</v>
      </c>
      <c r="Q6" s="52">
        <f>P6</f>
        <v>3.6970474967907577E-2</v>
      </c>
      <c r="R6" s="53">
        <f>$O$32*P6</f>
        <v>0</v>
      </c>
      <c r="S6" s="53">
        <f>4000*0.7*P6</f>
        <v>103.51732991014121</v>
      </c>
      <c r="T6" s="53">
        <f>R6+S6</f>
        <v>103.51732991014121</v>
      </c>
      <c r="U6" s="54">
        <v>45</v>
      </c>
      <c r="V6" s="55">
        <v>0.1</v>
      </c>
      <c r="W6" s="53">
        <f>(T6)*V6</f>
        <v>10.351732991014122</v>
      </c>
      <c r="X6" s="53">
        <f>(T6+V6+W6)*$X$25</f>
        <v>0</v>
      </c>
      <c r="Y6" s="56">
        <f>4000*P6</f>
        <v>147.88189987163031</v>
      </c>
      <c r="Z6" s="57">
        <f>Y6*U6</f>
        <v>6654.685494223364</v>
      </c>
      <c r="AA6" s="56">
        <f>288*P6</f>
        <v>10.647496790757382</v>
      </c>
      <c r="AB6" s="58">
        <f>AA6*U6</f>
        <v>479.13735558408217</v>
      </c>
      <c r="AC6" s="59">
        <f>Y6+AA6</f>
        <v>158.52939666238768</v>
      </c>
      <c r="AD6" s="60">
        <f>Z6+AB6</f>
        <v>7133.8228498074459</v>
      </c>
      <c r="AE6" s="59">
        <f>42*P6</f>
        <v>1.5527599486521182</v>
      </c>
      <c r="AF6" s="61">
        <f>AE6*U6</f>
        <v>69.874197689345323</v>
      </c>
      <c r="AG6" s="62">
        <f>AC6+AE6+O6+W6+X6</f>
        <v>1898.433889602054</v>
      </c>
      <c r="AH6" s="63">
        <f>(O6++W6+X6)*U6+AD6+AF6</f>
        <v>85429.525032092439</v>
      </c>
      <c r="AI6" s="54">
        <f t="shared" ref="AI6:AI7" si="0">U6</f>
        <v>45</v>
      </c>
      <c r="AJ6" s="56">
        <f t="shared" ref="AJ6:AJ7" si="1">AG6/N6</f>
        <v>0.79101412066752252</v>
      </c>
      <c r="AK6" s="56">
        <f>AJ6*$AM$2</f>
        <v>1.9775353016688063E-2</v>
      </c>
      <c r="AL6" s="64">
        <f>AJ6-M6</f>
        <v>7.1014120667522551E-2</v>
      </c>
      <c r="AM6" s="65">
        <f>AJ6+AK6</f>
        <v>0.81078947368421062</v>
      </c>
      <c r="AN6" s="66">
        <f>AM6*AI6</f>
        <v>36.485526315789478</v>
      </c>
      <c r="AO6" s="25"/>
    </row>
    <row r="7" spans="1:41" s="9" customFormat="1" ht="26.4" x14ac:dyDescent="0.25">
      <c r="A7" s="35">
        <v>2</v>
      </c>
      <c r="B7" s="44" t="s">
        <v>47</v>
      </c>
      <c r="C7" s="45" t="s">
        <v>49</v>
      </c>
      <c r="D7" s="46">
        <f t="shared" ref="D7:D13" si="2">H7*I7</f>
        <v>7680</v>
      </c>
      <c r="E7" s="47">
        <v>10596</v>
      </c>
      <c r="F7" s="83">
        <v>2.8569600000000001E-2</v>
      </c>
      <c r="G7" s="48">
        <f t="shared" ref="G7:G13" si="3">F7*H7</f>
        <v>3.4283520000000003</v>
      </c>
      <c r="H7" s="46">
        <v>120</v>
      </c>
      <c r="I7" s="49">
        <v>64</v>
      </c>
      <c r="J7" s="46">
        <f t="shared" ref="J7:J13" si="4">H7*I7</f>
        <v>7680</v>
      </c>
      <c r="K7" s="46">
        <f t="shared" ref="K7:K13" si="5">H7*I7</f>
        <v>7680</v>
      </c>
      <c r="L7" s="35">
        <f t="shared" ref="L7:L13" si="6">H7*I7</f>
        <v>7680</v>
      </c>
      <c r="M7" s="50">
        <f t="shared" ref="M7:M13" si="7">E7/L7</f>
        <v>1.3796875</v>
      </c>
      <c r="N7" s="46">
        <f t="shared" ref="N7:N13" si="8">H7*I7</f>
        <v>7680</v>
      </c>
      <c r="O7" s="47">
        <f t="shared" ref="O7:O13" si="9">M7*N7</f>
        <v>10596</v>
      </c>
      <c r="P7" s="51">
        <f t="shared" ref="P7:P13" si="10">O7/$O$14</f>
        <v>0.22670089858793324</v>
      </c>
      <c r="Q7" s="52">
        <f t="shared" ref="Q7" si="11">P7</f>
        <v>0.22670089858793324</v>
      </c>
      <c r="R7" s="53">
        <f>$O$32*P7</f>
        <v>0</v>
      </c>
      <c r="S7" s="53">
        <f t="shared" ref="S7:S13" si="12">4000*0.7*P7</f>
        <v>634.76251604621302</v>
      </c>
      <c r="T7" s="53">
        <f t="shared" ref="T7" si="13">R7+S7</f>
        <v>634.76251604621302</v>
      </c>
      <c r="U7" s="54">
        <v>45</v>
      </c>
      <c r="V7" s="55">
        <v>0.1</v>
      </c>
      <c r="W7" s="53">
        <f>(T7)*V7</f>
        <v>63.476251604621304</v>
      </c>
      <c r="X7" s="53">
        <f>(T7+V7+W7)*$X$25</f>
        <v>0</v>
      </c>
      <c r="Y7" s="56">
        <f t="shared" ref="Y7:Y13" si="14">4000*P7</f>
        <v>906.80359435173295</v>
      </c>
      <c r="Z7" s="57">
        <f t="shared" ref="Z7" si="15">Y7*U7</f>
        <v>40806.16174582798</v>
      </c>
      <c r="AA7" s="56">
        <f>288*P7</f>
        <v>65.289858793324768</v>
      </c>
      <c r="AB7" s="58">
        <f>AA7*U7</f>
        <v>2938.0436456996144</v>
      </c>
      <c r="AC7" s="59">
        <f>Y7+AA7</f>
        <v>972.09345314505777</v>
      </c>
      <c r="AD7" s="60">
        <f t="shared" ref="AD7" si="16">Z7+AB7</f>
        <v>43744.205391527597</v>
      </c>
      <c r="AE7" s="59">
        <f t="shared" ref="AE7" si="17">42*P7</f>
        <v>9.5214377406931963</v>
      </c>
      <c r="AF7" s="61">
        <f t="shared" ref="AF7" si="18">AE7*U7</f>
        <v>428.46469833119386</v>
      </c>
      <c r="AG7" s="62">
        <f t="shared" ref="AG7" si="19">AC7+AE7+O7+W7+X7</f>
        <v>11641.091142490372</v>
      </c>
      <c r="AH7" s="63">
        <f t="shared" ref="AH7" si="20">(O7++W7+X7)*U7+AD7+AF7</f>
        <v>523849.10141206678</v>
      </c>
      <c r="AI7" s="54">
        <f t="shared" si="0"/>
        <v>45</v>
      </c>
      <c r="AJ7" s="56">
        <f t="shared" si="1"/>
        <v>1.5157670758451005</v>
      </c>
      <c r="AK7" s="56">
        <f t="shared" ref="AK7" si="21">AJ7*$AM$2</f>
        <v>3.7894176896127514E-2</v>
      </c>
      <c r="AL7" s="64">
        <f t="shared" ref="AL7" si="22">AJ7-M7</f>
        <v>0.13607957584510055</v>
      </c>
      <c r="AM7" s="65">
        <f t="shared" ref="AM7" si="23">AJ7+AK7</f>
        <v>1.5536612527412281</v>
      </c>
      <c r="AN7" s="66">
        <f t="shared" ref="AN7" si="24">AM7*AI7</f>
        <v>69.91475637335526</v>
      </c>
      <c r="AO7" s="25"/>
    </row>
    <row r="8" spans="1:41" s="9" customFormat="1" ht="26.4" x14ac:dyDescent="0.25">
      <c r="A8" s="35">
        <v>3</v>
      </c>
      <c r="B8" s="44" t="s">
        <v>47</v>
      </c>
      <c r="C8" s="45" t="s">
        <v>50</v>
      </c>
      <c r="D8" s="46">
        <f t="shared" si="2"/>
        <v>2400</v>
      </c>
      <c r="E8" s="47">
        <v>2136</v>
      </c>
      <c r="F8" s="83">
        <v>6.6150000000000002E-3</v>
      </c>
      <c r="G8" s="48">
        <f t="shared" si="3"/>
        <v>0.79380000000000006</v>
      </c>
      <c r="H8" s="46">
        <v>120</v>
      </c>
      <c r="I8" s="49">
        <v>20</v>
      </c>
      <c r="J8" s="46">
        <f t="shared" si="4"/>
        <v>2400</v>
      </c>
      <c r="K8" s="46">
        <f t="shared" si="5"/>
        <v>2400</v>
      </c>
      <c r="L8" s="35">
        <f t="shared" si="6"/>
        <v>2400</v>
      </c>
      <c r="M8" s="50">
        <f t="shared" si="7"/>
        <v>0.89</v>
      </c>
      <c r="N8" s="46">
        <f t="shared" si="8"/>
        <v>2400</v>
      </c>
      <c r="O8" s="47">
        <f t="shared" si="9"/>
        <v>2136</v>
      </c>
      <c r="P8" s="51">
        <f t="shared" si="10"/>
        <v>4.5699614890885754E-2</v>
      </c>
      <c r="Q8" s="52">
        <f t="shared" ref="Q8:Q13" si="25">P8</f>
        <v>4.5699614890885754E-2</v>
      </c>
      <c r="R8" s="53">
        <f t="shared" ref="R8:R13" si="26">$O$32*P8</f>
        <v>0</v>
      </c>
      <c r="S8" s="53">
        <f t="shared" si="12"/>
        <v>127.95892169448011</v>
      </c>
      <c r="T8" s="53">
        <f t="shared" ref="T8:T13" si="27">R8+S8</f>
        <v>127.95892169448011</v>
      </c>
      <c r="U8" s="54">
        <v>45</v>
      </c>
      <c r="V8" s="55">
        <v>0.1</v>
      </c>
      <c r="W8" s="53">
        <f t="shared" ref="W8:W13" si="28">(T8)*V8</f>
        <v>12.795892169448011</v>
      </c>
      <c r="X8" s="53">
        <f t="shared" ref="X8:X13" si="29">(T8+V8+W8)*$X$25</f>
        <v>0</v>
      </c>
      <c r="Y8" s="56">
        <f t="shared" si="14"/>
        <v>182.79845956354302</v>
      </c>
      <c r="Z8" s="57">
        <f t="shared" ref="Z8:Z13" si="30">Y8*U8</f>
        <v>8225.9306803594354</v>
      </c>
      <c r="AA8" s="56">
        <f t="shared" ref="AA8:AA13" si="31">288*P8</f>
        <v>13.161489088575097</v>
      </c>
      <c r="AB8" s="58">
        <f t="shared" ref="AB8:AB13" si="32">AA8*U8</f>
        <v>592.26700898587933</v>
      </c>
      <c r="AC8" s="59">
        <f t="shared" ref="AC8:AC13" si="33">Y8+AA8</f>
        <v>195.95994865211813</v>
      </c>
      <c r="AD8" s="60">
        <f t="shared" ref="AD8:AD13" si="34">Z8+AB8</f>
        <v>8818.1976893453138</v>
      </c>
      <c r="AE8" s="59">
        <f t="shared" ref="AE8:AE13" si="35">42*P8</f>
        <v>1.9193838254172015</v>
      </c>
      <c r="AF8" s="61">
        <f t="shared" ref="AF8:AF13" si="36">AE8*U8</f>
        <v>86.372272143774069</v>
      </c>
      <c r="AG8" s="62">
        <f t="shared" ref="AG8:AG13" si="37">AC8+AE8+O8+W8+X8</f>
        <v>2346.6752246469832</v>
      </c>
      <c r="AH8" s="63">
        <f t="shared" ref="AH8:AH13" si="38">(O8++W8+X8)*U8+AD8+AF8</f>
        <v>105600.38510911426</v>
      </c>
      <c r="AI8" s="54">
        <v>45</v>
      </c>
      <c r="AJ8" s="56">
        <f t="shared" ref="AJ8:AJ13" si="39">AG8/N8</f>
        <v>0.97778134360290969</v>
      </c>
      <c r="AK8" s="56">
        <f t="shared" ref="AK8:AK13" si="40">AJ8*$AM$2</f>
        <v>2.4444533590072745E-2</v>
      </c>
      <c r="AL8" s="64">
        <f t="shared" ref="AL8:AL13" si="41">AJ8-M8</f>
        <v>8.7781343602909678E-2</v>
      </c>
      <c r="AM8" s="65">
        <f t="shared" ref="AM8:AM13" si="42">AJ8+AK8</f>
        <v>1.0022258771929824</v>
      </c>
      <c r="AN8" s="66">
        <f t="shared" ref="AN8:AN13" si="43">AM8*AI8</f>
        <v>45.10016447368421</v>
      </c>
      <c r="AO8" s="25"/>
    </row>
    <row r="9" spans="1:41" s="9" customFormat="1" ht="26.4" x14ac:dyDescent="0.25">
      <c r="A9" s="35">
        <v>4</v>
      </c>
      <c r="B9" s="44" t="s">
        <v>47</v>
      </c>
      <c r="C9" s="45" t="s">
        <v>51</v>
      </c>
      <c r="D9" s="46">
        <f t="shared" si="2"/>
        <v>7680</v>
      </c>
      <c r="E9" s="47">
        <v>12540</v>
      </c>
      <c r="F9" s="83">
        <v>2.8569600000000001E-2</v>
      </c>
      <c r="G9" s="48">
        <f t="shared" si="3"/>
        <v>3.4283520000000003</v>
      </c>
      <c r="H9" s="46">
        <v>120</v>
      </c>
      <c r="I9" s="49">
        <v>64</v>
      </c>
      <c r="J9" s="46">
        <f t="shared" si="4"/>
        <v>7680</v>
      </c>
      <c r="K9" s="46">
        <f t="shared" si="5"/>
        <v>7680</v>
      </c>
      <c r="L9" s="35">
        <f t="shared" si="6"/>
        <v>7680</v>
      </c>
      <c r="M9" s="50">
        <f t="shared" si="7"/>
        <v>1.6328125</v>
      </c>
      <c r="N9" s="46">
        <f t="shared" si="8"/>
        <v>7680</v>
      </c>
      <c r="O9" s="47">
        <f t="shared" si="9"/>
        <v>12540</v>
      </c>
      <c r="P9" s="51">
        <f t="shared" si="10"/>
        <v>0.26829268292682928</v>
      </c>
      <c r="Q9" s="52">
        <f t="shared" si="25"/>
        <v>0.26829268292682928</v>
      </c>
      <c r="R9" s="53">
        <f t="shared" si="26"/>
        <v>0</v>
      </c>
      <c r="S9" s="53">
        <f t="shared" si="12"/>
        <v>751.21951219512198</v>
      </c>
      <c r="T9" s="53">
        <f t="shared" si="27"/>
        <v>751.21951219512198</v>
      </c>
      <c r="U9" s="54">
        <v>45</v>
      </c>
      <c r="V9" s="55">
        <v>0.1</v>
      </c>
      <c r="W9" s="53">
        <f t="shared" si="28"/>
        <v>75.121951219512198</v>
      </c>
      <c r="X9" s="53">
        <f t="shared" si="29"/>
        <v>0</v>
      </c>
      <c r="Y9" s="56">
        <f t="shared" si="14"/>
        <v>1073.1707317073171</v>
      </c>
      <c r="Z9" s="57">
        <f t="shared" si="30"/>
        <v>48292.682926829271</v>
      </c>
      <c r="AA9" s="56">
        <f t="shared" si="31"/>
        <v>77.268292682926841</v>
      </c>
      <c r="AB9" s="58">
        <f t="shared" si="32"/>
        <v>3477.0731707317077</v>
      </c>
      <c r="AC9" s="59">
        <f t="shared" si="33"/>
        <v>1150.439024390244</v>
      </c>
      <c r="AD9" s="60">
        <f t="shared" si="34"/>
        <v>51769.756097560981</v>
      </c>
      <c r="AE9" s="59">
        <f t="shared" si="35"/>
        <v>11.26829268292683</v>
      </c>
      <c r="AF9" s="61">
        <f t="shared" si="36"/>
        <v>507.07317073170736</v>
      </c>
      <c r="AG9" s="62">
        <f t="shared" si="37"/>
        <v>13776.829268292684</v>
      </c>
      <c r="AH9" s="63">
        <f t="shared" si="38"/>
        <v>619957.31707317068</v>
      </c>
      <c r="AI9" s="54">
        <v>45</v>
      </c>
      <c r="AJ9" s="56">
        <f t="shared" si="39"/>
        <v>1.7938579776422765</v>
      </c>
      <c r="AK9" s="56">
        <f t="shared" si="40"/>
        <v>4.4846449441056917E-2</v>
      </c>
      <c r="AL9" s="64">
        <f t="shared" si="41"/>
        <v>0.1610454776422765</v>
      </c>
      <c r="AM9" s="65">
        <f t="shared" si="42"/>
        <v>1.8387044270833335</v>
      </c>
      <c r="AN9" s="66">
        <f t="shared" si="43"/>
        <v>82.74169921875</v>
      </c>
      <c r="AO9" s="25"/>
    </row>
    <row r="10" spans="1:41" s="9" customFormat="1" ht="26.4" x14ac:dyDescent="0.25">
      <c r="A10" s="35">
        <v>5</v>
      </c>
      <c r="B10" s="44" t="s">
        <v>47</v>
      </c>
      <c r="C10" s="45" t="s">
        <v>52</v>
      </c>
      <c r="D10" s="46">
        <f t="shared" si="2"/>
        <v>2400</v>
      </c>
      <c r="E10" s="47">
        <v>1572</v>
      </c>
      <c r="F10" s="83">
        <v>6.6150000000000002E-3</v>
      </c>
      <c r="G10" s="48">
        <f t="shared" si="3"/>
        <v>0.79380000000000006</v>
      </c>
      <c r="H10" s="46">
        <v>120</v>
      </c>
      <c r="I10" s="49">
        <v>20</v>
      </c>
      <c r="J10" s="46">
        <f t="shared" si="4"/>
        <v>2400</v>
      </c>
      <c r="K10" s="46">
        <f t="shared" si="5"/>
        <v>2400</v>
      </c>
      <c r="L10" s="35">
        <f t="shared" si="6"/>
        <v>2400</v>
      </c>
      <c r="M10" s="50">
        <f t="shared" si="7"/>
        <v>0.65500000000000003</v>
      </c>
      <c r="N10" s="46">
        <f t="shared" si="8"/>
        <v>2400</v>
      </c>
      <c r="O10" s="47">
        <f t="shared" si="9"/>
        <v>1572</v>
      </c>
      <c r="P10" s="51">
        <f t="shared" si="10"/>
        <v>3.3632862644415916E-2</v>
      </c>
      <c r="Q10" s="52">
        <f t="shared" si="25"/>
        <v>3.3632862644415916E-2</v>
      </c>
      <c r="R10" s="53">
        <f t="shared" si="26"/>
        <v>0</v>
      </c>
      <c r="S10" s="53">
        <f t="shared" si="12"/>
        <v>94.172015404364558</v>
      </c>
      <c r="T10" s="53">
        <f t="shared" si="27"/>
        <v>94.172015404364558</v>
      </c>
      <c r="U10" s="54">
        <v>45</v>
      </c>
      <c r="V10" s="55">
        <v>0.1</v>
      </c>
      <c r="W10" s="53">
        <f t="shared" si="28"/>
        <v>9.4172015404364569</v>
      </c>
      <c r="X10" s="53">
        <f t="shared" si="29"/>
        <v>0</v>
      </c>
      <c r="Y10" s="56">
        <f t="shared" si="14"/>
        <v>134.53145057766366</v>
      </c>
      <c r="Z10" s="57">
        <f t="shared" si="30"/>
        <v>6053.9152759948647</v>
      </c>
      <c r="AA10" s="56">
        <f t="shared" si="31"/>
        <v>9.6862644415917831</v>
      </c>
      <c r="AB10" s="58">
        <f t="shared" si="32"/>
        <v>435.88189987163025</v>
      </c>
      <c r="AC10" s="59">
        <f t="shared" si="33"/>
        <v>144.21771501925545</v>
      </c>
      <c r="AD10" s="60">
        <f t="shared" si="34"/>
        <v>6489.7971758664953</v>
      </c>
      <c r="AE10" s="59">
        <f t="shared" si="35"/>
        <v>1.4125802310654685</v>
      </c>
      <c r="AF10" s="61">
        <f t="shared" si="36"/>
        <v>63.566110397946083</v>
      </c>
      <c r="AG10" s="62">
        <f t="shared" si="37"/>
        <v>1727.0474967907574</v>
      </c>
      <c r="AH10" s="63">
        <f t="shared" si="38"/>
        <v>77717.137355584084</v>
      </c>
      <c r="AI10" s="54">
        <v>45</v>
      </c>
      <c r="AJ10" s="56">
        <f t="shared" si="39"/>
        <v>0.71960312366281554</v>
      </c>
      <c r="AK10" s="56">
        <f t="shared" si="40"/>
        <v>1.799007809157039E-2</v>
      </c>
      <c r="AL10" s="64">
        <f t="shared" si="41"/>
        <v>6.4603123662815509E-2</v>
      </c>
      <c r="AM10" s="65">
        <f t="shared" si="42"/>
        <v>0.73759320175438592</v>
      </c>
      <c r="AN10" s="66">
        <f t="shared" si="43"/>
        <v>33.191694078947364</v>
      </c>
      <c r="AO10" s="25"/>
    </row>
    <row r="11" spans="1:41" s="9" customFormat="1" ht="26.4" x14ac:dyDescent="0.25">
      <c r="A11" s="35">
        <v>6</v>
      </c>
      <c r="B11" s="44" t="s">
        <v>47</v>
      </c>
      <c r="C11" s="45" t="s">
        <v>53</v>
      </c>
      <c r="D11" s="46">
        <f t="shared" si="2"/>
        <v>7680</v>
      </c>
      <c r="E11" s="47">
        <v>9192</v>
      </c>
      <c r="F11" s="83">
        <v>2.8569600000000001E-2</v>
      </c>
      <c r="G11" s="48">
        <f t="shared" si="3"/>
        <v>3.4283520000000003</v>
      </c>
      <c r="H11" s="46">
        <v>120</v>
      </c>
      <c r="I11" s="49">
        <v>64</v>
      </c>
      <c r="J11" s="46">
        <f t="shared" si="4"/>
        <v>7680</v>
      </c>
      <c r="K11" s="46">
        <f t="shared" si="5"/>
        <v>7680</v>
      </c>
      <c r="L11" s="35">
        <f t="shared" si="6"/>
        <v>7680</v>
      </c>
      <c r="M11" s="50">
        <f t="shared" si="7"/>
        <v>1.1968749999999999</v>
      </c>
      <c r="N11" s="46">
        <f t="shared" si="8"/>
        <v>7680</v>
      </c>
      <c r="O11" s="47">
        <f t="shared" si="9"/>
        <v>9192</v>
      </c>
      <c r="P11" s="51">
        <f t="shared" si="10"/>
        <v>0.19666238767650834</v>
      </c>
      <c r="Q11" s="52">
        <f t="shared" si="25"/>
        <v>0.19666238767650834</v>
      </c>
      <c r="R11" s="53">
        <f t="shared" si="26"/>
        <v>0</v>
      </c>
      <c r="S11" s="53">
        <f t="shared" si="12"/>
        <v>550.65468549422337</v>
      </c>
      <c r="T11" s="53">
        <f t="shared" si="27"/>
        <v>550.65468549422337</v>
      </c>
      <c r="U11" s="54">
        <v>45</v>
      </c>
      <c r="V11" s="55">
        <v>0.1</v>
      </c>
      <c r="W11" s="53">
        <f t="shared" si="28"/>
        <v>55.065468549422341</v>
      </c>
      <c r="X11" s="53">
        <f t="shared" si="29"/>
        <v>0</v>
      </c>
      <c r="Y11" s="56">
        <f t="shared" si="14"/>
        <v>786.64955070603332</v>
      </c>
      <c r="Z11" s="57">
        <f t="shared" si="30"/>
        <v>35399.229781771501</v>
      </c>
      <c r="AA11" s="56">
        <f t="shared" si="31"/>
        <v>56.638767650834403</v>
      </c>
      <c r="AB11" s="58">
        <f t="shared" si="32"/>
        <v>2548.7445442875483</v>
      </c>
      <c r="AC11" s="59">
        <f t="shared" si="33"/>
        <v>843.28831835686776</v>
      </c>
      <c r="AD11" s="60">
        <f t="shared" si="34"/>
        <v>37947.974326059048</v>
      </c>
      <c r="AE11" s="59">
        <f t="shared" si="35"/>
        <v>8.2598202824133509</v>
      </c>
      <c r="AF11" s="61">
        <f t="shared" si="36"/>
        <v>371.6919127086008</v>
      </c>
      <c r="AG11" s="62">
        <f t="shared" si="37"/>
        <v>10098.613607188703</v>
      </c>
      <c r="AH11" s="63">
        <f t="shared" si="38"/>
        <v>454437.61232349172</v>
      </c>
      <c r="AI11" s="54">
        <v>45</v>
      </c>
      <c r="AJ11" s="56">
        <f t="shared" si="39"/>
        <v>1.3149236467693624</v>
      </c>
      <c r="AK11" s="56">
        <f t="shared" si="40"/>
        <v>3.2873091169234057E-2</v>
      </c>
      <c r="AL11" s="64">
        <f t="shared" si="41"/>
        <v>0.11804864676936244</v>
      </c>
      <c r="AM11" s="65">
        <f t="shared" si="42"/>
        <v>1.3477967379385964</v>
      </c>
      <c r="AN11" s="66">
        <f t="shared" si="43"/>
        <v>60.650853207236842</v>
      </c>
      <c r="AO11" s="25"/>
    </row>
    <row r="12" spans="1:41" s="9" customFormat="1" ht="13.2" x14ac:dyDescent="0.25">
      <c r="A12" s="35">
        <v>7</v>
      </c>
      <c r="B12" s="44" t="s">
        <v>47</v>
      </c>
      <c r="C12" s="45" t="s">
        <v>54</v>
      </c>
      <c r="D12" s="46">
        <f t="shared" si="2"/>
        <v>2400</v>
      </c>
      <c r="E12" s="47">
        <v>1332</v>
      </c>
      <c r="F12" s="83">
        <v>6.6150000000000002E-3</v>
      </c>
      <c r="G12" s="48">
        <f t="shared" si="3"/>
        <v>0.79380000000000006</v>
      </c>
      <c r="H12" s="46">
        <v>120</v>
      </c>
      <c r="I12" s="49">
        <v>20</v>
      </c>
      <c r="J12" s="46">
        <f t="shared" si="4"/>
        <v>2400</v>
      </c>
      <c r="K12" s="46">
        <f t="shared" si="5"/>
        <v>2400</v>
      </c>
      <c r="L12" s="35">
        <f t="shared" si="6"/>
        <v>2400</v>
      </c>
      <c r="M12" s="50">
        <f t="shared" si="7"/>
        <v>0.55500000000000005</v>
      </c>
      <c r="N12" s="46">
        <f t="shared" si="8"/>
        <v>2400</v>
      </c>
      <c r="O12" s="47">
        <f t="shared" si="9"/>
        <v>1332.0000000000002</v>
      </c>
      <c r="P12" s="51">
        <f t="shared" si="10"/>
        <v>2.849807445442876E-2</v>
      </c>
      <c r="Q12" s="52">
        <f t="shared" si="25"/>
        <v>2.849807445442876E-2</v>
      </c>
      <c r="R12" s="53">
        <f t="shared" si="26"/>
        <v>0</v>
      </c>
      <c r="S12" s="53">
        <f t="shared" si="12"/>
        <v>79.794608472400526</v>
      </c>
      <c r="T12" s="53">
        <f t="shared" si="27"/>
        <v>79.794608472400526</v>
      </c>
      <c r="U12" s="54">
        <v>45</v>
      </c>
      <c r="V12" s="55">
        <v>0.1</v>
      </c>
      <c r="W12" s="53">
        <f t="shared" si="28"/>
        <v>7.9794608472400528</v>
      </c>
      <c r="X12" s="53">
        <f t="shared" si="29"/>
        <v>0</v>
      </c>
      <c r="Y12" s="56">
        <f t="shared" si="14"/>
        <v>113.99229781771504</v>
      </c>
      <c r="Z12" s="57">
        <f t="shared" si="30"/>
        <v>5129.6534017971771</v>
      </c>
      <c r="AA12" s="56">
        <f t="shared" si="31"/>
        <v>8.2074454428754837</v>
      </c>
      <c r="AB12" s="58">
        <f t="shared" si="32"/>
        <v>369.33504492939676</v>
      </c>
      <c r="AC12" s="59">
        <f t="shared" si="33"/>
        <v>122.19974326059052</v>
      </c>
      <c r="AD12" s="60">
        <f t="shared" si="34"/>
        <v>5498.9884467265738</v>
      </c>
      <c r="AE12" s="59">
        <f t="shared" si="35"/>
        <v>1.196919127086008</v>
      </c>
      <c r="AF12" s="61">
        <f t="shared" si="36"/>
        <v>53.861360718870358</v>
      </c>
      <c r="AG12" s="62">
        <f t="shared" si="37"/>
        <v>1463.3761232349168</v>
      </c>
      <c r="AH12" s="63">
        <f t="shared" si="38"/>
        <v>65851.92554557127</v>
      </c>
      <c r="AI12" s="54">
        <v>45</v>
      </c>
      <c r="AJ12" s="56">
        <f t="shared" si="39"/>
        <v>0.60974005134788201</v>
      </c>
      <c r="AK12" s="56">
        <f t="shared" si="40"/>
        <v>1.5243501283697052E-2</v>
      </c>
      <c r="AL12" s="64">
        <f t="shared" si="41"/>
        <v>5.4740051347881957E-2</v>
      </c>
      <c r="AM12" s="65">
        <f t="shared" si="42"/>
        <v>0.62498355263157901</v>
      </c>
      <c r="AN12" s="66">
        <f t="shared" si="43"/>
        <v>28.124259868421056</v>
      </c>
      <c r="AO12" s="25"/>
    </row>
    <row r="13" spans="1:41" s="9" customFormat="1" ht="13.2" x14ac:dyDescent="0.25">
      <c r="A13" s="35">
        <v>8</v>
      </c>
      <c r="B13" s="44" t="s">
        <v>47</v>
      </c>
      <c r="C13" s="45" t="s">
        <v>55</v>
      </c>
      <c r="D13" s="46">
        <f t="shared" si="2"/>
        <v>7680</v>
      </c>
      <c r="E13" s="47">
        <v>7644</v>
      </c>
      <c r="F13" s="83">
        <v>2.8569600000000001E-2</v>
      </c>
      <c r="G13" s="48">
        <f t="shared" si="3"/>
        <v>3.4283520000000003</v>
      </c>
      <c r="H13" s="46">
        <v>120</v>
      </c>
      <c r="I13" s="49">
        <v>64</v>
      </c>
      <c r="J13" s="46">
        <f t="shared" si="4"/>
        <v>7680</v>
      </c>
      <c r="K13" s="46">
        <f t="shared" si="5"/>
        <v>7680</v>
      </c>
      <c r="L13" s="35">
        <f t="shared" si="6"/>
        <v>7680</v>
      </c>
      <c r="M13" s="50">
        <f t="shared" si="7"/>
        <v>0.99531250000000004</v>
      </c>
      <c r="N13" s="46">
        <f t="shared" si="8"/>
        <v>7680</v>
      </c>
      <c r="O13" s="47">
        <f t="shared" si="9"/>
        <v>7644</v>
      </c>
      <c r="P13" s="51">
        <f t="shared" si="10"/>
        <v>0.16354300385109113</v>
      </c>
      <c r="Q13" s="52">
        <f t="shared" si="25"/>
        <v>0.16354300385109113</v>
      </c>
      <c r="R13" s="53">
        <f t="shared" si="26"/>
        <v>0</v>
      </c>
      <c r="S13" s="53">
        <f t="shared" si="12"/>
        <v>457.92041078305516</v>
      </c>
      <c r="T13" s="53">
        <f t="shared" si="27"/>
        <v>457.92041078305516</v>
      </c>
      <c r="U13" s="54">
        <v>45</v>
      </c>
      <c r="V13" s="55">
        <v>0.1</v>
      </c>
      <c r="W13" s="53">
        <f t="shared" si="28"/>
        <v>45.792041078305516</v>
      </c>
      <c r="X13" s="53">
        <f t="shared" si="29"/>
        <v>0</v>
      </c>
      <c r="Y13" s="56">
        <f t="shared" si="14"/>
        <v>654.17201540436452</v>
      </c>
      <c r="Z13" s="57">
        <f t="shared" si="30"/>
        <v>29437.740693196403</v>
      </c>
      <c r="AA13" s="56">
        <f t="shared" si="31"/>
        <v>47.100385109114249</v>
      </c>
      <c r="AB13" s="58">
        <f t="shared" si="32"/>
        <v>2119.5173299101411</v>
      </c>
      <c r="AC13" s="59">
        <f t="shared" si="33"/>
        <v>701.27240051347871</v>
      </c>
      <c r="AD13" s="60">
        <f t="shared" si="34"/>
        <v>31557.258023106544</v>
      </c>
      <c r="AE13" s="59">
        <f t="shared" si="35"/>
        <v>6.8688061617458276</v>
      </c>
      <c r="AF13" s="61">
        <f t="shared" si="36"/>
        <v>309.09627727856224</v>
      </c>
      <c r="AG13" s="62">
        <f t="shared" si="37"/>
        <v>8397.9332477535299</v>
      </c>
      <c r="AH13" s="63">
        <f t="shared" si="38"/>
        <v>377906.99614890886</v>
      </c>
      <c r="AI13" s="54">
        <v>45</v>
      </c>
      <c r="AJ13" s="56">
        <f t="shared" si="39"/>
        <v>1.0934808916345742</v>
      </c>
      <c r="AK13" s="56">
        <f t="shared" si="40"/>
        <v>2.7337022290864356E-2</v>
      </c>
      <c r="AL13" s="64">
        <f t="shared" si="41"/>
        <v>9.8168391634574137E-2</v>
      </c>
      <c r="AM13" s="65">
        <f t="shared" si="42"/>
        <v>1.1208179139254386</v>
      </c>
      <c r="AN13" s="66">
        <f t="shared" si="43"/>
        <v>50.43680612664474</v>
      </c>
      <c r="AO13" s="25"/>
    </row>
    <row r="14" spans="1:41" s="9" customFormat="1" ht="13.5" customHeight="1" x14ac:dyDescent="0.25">
      <c r="A14" s="18"/>
      <c r="B14" s="18"/>
      <c r="C14" s="18"/>
      <c r="D14" s="31">
        <f>SUM(D6:D13)</f>
        <v>40320</v>
      </c>
      <c r="E14" s="68">
        <f>SUM(E6:E13)</f>
        <v>46740</v>
      </c>
      <c r="F14" s="67"/>
      <c r="G14" s="69">
        <f>SUM(G6:G13)</f>
        <v>16.888608000000001</v>
      </c>
      <c r="H14" s="31">
        <f>SUM(H6:H13)</f>
        <v>960</v>
      </c>
      <c r="I14" s="67"/>
      <c r="J14" s="31">
        <f>SUM(J6:J13)</f>
        <v>40320</v>
      </c>
      <c r="K14" s="31">
        <f>SUM(K6:K13)</f>
        <v>40320</v>
      </c>
      <c r="L14" s="31">
        <f>SUM(L6:L7)</f>
        <v>10080</v>
      </c>
      <c r="M14" s="31"/>
      <c r="N14" s="31">
        <f>SUM(N6:N13)</f>
        <v>40320</v>
      </c>
      <c r="O14" s="68">
        <f>SUM(O6:O13)</f>
        <v>46740</v>
      </c>
      <c r="P14" s="70">
        <f>SUM(P6:P13)</f>
        <v>1</v>
      </c>
      <c r="Q14" s="71"/>
      <c r="R14" s="72">
        <f>SUM(R6:R7)</f>
        <v>0</v>
      </c>
      <c r="S14" s="72">
        <f>SUM(S6:S13)</f>
        <v>2800</v>
      </c>
      <c r="T14" s="72">
        <f>SUM(T6:T13)</f>
        <v>2800</v>
      </c>
      <c r="U14" s="42"/>
      <c r="V14" s="42"/>
      <c r="W14" s="73">
        <f t="shared" ref="W14:AH14" si="44">SUM(W6:W13)</f>
        <v>280</v>
      </c>
      <c r="X14" s="73">
        <f t="shared" si="44"/>
        <v>0</v>
      </c>
      <c r="Y14" s="74">
        <f t="shared" si="44"/>
        <v>4000</v>
      </c>
      <c r="Z14" s="75">
        <f t="shared" si="44"/>
        <v>179999.99999999997</v>
      </c>
      <c r="AA14" s="74">
        <f t="shared" si="44"/>
        <v>288</v>
      </c>
      <c r="AB14" s="75">
        <f t="shared" si="44"/>
        <v>12960.000000000002</v>
      </c>
      <c r="AC14" s="73">
        <f t="shared" si="44"/>
        <v>4288</v>
      </c>
      <c r="AD14" s="76">
        <f t="shared" si="44"/>
        <v>192960</v>
      </c>
      <c r="AE14" s="74">
        <f t="shared" si="44"/>
        <v>42</v>
      </c>
      <c r="AF14" s="77">
        <f t="shared" si="44"/>
        <v>1889.9999999999998</v>
      </c>
      <c r="AG14" s="78">
        <f t="shared" si="44"/>
        <v>51349.999999999993</v>
      </c>
      <c r="AH14" s="42">
        <f t="shared" si="44"/>
        <v>2310750.0000000005</v>
      </c>
      <c r="AI14" s="79"/>
      <c r="AJ14" s="80"/>
      <c r="AK14" s="80"/>
      <c r="AL14" s="80"/>
      <c r="AM14" s="80"/>
      <c r="AO14" s="25"/>
    </row>
    <row r="15" spans="1:41" s="9" customFormat="1" ht="13.8" x14ac:dyDescent="0.25">
      <c r="A15" s="1"/>
      <c r="B15" s="1"/>
      <c r="C15" s="1"/>
      <c r="D15" s="1"/>
      <c r="E15" s="1"/>
      <c r="F15" s="81">
        <f>IFERROR(G14/G15,0)</f>
        <v>0.99344752941176484</v>
      </c>
      <c r="G15" s="82">
        <v>17</v>
      </c>
      <c r="H15" s="1"/>
      <c r="I15" s="1"/>
      <c r="J15" s="1"/>
      <c r="K15" s="1"/>
      <c r="L15" s="1"/>
      <c r="M15" s="1"/>
      <c r="N15" s="1"/>
      <c r="O15" s="1"/>
      <c r="P15" s="1"/>
      <c r="Q15" s="2"/>
      <c r="R15" s="3"/>
      <c r="S15" s="3"/>
      <c r="T15" s="3"/>
      <c r="U15" s="3"/>
      <c r="V15" s="3"/>
      <c r="W15" s="3"/>
      <c r="X15" s="3"/>
      <c r="Y15" s="4"/>
      <c r="Z15" s="5"/>
      <c r="AA15" s="5"/>
      <c r="AB15" s="5"/>
      <c r="AC15" s="5"/>
      <c r="AD15" s="5"/>
      <c r="AE15" s="5"/>
      <c r="AF15" s="5"/>
      <c r="AG15" s="5"/>
      <c r="AH15" s="5"/>
      <c r="AI15" s="6"/>
      <c r="AJ15" s="6"/>
      <c r="AK15" s="3"/>
      <c r="AL15" s="7"/>
      <c r="AM15" s="8"/>
    </row>
  </sheetData>
  <mergeCells count="18">
    <mergeCell ref="A2:O2"/>
    <mergeCell ref="R2:AH2"/>
    <mergeCell ref="A3:A5"/>
    <mergeCell ref="B3:B5"/>
    <mergeCell ref="C3:C5"/>
    <mergeCell ref="D3:D5"/>
    <mergeCell ref="E3:E5"/>
    <mergeCell ref="F3:F5"/>
    <mergeCell ref="G3:G5"/>
    <mergeCell ref="N3:N5"/>
    <mergeCell ref="O3:O5"/>
    <mergeCell ref="P4:P5"/>
    <mergeCell ref="H3:H5"/>
    <mergeCell ref="I3:I5"/>
    <mergeCell ref="J3:J5"/>
    <mergeCell ref="K3:K5"/>
    <mergeCell ref="L3:L5"/>
    <mergeCell ref="M3:M5"/>
  </mergeCells>
  <pageMargins left="0.7" right="0.7" top="0.75" bottom="0.75" header="0.3" footer="0.3"/>
  <ignoredErrors>
    <ignoredError sqref="Q6:R6 Q7:R7 W7:X13 Q14:R14 Q13:R13 Q8:R8 Q9:R9 Q10:R10 Q11:R11 Q12:R12 U14:V14 AI14:AM14 T6:X6 T7:U7 T13 T8 T9 T10 T11 T12 Z6:AN6 Z7:AN13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0A52-4B69-4A05-84EB-1F41339CF625}">
  <dimension ref="A1:AP14"/>
  <sheetViews>
    <sheetView workbookViewId="0">
      <selection activeCell="AF17" sqref="AF17"/>
    </sheetView>
  </sheetViews>
  <sheetFormatPr defaultRowHeight="14.4" x14ac:dyDescent="0.3"/>
  <cols>
    <col min="1" max="1" width="4.33203125" bestFit="1" customWidth="1"/>
    <col min="2" max="2" width="12.77734375" customWidth="1"/>
    <col min="3" max="3" width="14.88671875" customWidth="1"/>
    <col min="4" max="4" width="14.109375" customWidth="1"/>
    <col min="5" max="5" width="10.77734375" customWidth="1"/>
    <col min="6" max="6" width="11.44140625" bestFit="1" customWidth="1"/>
    <col min="11" max="12" width="11" customWidth="1"/>
    <col min="13" max="13" width="12.88671875" customWidth="1"/>
    <col min="16" max="16" width="11.44140625" bestFit="1" customWidth="1"/>
    <col min="19" max="19" width="15.44140625" customWidth="1"/>
    <col min="20" max="20" width="13.88671875" customWidth="1"/>
    <col min="21" max="21" width="11.44140625" bestFit="1" customWidth="1"/>
    <col min="24" max="25" width="10.44140625" bestFit="1" customWidth="1"/>
    <col min="26" max="26" width="10.44140625" customWidth="1"/>
    <col min="27" max="27" width="10.6640625" bestFit="1" customWidth="1"/>
    <col min="28" max="28" width="13.88671875" customWidth="1"/>
    <col min="29" max="29" width="9.6640625" bestFit="1" customWidth="1"/>
    <col min="30" max="30" width="15.77734375" customWidth="1"/>
    <col min="31" max="31" width="10.6640625" bestFit="1" customWidth="1"/>
    <col min="32" max="32" width="19.6640625" customWidth="1"/>
    <col min="33" max="33" width="11.77734375" customWidth="1"/>
    <col min="34" max="34" width="13.88671875" customWidth="1"/>
    <col min="35" max="35" width="14.21875" customWidth="1"/>
    <col min="36" max="36" width="11.88671875" customWidth="1"/>
    <col min="37" max="37" width="13" customWidth="1"/>
    <col min="38" max="38" width="12.5546875" customWidth="1"/>
    <col min="39" max="39" width="14.44140625" customWidth="1"/>
    <col min="40" max="40" width="14" customWidth="1"/>
    <col min="41" max="41" width="12.6640625" customWidth="1"/>
  </cols>
  <sheetData>
    <row r="1" spans="1:42" s="9" customFormat="1" ht="13.8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3"/>
      <c r="T1" s="3"/>
      <c r="U1" s="3"/>
      <c r="V1" s="3"/>
      <c r="W1" s="3"/>
      <c r="X1" s="3"/>
      <c r="Y1" s="3">
        <v>0.2</v>
      </c>
      <c r="Z1" s="4"/>
      <c r="AA1" s="5"/>
      <c r="AB1" s="5"/>
      <c r="AC1" s="5"/>
      <c r="AD1" s="5"/>
      <c r="AE1" s="5"/>
      <c r="AF1" s="5"/>
      <c r="AG1" s="5"/>
      <c r="AH1" s="5"/>
      <c r="AI1" s="5"/>
      <c r="AJ1" s="6"/>
      <c r="AK1" s="6"/>
      <c r="AL1" s="3"/>
      <c r="AM1" s="7"/>
      <c r="AN1" s="8"/>
    </row>
    <row r="2" spans="1:42" s="9" customFormat="1" ht="15" customHeight="1" x14ac:dyDescent="0.25">
      <c r="A2" s="88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1"/>
      <c r="R2" s="2"/>
      <c r="S2" s="91" t="s">
        <v>1</v>
      </c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10"/>
      <c r="AK2" s="11"/>
      <c r="AL2" s="11"/>
      <c r="AM2" s="11"/>
      <c r="AN2" s="8">
        <v>2.5000000000000001E-2</v>
      </c>
    </row>
    <row r="3" spans="1:42" s="25" customFormat="1" ht="39.6" x14ac:dyDescent="0.3">
      <c r="A3" s="93" t="s">
        <v>2</v>
      </c>
      <c r="B3" s="93" t="s">
        <v>3</v>
      </c>
      <c r="C3" s="93" t="s">
        <v>4</v>
      </c>
      <c r="D3" s="86" t="s">
        <v>5</v>
      </c>
      <c r="E3" s="93" t="s">
        <v>6</v>
      </c>
      <c r="F3" s="86" t="s">
        <v>7</v>
      </c>
      <c r="G3" s="94" t="s">
        <v>8</v>
      </c>
      <c r="H3" s="94" t="s">
        <v>9</v>
      </c>
      <c r="I3" s="86" t="s">
        <v>10</v>
      </c>
      <c r="J3" s="86" t="s">
        <v>11</v>
      </c>
      <c r="K3" s="86" t="s">
        <v>12</v>
      </c>
      <c r="L3" s="86" t="s">
        <v>13</v>
      </c>
      <c r="M3" s="86" t="s">
        <v>13</v>
      </c>
      <c r="N3" s="86" t="s">
        <v>14</v>
      </c>
      <c r="O3" s="86" t="s">
        <v>15</v>
      </c>
      <c r="P3" s="86" t="s">
        <v>16</v>
      </c>
      <c r="Q3" s="12" t="s">
        <v>17</v>
      </c>
      <c r="R3" s="13" t="s">
        <v>18</v>
      </c>
      <c r="S3" s="14" t="s">
        <v>19</v>
      </c>
      <c r="T3" s="14" t="s">
        <v>20</v>
      </c>
      <c r="U3" s="14" t="s">
        <v>21</v>
      </c>
      <c r="V3" s="15" t="s">
        <v>22</v>
      </c>
      <c r="W3" s="16" t="s">
        <v>23</v>
      </c>
      <c r="X3" s="15" t="s">
        <v>24</v>
      </c>
      <c r="Y3" s="16" t="s">
        <v>25</v>
      </c>
      <c r="Z3" s="17" t="s">
        <v>26</v>
      </c>
      <c r="AA3" s="17" t="s">
        <v>27</v>
      </c>
      <c r="AB3" s="17" t="s">
        <v>28</v>
      </c>
      <c r="AC3" s="17" t="s">
        <v>29</v>
      </c>
      <c r="AD3" s="14" t="s">
        <v>30</v>
      </c>
      <c r="AE3" s="14" t="s">
        <v>31</v>
      </c>
      <c r="AF3" s="14" t="s">
        <v>32</v>
      </c>
      <c r="AG3" s="14" t="s">
        <v>33</v>
      </c>
      <c r="AH3" s="18" t="s">
        <v>34</v>
      </c>
      <c r="AI3" s="18" t="s">
        <v>35</v>
      </c>
      <c r="AJ3" s="19" t="s">
        <v>36</v>
      </c>
      <c r="AK3" s="20" t="s">
        <v>37</v>
      </c>
      <c r="AL3" s="21" t="s">
        <v>38</v>
      </c>
      <c r="AM3" s="33" t="s">
        <v>39</v>
      </c>
      <c r="AN3" s="23" t="s">
        <v>40</v>
      </c>
      <c r="AO3" s="23" t="s">
        <v>41</v>
      </c>
    </row>
    <row r="4" spans="1:42" s="25" customFormat="1" ht="13.2" x14ac:dyDescent="0.3">
      <c r="A4" s="93"/>
      <c r="B4" s="93"/>
      <c r="C4" s="93"/>
      <c r="D4" s="86"/>
      <c r="E4" s="93"/>
      <c r="F4" s="86"/>
      <c r="G4" s="94"/>
      <c r="H4" s="94"/>
      <c r="I4" s="86" t="s">
        <v>42</v>
      </c>
      <c r="J4" s="86" t="s">
        <v>11</v>
      </c>
      <c r="K4" s="86"/>
      <c r="L4" s="86"/>
      <c r="M4" s="86"/>
      <c r="N4" s="86"/>
      <c r="O4" s="86"/>
      <c r="P4" s="86"/>
      <c r="Q4" s="87" t="s">
        <v>43</v>
      </c>
      <c r="R4" s="26"/>
      <c r="S4" s="27" t="s">
        <v>44</v>
      </c>
      <c r="T4" s="27"/>
      <c r="U4" s="27"/>
      <c r="V4" s="15"/>
      <c r="W4" s="16"/>
      <c r="X4" s="15"/>
      <c r="Y4" s="16"/>
      <c r="Z4" s="28" t="s">
        <v>45</v>
      </c>
      <c r="AA4" s="29" t="s">
        <v>44</v>
      </c>
      <c r="AB4" s="28" t="s">
        <v>45</v>
      </c>
      <c r="AC4" s="29" t="s">
        <v>44</v>
      </c>
      <c r="AD4" s="28" t="s">
        <v>45</v>
      </c>
      <c r="AE4" s="27" t="s">
        <v>44</v>
      </c>
      <c r="AF4" s="28" t="s">
        <v>45</v>
      </c>
      <c r="AG4" s="27" t="s">
        <v>44</v>
      </c>
      <c r="AH4" s="30" t="s">
        <v>45</v>
      </c>
      <c r="AI4" s="31" t="s">
        <v>44</v>
      </c>
      <c r="AJ4" s="32" t="s">
        <v>46</v>
      </c>
      <c r="AK4" s="21"/>
      <c r="AL4" s="21">
        <v>120</v>
      </c>
      <c r="AM4" s="33"/>
      <c r="AN4" s="23"/>
      <c r="AO4" s="23"/>
    </row>
    <row r="5" spans="1:42" s="9" customFormat="1" ht="13.2" x14ac:dyDescent="0.25">
      <c r="A5" s="93"/>
      <c r="B5" s="93"/>
      <c r="C5" s="93"/>
      <c r="D5" s="86"/>
      <c r="E5" s="93"/>
      <c r="F5" s="86"/>
      <c r="G5" s="94"/>
      <c r="H5" s="94"/>
      <c r="I5" s="86"/>
      <c r="J5" s="86"/>
      <c r="K5" s="86"/>
      <c r="L5" s="86"/>
      <c r="M5" s="86"/>
      <c r="N5" s="86"/>
      <c r="O5" s="86"/>
      <c r="P5" s="86"/>
      <c r="Q5" s="87"/>
      <c r="R5" s="34">
        <f>V6/S5</f>
        <v>1</v>
      </c>
      <c r="S5" s="35">
        <v>45</v>
      </c>
      <c r="T5" s="35"/>
      <c r="U5" s="35"/>
      <c r="V5" s="36"/>
      <c r="W5" s="36"/>
      <c r="X5" s="36"/>
      <c r="Y5" s="36"/>
      <c r="Z5" s="37"/>
      <c r="AA5" s="38"/>
      <c r="AB5" s="37"/>
      <c r="AC5" s="37"/>
      <c r="AD5" s="39"/>
      <c r="AE5" s="40"/>
      <c r="AF5" s="39"/>
      <c r="AG5" s="39"/>
      <c r="AH5" s="41"/>
      <c r="AI5" s="42"/>
      <c r="AJ5" s="43"/>
      <c r="AK5" s="40"/>
      <c r="AL5" s="40"/>
      <c r="AM5" s="33"/>
      <c r="AN5" s="23"/>
      <c r="AO5" s="23"/>
      <c r="AP5" s="25"/>
    </row>
    <row r="6" spans="1:42" s="9" customFormat="1" ht="26.4" x14ac:dyDescent="0.25">
      <c r="A6" s="35">
        <v>1</v>
      </c>
      <c r="B6" s="44" t="s">
        <v>56</v>
      </c>
      <c r="C6" s="45" t="s">
        <v>57</v>
      </c>
      <c r="D6" s="46">
        <f>I6*J6</f>
        <v>680</v>
      </c>
      <c r="E6" s="47">
        <f>F6/K6</f>
        <v>1.278</v>
      </c>
      <c r="F6" s="47">
        <v>869.04</v>
      </c>
      <c r="G6" s="83">
        <v>1.9465E-2</v>
      </c>
      <c r="H6" s="85">
        <f>G6*I6</f>
        <v>1.32362</v>
      </c>
      <c r="I6" s="46">
        <v>68</v>
      </c>
      <c r="J6" s="49">
        <v>10</v>
      </c>
      <c r="K6" s="46">
        <f>I6*J6</f>
        <v>680</v>
      </c>
      <c r="L6" s="46">
        <f>I6*J6</f>
        <v>680</v>
      </c>
      <c r="M6" s="35">
        <f>I6*J6</f>
        <v>680</v>
      </c>
      <c r="N6" s="50">
        <f>F6/K6</f>
        <v>1.278</v>
      </c>
      <c r="O6" s="46">
        <f>N6*M6</f>
        <v>869.04</v>
      </c>
      <c r="P6" s="47">
        <f>N6*O6</f>
        <v>1110.63312</v>
      </c>
      <c r="Q6" s="84">
        <f t="shared" ref="Q6:Q12" si="0">P6/$P$13</f>
        <v>2.9588851337690777E-2</v>
      </c>
      <c r="R6" s="52">
        <f>Q6</f>
        <v>2.9588851337690777E-2</v>
      </c>
      <c r="S6" s="53">
        <f>$P$13*Q6</f>
        <v>1110.63312</v>
      </c>
      <c r="T6" s="53">
        <f>4000*0.7*Q6</f>
        <v>82.848783745534178</v>
      </c>
      <c r="U6" s="53">
        <f>S6+T6</f>
        <v>1193.4819037455341</v>
      </c>
      <c r="V6" s="54">
        <v>45</v>
      </c>
      <c r="W6" s="55">
        <v>0.1</v>
      </c>
      <c r="X6" s="53">
        <f>(U6)*W6</f>
        <v>119.34819037455341</v>
      </c>
      <c r="Y6" s="53">
        <f>(U6+W6+X6)*$Y$1</f>
        <v>262.58601882401751</v>
      </c>
      <c r="Z6" s="56">
        <f>4000*Q6</f>
        <v>118.35540535076311</v>
      </c>
      <c r="AA6" s="57">
        <f>Z6*V6</f>
        <v>5325.9932407843398</v>
      </c>
      <c r="AB6" s="56">
        <f>288*Q6</f>
        <v>8.5215891852549444</v>
      </c>
      <c r="AC6" s="58">
        <f>AB6*V6</f>
        <v>383.47151333647247</v>
      </c>
      <c r="AD6" s="59">
        <f>Z6+AB6</f>
        <v>126.87699453601805</v>
      </c>
      <c r="AE6" s="60">
        <f>AA6+AC6</f>
        <v>5709.4647541208124</v>
      </c>
      <c r="AF6" s="59">
        <f>42*Q6</f>
        <v>1.2427317561830127</v>
      </c>
      <c r="AG6" s="61">
        <f>AF6*V6</f>
        <v>55.922929028235572</v>
      </c>
      <c r="AH6" s="62">
        <f>AD6+AF6+P6+X6+Y6</f>
        <v>1620.6870554907719</v>
      </c>
      <c r="AI6" s="63">
        <f>(P6++X6+Y6)*V6+AE6+AG6</f>
        <v>72930.917497084738</v>
      </c>
      <c r="AJ6" s="54">
        <f t="shared" ref="AJ6:AJ7" si="1">V6</f>
        <v>45</v>
      </c>
      <c r="AK6" s="56">
        <f t="shared" ref="AK6:AK12" si="2">AH6/O6</f>
        <v>1.864916523394518</v>
      </c>
      <c r="AL6" s="56">
        <f>AK6*$AN$2</f>
        <v>4.6622913084862952E-2</v>
      </c>
      <c r="AM6" s="64">
        <f>AK6-N6</f>
        <v>0.58691652339451794</v>
      </c>
      <c r="AN6" s="65">
        <f>AK6+AL6</f>
        <v>1.911539436479381</v>
      </c>
      <c r="AO6" s="66">
        <f>AN6*AJ6</f>
        <v>86.019274641572139</v>
      </c>
      <c r="AP6" s="25"/>
    </row>
    <row r="7" spans="1:42" s="9" customFormat="1" ht="39.6" x14ac:dyDescent="0.25">
      <c r="A7" s="35">
        <v>2</v>
      </c>
      <c r="B7" s="44" t="s">
        <v>56</v>
      </c>
      <c r="C7" s="45" t="s">
        <v>58</v>
      </c>
      <c r="D7" s="46">
        <f t="shared" ref="D7:D12" si="3">I7*J7</f>
        <v>680</v>
      </c>
      <c r="E7" s="47">
        <f t="shared" ref="E7:E12" si="4">F7/K7</f>
        <v>1.278</v>
      </c>
      <c r="F7" s="47">
        <v>869.04</v>
      </c>
      <c r="G7" s="83">
        <v>1.9465E-2</v>
      </c>
      <c r="H7" s="85">
        <f t="shared" ref="H7:H12" si="5">G7*I7</f>
        <v>1.32362</v>
      </c>
      <c r="I7" s="46">
        <v>68</v>
      </c>
      <c r="J7" s="49">
        <v>10</v>
      </c>
      <c r="K7" s="46">
        <f t="shared" ref="K7:K12" si="6">I7*J7</f>
        <v>680</v>
      </c>
      <c r="L7" s="46">
        <f t="shared" ref="L7:L12" si="7">I7*J7</f>
        <v>680</v>
      </c>
      <c r="M7" s="35">
        <f t="shared" ref="M7:M12" si="8">I7*J7</f>
        <v>680</v>
      </c>
      <c r="N7" s="50">
        <f t="shared" ref="N7:N12" si="9">F7/K7</f>
        <v>1.278</v>
      </c>
      <c r="O7" s="46">
        <f t="shared" ref="O7:O12" si="10">N7*M7</f>
        <v>869.04</v>
      </c>
      <c r="P7" s="47">
        <f t="shared" ref="P7:P12" si="11">N7*O7</f>
        <v>1110.63312</v>
      </c>
      <c r="Q7" s="84">
        <f t="shared" si="0"/>
        <v>2.9588851337690777E-2</v>
      </c>
      <c r="R7" s="52">
        <f t="shared" ref="R7:R12" si="12">Q7</f>
        <v>2.9588851337690777E-2</v>
      </c>
      <c r="S7" s="53">
        <f t="shared" ref="S7:S12" si="13">$P$13*Q7</f>
        <v>1110.63312</v>
      </c>
      <c r="T7" s="53">
        <f t="shared" ref="T7:T12" si="14">4000*0.7*Q7</f>
        <v>82.848783745534178</v>
      </c>
      <c r="U7" s="53">
        <f t="shared" ref="U7:U12" si="15">S7+T7</f>
        <v>1193.4819037455341</v>
      </c>
      <c r="V7" s="54">
        <v>45</v>
      </c>
      <c r="W7" s="55">
        <v>0.1</v>
      </c>
      <c r="X7" s="53">
        <f>(U7)*W7</f>
        <v>119.34819037455341</v>
      </c>
      <c r="Y7" s="53">
        <f t="shared" ref="Y7:Y12" si="16">(U7+W7+X7)*$Y$1</f>
        <v>262.58601882401751</v>
      </c>
      <c r="Z7" s="56">
        <f t="shared" ref="Z7:Z12" si="17">4000*Q7</f>
        <v>118.35540535076311</v>
      </c>
      <c r="AA7" s="57">
        <f t="shared" ref="AA7:AA12" si="18">Z7*V7</f>
        <v>5325.9932407843398</v>
      </c>
      <c r="AB7" s="56">
        <f>288*Q7</f>
        <v>8.5215891852549444</v>
      </c>
      <c r="AC7" s="58">
        <f>AB7*V7</f>
        <v>383.47151333647247</v>
      </c>
      <c r="AD7" s="59">
        <f>Z7+AB7</f>
        <v>126.87699453601805</v>
      </c>
      <c r="AE7" s="60">
        <f t="shared" ref="AE7:AE12" si="19">AA7+AC7</f>
        <v>5709.4647541208124</v>
      </c>
      <c r="AF7" s="59">
        <f t="shared" ref="AF7:AF12" si="20">42*Q7</f>
        <v>1.2427317561830127</v>
      </c>
      <c r="AG7" s="61">
        <f t="shared" ref="AG7:AG12" si="21">AF7*V7</f>
        <v>55.922929028235572</v>
      </c>
      <c r="AH7" s="62">
        <f t="shared" ref="AH7:AH12" si="22">AD7+AF7+P7+X7+Y7</f>
        <v>1620.6870554907719</v>
      </c>
      <c r="AI7" s="63">
        <f t="shared" ref="AI7:AI12" si="23">(P7++X7+Y7)*V7+AE7+AG7</f>
        <v>72930.917497084738</v>
      </c>
      <c r="AJ7" s="54">
        <f t="shared" si="1"/>
        <v>45</v>
      </c>
      <c r="AK7" s="56">
        <f t="shared" si="2"/>
        <v>1.864916523394518</v>
      </c>
      <c r="AL7" s="56">
        <f t="shared" ref="AL7:AL12" si="24">AK7*$AN$2</f>
        <v>4.6622913084862952E-2</v>
      </c>
      <c r="AM7" s="64">
        <f t="shared" ref="AM7:AM12" si="25">AK7-N7</f>
        <v>0.58691652339451794</v>
      </c>
      <c r="AN7" s="65">
        <f t="shared" ref="AN7:AN12" si="26">AK7+AL7</f>
        <v>1.911539436479381</v>
      </c>
      <c r="AO7" s="66">
        <f t="shared" ref="AO7:AO12" si="27">AN7*AJ7</f>
        <v>86.019274641572139</v>
      </c>
      <c r="AP7" s="25"/>
    </row>
    <row r="8" spans="1:42" s="9" customFormat="1" ht="39.6" x14ac:dyDescent="0.25">
      <c r="A8" s="35">
        <v>3</v>
      </c>
      <c r="B8" s="44" t="s">
        <v>56</v>
      </c>
      <c r="C8" s="45" t="s">
        <v>59</v>
      </c>
      <c r="D8" s="46">
        <f t="shared" si="3"/>
        <v>680</v>
      </c>
      <c r="E8" s="47">
        <f t="shared" si="4"/>
        <v>1.3439999999999999</v>
      </c>
      <c r="F8" s="47">
        <v>913.92</v>
      </c>
      <c r="G8" s="83">
        <v>1.9465E-2</v>
      </c>
      <c r="H8" s="85">
        <f t="shared" si="5"/>
        <v>1.32362</v>
      </c>
      <c r="I8" s="46">
        <v>68</v>
      </c>
      <c r="J8" s="49">
        <v>10</v>
      </c>
      <c r="K8" s="46">
        <f t="shared" si="6"/>
        <v>680</v>
      </c>
      <c r="L8" s="46">
        <f t="shared" si="7"/>
        <v>680</v>
      </c>
      <c r="M8" s="35">
        <f t="shared" si="8"/>
        <v>680</v>
      </c>
      <c r="N8" s="50">
        <f t="shared" si="9"/>
        <v>1.3439999999999999</v>
      </c>
      <c r="O8" s="46">
        <f t="shared" si="10"/>
        <v>913.92</v>
      </c>
      <c r="P8" s="47">
        <f t="shared" si="11"/>
        <v>1228.3084799999999</v>
      </c>
      <c r="Q8" s="84">
        <f t="shared" si="0"/>
        <v>3.2723890866450049E-2</v>
      </c>
      <c r="R8" s="52">
        <f t="shared" si="12"/>
        <v>3.2723890866450049E-2</v>
      </c>
      <c r="S8" s="53">
        <f t="shared" si="13"/>
        <v>1228.3084799999999</v>
      </c>
      <c r="T8" s="53">
        <f t="shared" si="14"/>
        <v>91.626894426060133</v>
      </c>
      <c r="U8" s="53">
        <f t="shared" si="15"/>
        <v>1319.93537442606</v>
      </c>
      <c r="V8" s="54">
        <v>45</v>
      </c>
      <c r="W8" s="55">
        <v>0.1</v>
      </c>
      <c r="X8" s="53">
        <f t="shared" ref="X8:X12" si="28">(U8)*W8</f>
        <v>131.993537442606</v>
      </c>
      <c r="Y8" s="53">
        <f t="shared" si="16"/>
        <v>290.40578237373319</v>
      </c>
      <c r="Z8" s="56">
        <f t="shared" si="17"/>
        <v>130.89556346580019</v>
      </c>
      <c r="AA8" s="57">
        <f t="shared" si="18"/>
        <v>5890.3003559610088</v>
      </c>
      <c r="AB8" s="56">
        <f t="shared" ref="AB8:AB12" si="29">288*Q8</f>
        <v>9.4244805695376144</v>
      </c>
      <c r="AC8" s="58">
        <f t="shared" ref="AC8:AC12" si="30">AB8*V8</f>
        <v>424.10162562919265</v>
      </c>
      <c r="AD8" s="59">
        <f t="shared" ref="AD8:AD12" si="31">Z8+AB8</f>
        <v>140.32004403533782</v>
      </c>
      <c r="AE8" s="60">
        <f t="shared" si="19"/>
        <v>6314.4019815902011</v>
      </c>
      <c r="AF8" s="59">
        <f t="shared" si="20"/>
        <v>1.374403416390902</v>
      </c>
      <c r="AG8" s="61">
        <f t="shared" si="21"/>
        <v>61.848153737590593</v>
      </c>
      <c r="AH8" s="62">
        <f t="shared" si="22"/>
        <v>1792.4022472680679</v>
      </c>
      <c r="AI8" s="63">
        <f t="shared" si="23"/>
        <v>80658.101127063055</v>
      </c>
      <c r="AJ8" s="54">
        <v>45</v>
      </c>
      <c r="AK8" s="56">
        <f t="shared" si="2"/>
        <v>1.9612244477285408</v>
      </c>
      <c r="AL8" s="56">
        <f t="shared" si="24"/>
        <v>4.9030611193213523E-2</v>
      </c>
      <c r="AM8" s="64">
        <f t="shared" si="25"/>
        <v>0.6172244477285409</v>
      </c>
      <c r="AN8" s="65">
        <f t="shared" si="26"/>
        <v>2.0102550589217545</v>
      </c>
      <c r="AO8" s="66">
        <f t="shared" si="27"/>
        <v>90.461477651478958</v>
      </c>
      <c r="AP8" s="25"/>
    </row>
    <row r="9" spans="1:42" s="9" customFormat="1" ht="26.4" x14ac:dyDescent="0.25">
      <c r="A9" s="35">
        <v>4</v>
      </c>
      <c r="B9" s="44" t="s">
        <v>56</v>
      </c>
      <c r="C9" s="45" t="s">
        <v>60</v>
      </c>
      <c r="D9" s="46">
        <f t="shared" si="3"/>
        <v>5440</v>
      </c>
      <c r="E9" s="47">
        <f t="shared" si="4"/>
        <v>1.4159999999999999</v>
      </c>
      <c r="F9" s="47">
        <v>7703.04</v>
      </c>
      <c r="G9" s="83">
        <v>4.6816000000000003E-2</v>
      </c>
      <c r="H9" s="85">
        <f t="shared" si="5"/>
        <v>3.1834880000000001</v>
      </c>
      <c r="I9" s="46">
        <v>68</v>
      </c>
      <c r="J9" s="49">
        <v>80</v>
      </c>
      <c r="K9" s="46">
        <f t="shared" si="6"/>
        <v>5440</v>
      </c>
      <c r="L9" s="46">
        <f t="shared" si="7"/>
        <v>5440</v>
      </c>
      <c r="M9" s="35">
        <f t="shared" si="8"/>
        <v>5440</v>
      </c>
      <c r="N9" s="50">
        <f t="shared" si="9"/>
        <v>1.4159999999999999</v>
      </c>
      <c r="O9" s="46">
        <f t="shared" si="10"/>
        <v>7703.04</v>
      </c>
      <c r="P9" s="47">
        <f t="shared" si="11"/>
        <v>10907.504639999999</v>
      </c>
      <c r="Q9" s="84">
        <f t="shared" si="0"/>
        <v>0.29059149006661383</v>
      </c>
      <c r="R9" s="52">
        <f t="shared" si="12"/>
        <v>0.29059149006661383</v>
      </c>
      <c r="S9" s="53">
        <f t="shared" si="13"/>
        <v>10907.504639999999</v>
      </c>
      <c r="T9" s="53">
        <f t="shared" si="14"/>
        <v>813.65617218651869</v>
      </c>
      <c r="U9" s="53">
        <f t="shared" si="15"/>
        <v>11721.160812186517</v>
      </c>
      <c r="V9" s="54">
        <v>45</v>
      </c>
      <c r="W9" s="55">
        <v>0.1</v>
      </c>
      <c r="X9" s="53">
        <f t="shared" si="28"/>
        <v>1172.1160812186517</v>
      </c>
      <c r="Y9" s="53">
        <f t="shared" si="16"/>
        <v>2578.6753786810341</v>
      </c>
      <c r="Z9" s="56">
        <f t="shared" si="17"/>
        <v>1162.3659602664554</v>
      </c>
      <c r="AA9" s="57">
        <f t="shared" si="18"/>
        <v>52306.468211990497</v>
      </c>
      <c r="AB9" s="56">
        <f t="shared" si="29"/>
        <v>83.690349139184789</v>
      </c>
      <c r="AC9" s="58">
        <f t="shared" si="30"/>
        <v>3766.0657112633157</v>
      </c>
      <c r="AD9" s="59">
        <f t="shared" si="31"/>
        <v>1246.0563094056401</v>
      </c>
      <c r="AE9" s="60">
        <f t="shared" si="19"/>
        <v>56072.53392325381</v>
      </c>
      <c r="AF9" s="59">
        <f t="shared" si="20"/>
        <v>12.204842582797781</v>
      </c>
      <c r="AG9" s="61">
        <f t="shared" si="21"/>
        <v>549.21791622590013</v>
      </c>
      <c r="AH9" s="62">
        <f t="shared" si="22"/>
        <v>15916.557251888124</v>
      </c>
      <c r="AI9" s="63">
        <f t="shared" si="23"/>
        <v>716245.07633496553</v>
      </c>
      <c r="AJ9" s="54">
        <v>45</v>
      </c>
      <c r="AK9" s="56">
        <f t="shared" si="2"/>
        <v>2.066269583422665</v>
      </c>
      <c r="AL9" s="56">
        <f t="shared" si="24"/>
        <v>5.165673958556663E-2</v>
      </c>
      <c r="AM9" s="64">
        <f t="shared" si="25"/>
        <v>0.65026958342266505</v>
      </c>
      <c r="AN9" s="65">
        <f t="shared" si="26"/>
        <v>2.1179263230082315</v>
      </c>
      <c r="AO9" s="66">
        <f t="shared" si="27"/>
        <v>95.306684535370422</v>
      </c>
      <c r="AP9" s="25"/>
    </row>
    <row r="10" spans="1:42" s="9" customFormat="1" ht="26.4" x14ac:dyDescent="0.25">
      <c r="A10" s="35">
        <v>5</v>
      </c>
      <c r="B10" s="44" t="s">
        <v>56</v>
      </c>
      <c r="C10" s="45" t="s">
        <v>61</v>
      </c>
      <c r="D10" s="46">
        <f t="shared" si="3"/>
        <v>5440</v>
      </c>
      <c r="E10" s="47">
        <f t="shared" si="4"/>
        <v>1.4159999999999999</v>
      </c>
      <c r="F10" s="47">
        <v>7703.04</v>
      </c>
      <c r="G10" s="83">
        <v>4.6816000000000003E-2</v>
      </c>
      <c r="H10" s="85">
        <f t="shared" si="5"/>
        <v>3.1834880000000001</v>
      </c>
      <c r="I10" s="46">
        <v>68</v>
      </c>
      <c r="J10" s="49">
        <v>80</v>
      </c>
      <c r="K10" s="46">
        <f t="shared" si="6"/>
        <v>5440</v>
      </c>
      <c r="L10" s="46">
        <f t="shared" si="7"/>
        <v>5440</v>
      </c>
      <c r="M10" s="35">
        <f t="shared" si="8"/>
        <v>5440</v>
      </c>
      <c r="N10" s="50">
        <f t="shared" si="9"/>
        <v>1.4159999999999999</v>
      </c>
      <c r="O10" s="46">
        <f t="shared" si="10"/>
        <v>7703.04</v>
      </c>
      <c r="P10" s="47">
        <f t="shared" si="11"/>
        <v>10907.504639999999</v>
      </c>
      <c r="Q10" s="84">
        <f t="shared" si="0"/>
        <v>0.29059149006661383</v>
      </c>
      <c r="R10" s="52">
        <f t="shared" si="12"/>
        <v>0.29059149006661383</v>
      </c>
      <c r="S10" s="53">
        <f t="shared" si="13"/>
        <v>10907.504639999999</v>
      </c>
      <c r="T10" s="53">
        <f t="shared" si="14"/>
        <v>813.65617218651869</v>
      </c>
      <c r="U10" s="53">
        <f t="shared" si="15"/>
        <v>11721.160812186517</v>
      </c>
      <c r="V10" s="54">
        <v>45</v>
      </c>
      <c r="W10" s="55">
        <v>0.1</v>
      </c>
      <c r="X10" s="53">
        <f t="shared" si="28"/>
        <v>1172.1160812186517</v>
      </c>
      <c r="Y10" s="53">
        <f t="shared" si="16"/>
        <v>2578.6753786810341</v>
      </c>
      <c r="Z10" s="56">
        <f t="shared" si="17"/>
        <v>1162.3659602664554</v>
      </c>
      <c r="AA10" s="57">
        <f t="shared" si="18"/>
        <v>52306.468211990497</v>
      </c>
      <c r="AB10" s="56">
        <f t="shared" si="29"/>
        <v>83.690349139184789</v>
      </c>
      <c r="AC10" s="58">
        <f t="shared" si="30"/>
        <v>3766.0657112633157</v>
      </c>
      <c r="AD10" s="59">
        <f t="shared" si="31"/>
        <v>1246.0563094056401</v>
      </c>
      <c r="AE10" s="60">
        <f t="shared" si="19"/>
        <v>56072.53392325381</v>
      </c>
      <c r="AF10" s="59">
        <f t="shared" si="20"/>
        <v>12.204842582797781</v>
      </c>
      <c r="AG10" s="61">
        <f t="shared" si="21"/>
        <v>549.21791622590013</v>
      </c>
      <c r="AH10" s="62">
        <f t="shared" si="22"/>
        <v>15916.557251888124</v>
      </c>
      <c r="AI10" s="63">
        <f t="shared" si="23"/>
        <v>716245.07633496553</v>
      </c>
      <c r="AJ10" s="54">
        <v>45</v>
      </c>
      <c r="AK10" s="56">
        <f t="shared" si="2"/>
        <v>2.066269583422665</v>
      </c>
      <c r="AL10" s="56">
        <f t="shared" si="24"/>
        <v>5.165673958556663E-2</v>
      </c>
      <c r="AM10" s="64">
        <f t="shared" si="25"/>
        <v>0.65026958342266505</v>
      </c>
      <c r="AN10" s="65">
        <f t="shared" si="26"/>
        <v>2.1179263230082315</v>
      </c>
      <c r="AO10" s="66">
        <f t="shared" si="27"/>
        <v>95.306684535370422</v>
      </c>
      <c r="AP10" s="25"/>
    </row>
    <row r="11" spans="1:42" s="9" customFormat="1" ht="26.4" x14ac:dyDescent="0.25">
      <c r="A11" s="35">
        <v>6</v>
      </c>
      <c r="B11" s="44" t="s">
        <v>56</v>
      </c>
      <c r="C11" s="45" t="s">
        <v>62</v>
      </c>
      <c r="D11" s="46">
        <f t="shared" si="3"/>
        <v>5440</v>
      </c>
      <c r="E11" s="47">
        <f t="shared" si="4"/>
        <v>1.0620000000000001</v>
      </c>
      <c r="F11" s="47">
        <v>5777.28</v>
      </c>
      <c r="G11" s="83">
        <v>4.6816000000000003E-2</v>
      </c>
      <c r="H11" s="85">
        <f t="shared" si="5"/>
        <v>3.1834880000000001</v>
      </c>
      <c r="I11" s="46">
        <v>68</v>
      </c>
      <c r="J11" s="49">
        <v>80</v>
      </c>
      <c r="K11" s="46">
        <f t="shared" si="6"/>
        <v>5440</v>
      </c>
      <c r="L11" s="46">
        <f t="shared" si="7"/>
        <v>5440</v>
      </c>
      <c r="M11" s="35">
        <f t="shared" si="8"/>
        <v>5440</v>
      </c>
      <c r="N11" s="50">
        <f t="shared" si="9"/>
        <v>1.0620000000000001</v>
      </c>
      <c r="O11" s="46">
        <f t="shared" si="10"/>
        <v>5777.2800000000007</v>
      </c>
      <c r="P11" s="47">
        <f t="shared" si="11"/>
        <v>6135.4713600000014</v>
      </c>
      <c r="Q11" s="84">
        <f t="shared" si="0"/>
        <v>0.16345771316247035</v>
      </c>
      <c r="R11" s="52">
        <f t="shared" si="12"/>
        <v>0.16345771316247035</v>
      </c>
      <c r="S11" s="53">
        <f t="shared" si="13"/>
        <v>6135.4713600000014</v>
      </c>
      <c r="T11" s="53">
        <f t="shared" si="14"/>
        <v>457.68159685491696</v>
      </c>
      <c r="U11" s="53">
        <f t="shared" si="15"/>
        <v>6593.1529568549186</v>
      </c>
      <c r="V11" s="54">
        <v>45</v>
      </c>
      <c r="W11" s="55">
        <v>0.1</v>
      </c>
      <c r="X11" s="53">
        <f t="shared" si="28"/>
        <v>659.31529568549195</v>
      </c>
      <c r="Y11" s="53">
        <f t="shared" si="16"/>
        <v>1450.5136505080823</v>
      </c>
      <c r="Z11" s="56">
        <f t="shared" si="17"/>
        <v>653.83085264988142</v>
      </c>
      <c r="AA11" s="57">
        <f t="shared" si="18"/>
        <v>29422.388369244665</v>
      </c>
      <c r="AB11" s="56">
        <f t="shared" si="29"/>
        <v>47.075821390791461</v>
      </c>
      <c r="AC11" s="58">
        <f t="shared" si="30"/>
        <v>2118.4119625856156</v>
      </c>
      <c r="AD11" s="59">
        <f t="shared" si="31"/>
        <v>700.9066740406729</v>
      </c>
      <c r="AE11" s="60">
        <f t="shared" si="19"/>
        <v>31540.80033183028</v>
      </c>
      <c r="AF11" s="59">
        <f t="shared" si="20"/>
        <v>6.8652239528237544</v>
      </c>
      <c r="AG11" s="61">
        <f t="shared" si="21"/>
        <v>308.93507787706892</v>
      </c>
      <c r="AH11" s="62">
        <f t="shared" si="22"/>
        <v>8953.0722041870722</v>
      </c>
      <c r="AI11" s="63">
        <f t="shared" si="23"/>
        <v>402888.24918841827</v>
      </c>
      <c r="AJ11" s="54">
        <v>45</v>
      </c>
      <c r="AK11" s="56">
        <f t="shared" si="2"/>
        <v>1.5497037021205604</v>
      </c>
      <c r="AL11" s="56">
        <f t="shared" si="24"/>
        <v>3.8742592553014016E-2</v>
      </c>
      <c r="AM11" s="64">
        <f t="shared" si="25"/>
        <v>0.48770370212056036</v>
      </c>
      <c r="AN11" s="65">
        <f t="shared" si="26"/>
        <v>1.5884462946735745</v>
      </c>
      <c r="AO11" s="66">
        <f t="shared" si="27"/>
        <v>71.480083260310849</v>
      </c>
      <c r="AP11" s="25"/>
    </row>
    <row r="12" spans="1:42" s="9" customFormat="1" ht="26.4" x14ac:dyDescent="0.25">
      <c r="A12" s="35">
        <v>7</v>
      </c>
      <c r="B12" s="44" t="s">
        <v>56</v>
      </c>
      <c r="C12" s="45" t="s">
        <v>63</v>
      </c>
      <c r="D12" s="46">
        <f t="shared" si="3"/>
        <v>5440</v>
      </c>
      <c r="E12" s="47">
        <f t="shared" si="4"/>
        <v>1.0620000000000001</v>
      </c>
      <c r="F12" s="47">
        <v>5777.28</v>
      </c>
      <c r="G12" s="83">
        <v>4.6816000000000003E-2</v>
      </c>
      <c r="H12" s="85">
        <f t="shared" si="5"/>
        <v>3.1834880000000001</v>
      </c>
      <c r="I12" s="46">
        <v>68</v>
      </c>
      <c r="J12" s="49">
        <v>80</v>
      </c>
      <c r="K12" s="46">
        <f t="shared" si="6"/>
        <v>5440</v>
      </c>
      <c r="L12" s="46">
        <f t="shared" si="7"/>
        <v>5440</v>
      </c>
      <c r="M12" s="35">
        <f t="shared" si="8"/>
        <v>5440</v>
      </c>
      <c r="N12" s="50">
        <f t="shared" si="9"/>
        <v>1.0620000000000001</v>
      </c>
      <c r="O12" s="46">
        <f t="shared" si="10"/>
        <v>5777.2800000000007</v>
      </c>
      <c r="P12" s="47">
        <f t="shared" si="11"/>
        <v>6135.4713600000014</v>
      </c>
      <c r="Q12" s="84">
        <f t="shared" si="0"/>
        <v>0.16345771316247035</v>
      </c>
      <c r="R12" s="52">
        <f t="shared" si="12"/>
        <v>0.16345771316247035</v>
      </c>
      <c r="S12" s="53">
        <f t="shared" si="13"/>
        <v>6135.4713600000014</v>
      </c>
      <c r="T12" s="53">
        <f t="shared" si="14"/>
        <v>457.68159685491696</v>
      </c>
      <c r="U12" s="53">
        <f t="shared" si="15"/>
        <v>6593.1529568549186</v>
      </c>
      <c r="V12" s="54">
        <v>45</v>
      </c>
      <c r="W12" s="55">
        <v>0.1</v>
      </c>
      <c r="X12" s="53">
        <f t="shared" si="28"/>
        <v>659.31529568549195</v>
      </c>
      <c r="Y12" s="53">
        <f t="shared" si="16"/>
        <v>1450.5136505080823</v>
      </c>
      <c r="Z12" s="56">
        <f t="shared" si="17"/>
        <v>653.83085264988142</v>
      </c>
      <c r="AA12" s="57">
        <f t="shared" si="18"/>
        <v>29422.388369244665</v>
      </c>
      <c r="AB12" s="56">
        <f t="shared" si="29"/>
        <v>47.075821390791461</v>
      </c>
      <c r="AC12" s="58">
        <f t="shared" si="30"/>
        <v>2118.4119625856156</v>
      </c>
      <c r="AD12" s="59">
        <f t="shared" si="31"/>
        <v>700.9066740406729</v>
      </c>
      <c r="AE12" s="60">
        <f t="shared" si="19"/>
        <v>31540.80033183028</v>
      </c>
      <c r="AF12" s="59">
        <f t="shared" si="20"/>
        <v>6.8652239528237544</v>
      </c>
      <c r="AG12" s="61">
        <f t="shared" si="21"/>
        <v>308.93507787706892</v>
      </c>
      <c r="AH12" s="62">
        <f t="shared" si="22"/>
        <v>8953.0722041870722</v>
      </c>
      <c r="AI12" s="63">
        <f t="shared" si="23"/>
        <v>402888.24918841827</v>
      </c>
      <c r="AJ12" s="54">
        <v>45</v>
      </c>
      <c r="AK12" s="56">
        <f t="shared" si="2"/>
        <v>1.5497037021205604</v>
      </c>
      <c r="AL12" s="56">
        <f t="shared" si="24"/>
        <v>3.8742592553014016E-2</v>
      </c>
      <c r="AM12" s="64">
        <f t="shared" si="25"/>
        <v>0.48770370212056036</v>
      </c>
      <c r="AN12" s="65">
        <f t="shared" si="26"/>
        <v>1.5884462946735745</v>
      </c>
      <c r="AO12" s="66">
        <f t="shared" si="27"/>
        <v>71.480083260310849</v>
      </c>
      <c r="AP12" s="25"/>
    </row>
    <row r="13" spans="1:42" s="9" customFormat="1" ht="13.5" customHeight="1" x14ac:dyDescent="0.25">
      <c r="A13" s="18"/>
      <c r="B13" s="18"/>
      <c r="C13" s="18"/>
      <c r="D13" s="67"/>
      <c r="E13" s="67"/>
      <c r="F13" s="68">
        <f>SUM(F6:F12)</f>
        <v>29612.639999999999</v>
      </c>
      <c r="G13" s="67"/>
      <c r="H13" s="69">
        <f>SUM(H6:H12)</f>
        <v>16.704812</v>
      </c>
      <c r="I13" s="31">
        <f>SUM(I6:I12)</f>
        <v>476</v>
      </c>
      <c r="J13" s="67"/>
      <c r="K13" s="31">
        <f>SUM(K6:K12)</f>
        <v>23800</v>
      </c>
      <c r="L13" s="31">
        <f>SUM(L6:L12)</f>
        <v>23800</v>
      </c>
      <c r="M13" s="31">
        <f>SUM(M6:M7)</f>
        <v>1360</v>
      </c>
      <c r="N13" s="31"/>
      <c r="O13" s="31">
        <f>SUM(O6:O12)</f>
        <v>29612.639999999999</v>
      </c>
      <c r="P13" s="68">
        <f>SUM(P6:P12)</f>
        <v>37535.526720000002</v>
      </c>
      <c r="Q13" s="70">
        <f>SUM(Q6:Q12)</f>
        <v>1</v>
      </c>
      <c r="R13" s="71"/>
      <c r="S13" s="72">
        <f>SUM(S6:S12)</f>
        <v>37535.526720000002</v>
      </c>
      <c r="T13" s="72">
        <f>SUM(T6:T12)</f>
        <v>2800</v>
      </c>
      <c r="U13" s="72">
        <f>SUM(U6:U12)</f>
        <v>40335.526719999994</v>
      </c>
      <c r="V13" s="42"/>
      <c r="W13" s="42"/>
      <c r="X13" s="73">
        <f t="shared" ref="X13:AI13" si="32">SUM(X6:X12)</f>
        <v>4033.5526720000003</v>
      </c>
      <c r="Y13" s="73">
        <f t="shared" si="32"/>
        <v>8873.9558784000019</v>
      </c>
      <c r="Z13" s="74">
        <f t="shared" si="32"/>
        <v>4000</v>
      </c>
      <c r="AA13" s="75">
        <f t="shared" si="32"/>
        <v>180000.00000000003</v>
      </c>
      <c r="AB13" s="74">
        <f t="shared" si="32"/>
        <v>288</v>
      </c>
      <c r="AC13" s="75">
        <f t="shared" si="32"/>
        <v>12960</v>
      </c>
      <c r="AD13" s="73">
        <f t="shared" si="32"/>
        <v>4288</v>
      </c>
      <c r="AE13" s="76">
        <f t="shared" si="32"/>
        <v>192960</v>
      </c>
      <c r="AF13" s="74">
        <f t="shared" si="32"/>
        <v>42</v>
      </c>
      <c r="AG13" s="77">
        <f t="shared" si="32"/>
        <v>1890</v>
      </c>
      <c r="AH13" s="78">
        <f t="shared" si="32"/>
        <v>54773.035270400011</v>
      </c>
      <c r="AI13" s="42">
        <f t="shared" si="32"/>
        <v>2464786.5871680002</v>
      </c>
      <c r="AJ13" s="79"/>
      <c r="AK13" s="80"/>
      <c r="AL13" s="80"/>
      <c r="AM13" s="80"/>
      <c r="AN13" s="80"/>
      <c r="AP13" s="25"/>
    </row>
    <row r="14" spans="1:42" s="9" customFormat="1" ht="13.8" x14ac:dyDescent="0.25">
      <c r="A14" s="1"/>
      <c r="B14" s="1"/>
      <c r="C14" s="1"/>
      <c r="D14" s="1"/>
      <c r="E14" s="1"/>
      <c r="F14" s="1"/>
      <c r="G14" s="81">
        <f>IFERROR(H13/H14,0)</f>
        <v>0.98263600000000006</v>
      </c>
      <c r="H14" s="82">
        <v>17</v>
      </c>
      <c r="I14" s="1"/>
      <c r="J14" s="1"/>
      <c r="K14" s="1"/>
      <c r="L14" s="1"/>
      <c r="M14" s="1"/>
      <c r="N14" s="1"/>
      <c r="O14" s="1"/>
      <c r="P14" s="1"/>
      <c r="Q14" s="1"/>
      <c r="R14" s="2"/>
      <c r="S14" s="3"/>
      <c r="T14" s="3"/>
      <c r="U14" s="3"/>
      <c r="V14" s="3"/>
      <c r="W14" s="3"/>
      <c r="X14" s="3"/>
      <c r="Y14" s="3"/>
      <c r="Z14" s="4"/>
      <c r="AA14" s="5"/>
      <c r="AB14" s="5"/>
      <c r="AC14" s="5"/>
      <c r="AD14" s="5"/>
      <c r="AE14" s="5"/>
      <c r="AF14" s="5"/>
      <c r="AG14" s="5"/>
      <c r="AH14" s="5"/>
      <c r="AI14" s="5"/>
      <c r="AJ14" s="6"/>
      <c r="AK14" s="6"/>
      <c r="AL14" s="3"/>
      <c r="AM14" s="7"/>
      <c r="AN14" s="8"/>
    </row>
  </sheetData>
  <mergeCells count="19">
    <mergeCell ref="A2:P2"/>
    <mergeCell ref="S2:AI2"/>
    <mergeCell ref="A3:A5"/>
    <mergeCell ref="B3:B5"/>
    <mergeCell ref="C3:C5"/>
    <mergeCell ref="D3:D5"/>
    <mergeCell ref="E3:E5"/>
    <mergeCell ref="F3:F5"/>
    <mergeCell ref="G3:G5"/>
    <mergeCell ref="H3:H5"/>
    <mergeCell ref="O3:O5"/>
    <mergeCell ref="P3:P5"/>
    <mergeCell ref="Q4:Q5"/>
    <mergeCell ref="I3:I5"/>
    <mergeCell ref="J3:J5"/>
    <mergeCell ref="K3:K5"/>
    <mergeCell ref="L3:L5"/>
    <mergeCell ref="M3:M5"/>
    <mergeCell ref="N3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Mishima foods co., ltd</vt:lpstr>
      <vt:lpstr>Takaokaya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Чаплигін lлля</dc:creator>
  <cp:lastModifiedBy>Чаплигін lлля</cp:lastModifiedBy>
  <dcterms:created xsi:type="dcterms:W3CDTF">2015-06-05T18:17:20Z</dcterms:created>
  <dcterms:modified xsi:type="dcterms:W3CDTF">2026-08-11T14:23:53Z</dcterms:modified>
</cp:coreProperties>
</file>