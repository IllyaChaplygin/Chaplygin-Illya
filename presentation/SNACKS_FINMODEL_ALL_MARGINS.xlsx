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Финансовая модель - Ціни" sheetId="1" state="visible" r:id="rId1"/>
    <sheet xmlns:r="http://schemas.openxmlformats.org/officeDocument/2006/relationships" name="СС_база" sheetId="2" state="visible" r:id="rId2"/>
  </sheets>
  <definedNames>
    <definedName name="_xlnm._FilterDatabase" localSheetId="0" hidden="1">'Финансовая модель - Ціни'!$A$10:$AJ$38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-[$$-C09]* #,##0.00_-;\-[$$-C09]* #,##0.00_-;_-[$$-C09]* \-??_-;_-@_-"/>
    <numFmt numFmtId="165" formatCode="_-* #,##0.00&quot; ₴&quot;_-;\-* #,##0.00&quot; ₴&quot;_-;_-* \-??&quot; ₴&quot;_-;_-@_-"/>
    <numFmt numFmtId="166" formatCode="_-* #,##0.00\ [$₴-422]_-;\-* #,##0.00\ [$₴-422]_-;_-* \-??\ [$₴-422]_-;_-@_-"/>
    <numFmt numFmtId="167" formatCode="0.000000"/>
    <numFmt numFmtId="168" formatCode="#,##0.00&quot; ₴&quot;"/>
    <numFmt numFmtId="169" formatCode="&quot;МАРЖА &quot;0%"/>
    <numFmt numFmtId="170" formatCode="_(* #,##0.00_);_(* \(#,##0.00\);_(* \-??_);_(@_)"/>
    <numFmt numFmtId="171" formatCode="_(* #,##0_);_(* \(#,##0\);_(* \-_);_(@_)"/>
    <numFmt numFmtId="172" formatCode="_(\$* #,##0.00_);_(\$* \(#,##0.00\);_(\$* \-??_);_(@_)"/>
    <numFmt numFmtId="173" formatCode="_(\$* #,##0_);_(\$* \(#,##0\);_(\$* \-_);_(@_)"/>
  </numFmts>
  <fonts count="21">
    <font>
      <name val="Calibri"/>
      <color theme="1"/>
      <sz val="11"/>
    </font>
    <font>
      <name val="Arial"/>
      <sz val="10"/>
    </font>
    <font>
      <name val="Arial"/>
      <b val="1"/>
      <color rgb="FF1F3864"/>
      <sz val="14"/>
    </font>
    <font>
      <name val="Arial"/>
      <b val="1"/>
      <sz val="10"/>
    </font>
    <font>
      <name val="Arial"/>
      <b val="1"/>
      <color rgb="FF1F4E79"/>
      <sz val="10"/>
    </font>
    <font>
      <name val="Arial"/>
      <color rgb="FF454545"/>
      <sz val="10"/>
    </font>
    <font>
      <name val="Arial"/>
      <b val="1"/>
      <color rgb="FF203864"/>
      <sz val="11"/>
    </font>
    <font>
      <name val="Arial"/>
      <b val="1"/>
      <color theme="1"/>
      <sz val="11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color rgb="FF222222"/>
      <sz val="11"/>
    </font>
    <font>
      <name val="Arial"/>
      <b val="1"/>
      <color rgb="FF1F3864"/>
      <sz val="12"/>
    </font>
    <font>
      <name val="Arial"/>
      <color rgb="FF0000FF"/>
      <sz val="10"/>
    </font>
    <font>
      <name val="Arial"/>
      <color rgb="FF000000"/>
      <sz val="10"/>
    </font>
    <font>
      <name val="Calibri"/>
      <color theme="1"/>
      <sz val="11"/>
    </font>
    <font>
      <name val="Arial"/>
      <b val="1"/>
      <color rgb="FF454545"/>
      <sz val="10"/>
    </font>
    <font>
      <name val="Arial"/>
      <b val="1"/>
      <color rgb="FF1F3864"/>
      <sz val="14"/>
    </font>
    <font>
      <name val="Arial"/>
      <b val="1"/>
      <color rgb="FFFFFFFF"/>
      <sz val="11"/>
    </font>
    <font>
      <name val="Arial"/>
      <b val="1"/>
      <color rgb="FF203864"/>
      <sz val="11"/>
    </font>
    <font>
      <name val="Arial"/>
      <color rgb="FF203864"/>
      <sz val="11"/>
    </font>
  </fonts>
  <fills count="20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7EEF6"/>
      </patternFill>
    </fill>
    <fill>
      <patternFill patternType="solid">
        <fgColor rgb="FF44546A"/>
      </patternFill>
    </fill>
    <fill>
      <patternFill patternType="solid">
        <fgColor rgb="FF203864"/>
      </patternFill>
    </fill>
    <fill>
      <patternFill patternType="solid">
        <fgColor rgb="FF2F75B5"/>
      </patternFill>
    </fill>
    <fill>
      <patternFill patternType="solid">
        <fgColor rgb="FF3E657B"/>
      </patternFill>
    </fill>
    <fill>
      <patternFill patternType="solid">
        <fgColor rgb="FF777777"/>
      </patternFill>
    </fill>
    <fill>
      <patternFill patternType="solid">
        <fgColor rgb="FFD6E4F0"/>
      </patternFill>
    </fill>
    <fill>
      <patternFill patternType="solid">
        <fgColor rgb="FFF0F0F0"/>
      </patternFill>
    </fill>
    <fill>
      <patternFill patternType="solid">
        <fgColor rgb="FFE2F0D9"/>
      </patternFill>
    </fill>
    <fill>
      <patternFill patternType="solid">
        <fgColor rgb="FF1F3864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203864"/>
      </patternFill>
    </fill>
    <fill>
      <patternFill patternType="solid">
        <fgColor rgb="FFD6E6F2"/>
      </patternFill>
    </fill>
    <fill>
      <patternFill/>
    </fill>
    <fill>
      <patternFill patternType="solid">
        <fgColor rgb="FFE2F0D9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65798E"/>
      </left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/>
      <top style="thin">
        <color rgb="FF65798E"/>
      </top>
      <bottom/>
      <diagonal/>
    </border>
    <border>
      <left/>
      <right style="thin">
        <color rgb="FF65798E"/>
      </right>
      <top style="thin">
        <color rgb="FF65798E"/>
      </top>
      <bottom/>
      <diagonal/>
    </border>
    <border>
      <left/>
      <right/>
      <top style="thin">
        <color rgb="FF65798E"/>
      </top>
      <bottom style="thin">
        <color rgb="FF65798E"/>
      </bottom>
      <diagonal/>
    </border>
    <border>
      <left/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15" fillId="18" borderId="0"/>
    <xf numFmtId="170" fontId="1" fillId="18" borderId="0"/>
    <xf numFmtId="171" fontId="1" fillId="18" borderId="0"/>
    <xf numFmtId="172" fontId="1" fillId="18" borderId="0"/>
    <xf numFmtId="173" fontId="1" fillId="18" borderId="0"/>
    <xf numFmtId="0" fontId="15" fillId="18" borderId="0"/>
    <xf numFmtId="9" fontId="1" fillId="18" borderId="0"/>
  </cellStyleXfs>
  <cellXfs count="94">
    <xf numFmtId="0" fontId="0" fillId="0" borderId="0" pivotButton="0" quotePrefix="0" xfId="0"/>
    <xf numFmtId="0" fontId="9" fillId="5" borderId="1" applyAlignment="1" pivotButton="0" quotePrefix="0" xfId="5">
      <alignment horizontal="center" vertical="center" wrapText="1"/>
    </xf>
    <xf numFmtId="0" fontId="8" fillId="8" borderId="1" applyAlignment="1" pivotButton="0" quotePrefix="0" xfId="5">
      <alignment horizontal="center" vertical="center" wrapText="1"/>
    </xf>
    <xf numFmtId="0" fontId="8" fillId="6" borderId="1" applyAlignment="1" pivotButton="0" quotePrefix="0" xfId="5">
      <alignment horizontal="center" vertical="center" wrapText="1"/>
    </xf>
    <xf numFmtId="0" fontId="8" fillId="5" borderId="1" applyAlignment="1" pivotButton="0" quotePrefix="0" xfId="5">
      <alignment horizontal="center" vertical="center" wrapText="1"/>
    </xf>
    <xf numFmtId="0" fontId="8" fillId="7" borderId="1" applyAlignment="1" pivotButton="0" quotePrefix="0" xfId="5">
      <alignment horizontal="center" vertical="center" wrapText="1"/>
    </xf>
    <xf numFmtId="0" fontId="10" fillId="4" borderId="1" applyAlignment="1" pivotButton="0" quotePrefix="0" xfId="5">
      <alignment horizontal="center" vertical="center" wrapText="1"/>
    </xf>
    <xf numFmtId="0" fontId="1" fillId="0" borderId="1" applyAlignment="1" pivotButton="0" quotePrefix="0" xfId="5">
      <alignment horizontal="center" vertical="center" wrapText="1"/>
    </xf>
    <xf numFmtId="164" fontId="11" fillId="3" borderId="1" applyAlignment="1" pivotButton="0" quotePrefix="0" xfId="5">
      <alignment horizontal="center" vertical="center"/>
    </xf>
    <xf numFmtId="165" fontId="11" fillId="3" borderId="1" applyAlignment="1" pivotButton="0" quotePrefix="0" xfId="5">
      <alignment horizontal="center" vertical="center"/>
    </xf>
    <xf numFmtId="165" fontId="6" fillId="9" borderId="1" applyAlignment="1" pivotButton="0" quotePrefix="0" xfId="5">
      <alignment horizontal="center" vertical="center"/>
    </xf>
    <xf numFmtId="165" fontId="11" fillId="0" borderId="1" applyAlignment="1" pivotButton="0" quotePrefix="0" xfId="5">
      <alignment horizontal="center" vertical="center"/>
    </xf>
    <xf numFmtId="165" fontId="6" fillId="0" borderId="1" applyAlignment="1" pivotButton="0" quotePrefix="0" xfId="5">
      <alignment horizontal="center" vertical="center"/>
    </xf>
    <xf numFmtId="10" fontId="6" fillId="0" borderId="1" applyAlignment="1" pivotButton="0" quotePrefix="0" xfId="5">
      <alignment horizontal="center" vertical="center"/>
    </xf>
    <xf numFmtId="166" fontId="6" fillId="9" borderId="1" applyAlignment="1" pivotButton="0" quotePrefix="0" xfId="5">
      <alignment horizontal="center" vertical="center"/>
    </xf>
    <xf numFmtId="166" fontId="11" fillId="10" borderId="1" applyAlignment="1" pivotButton="0" quotePrefix="0" xfId="5">
      <alignment horizontal="center" vertical="center"/>
    </xf>
    <xf numFmtId="166" fontId="11" fillId="3" borderId="1" applyAlignment="1" pivotButton="0" quotePrefix="0" xfId="5">
      <alignment horizontal="center" vertical="center"/>
    </xf>
    <xf numFmtId="166" fontId="6" fillId="11" borderId="1" applyAlignment="1" pivotButton="0" quotePrefix="0" xfId="5">
      <alignment horizontal="center" vertical="center"/>
    </xf>
    <xf numFmtId="0" fontId="11" fillId="0" borderId="1" applyAlignment="1" pivotButton="0" quotePrefix="0" xfId="5">
      <alignment horizontal="center" vertical="center"/>
    </xf>
    <xf numFmtId="0" fontId="11" fillId="0" borderId="1" applyAlignment="1" pivotButton="0" quotePrefix="0" xfId="5">
      <alignment horizontal="center" vertical="center" wrapText="1"/>
    </xf>
    <xf numFmtId="0" fontId="12" fillId="0" borderId="1" pivotButton="0" quotePrefix="0" xfId="5"/>
    <xf numFmtId="0" fontId="0" fillId="0" borderId="1" pivotButton="0" quotePrefix="0" xfId="0"/>
    <xf numFmtId="0" fontId="10" fillId="12" borderId="1" applyAlignment="1" pivotButton="0" quotePrefix="0" xfId="5">
      <alignment horizontal="center" vertical="center" wrapText="1"/>
    </xf>
    <xf numFmtId="0" fontId="10" fillId="13" borderId="1" applyAlignment="1" pivotButton="0" quotePrefix="0" xfId="5">
      <alignment horizontal="center" vertical="center" wrapText="1"/>
    </xf>
    <xf numFmtId="0" fontId="1" fillId="0" borderId="1" pivotButton="0" quotePrefix="0" xfId="5"/>
    <xf numFmtId="164" fontId="13" fillId="0" borderId="1" applyAlignment="1" pivotButton="0" quotePrefix="0" xfId="5">
      <alignment horizontal="center" vertical="center" wrapText="1"/>
    </xf>
    <xf numFmtId="167" fontId="13" fillId="14" borderId="1" applyAlignment="1" pivotButton="0" quotePrefix="0" xfId="5">
      <alignment horizontal="center" vertical="center" wrapText="1"/>
    </xf>
    <xf numFmtId="2" fontId="13" fillId="14" borderId="1" applyAlignment="1" pivotButton="0" quotePrefix="0" xfId="5">
      <alignment horizontal="center" vertical="center" wrapText="1"/>
    </xf>
    <xf numFmtId="0" fontId="14" fillId="0" borderId="1" applyAlignment="1" pivotButton="0" quotePrefix="0" xfId="5">
      <alignment vertical="center" wrapText="1"/>
    </xf>
    <xf numFmtId="164" fontId="13" fillId="0" borderId="1" applyAlignment="1" pivotButton="0" quotePrefix="0" xfId="5">
      <alignment horizontal="right" vertical="center"/>
    </xf>
    <xf numFmtId="0" fontId="14" fillId="0" borderId="1" applyAlignment="1" pivotButton="0" quotePrefix="0" xfId="5">
      <alignment horizontal="left" vertical="center" wrapText="1"/>
    </xf>
    <xf numFmtId="164" fontId="13" fillId="0" borderId="1" applyAlignment="1" pivotButton="0" quotePrefix="0" xfId="5">
      <alignment horizontal="right" vertical="center" wrapText="1"/>
    </xf>
    <xf numFmtId="2" fontId="4" fillId="2" borderId="3" applyAlignment="1" pivotButton="0" quotePrefix="0" xfId="5">
      <alignment horizontal="center" vertical="center" wrapText="1"/>
    </xf>
    <xf numFmtId="10" fontId="4" fillId="2" borderId="3" applyAlignment="1" pivotButton="0" quotePrefix="0" xfId="5">
      <alignment horizontal="center" vertical="center" wrapText="1"/>
    </xf>
    <xf numFmtId="49" fontId="6" fillId="2" borderId="3" applyAlignment="1" pivotButton="0" quotePrefix="0" xfId="5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pivotButton="0" quotePrefix="0" xfId="5"/>
    <xf numFmtId="0" fontId="4" fillId="2" borderId="8" applyAlignment="1" pivotButton="0" quotePrefix="0" xfId="5">
      <alignment horizontal="center" vertical="center" wrapText="1"/>
    </xf>
    <xf numFmtId="9" fontId="6" fillId="3" borderId="0" applyAlignment="1" pivotButton="0" quotePrefix="0" xfId="5">
      <alignment horizontal="center" vertical="center"/>
    </xf>
    <xf numFmtId="0" fontId="18" fillId="15" borderId="9" applyAlignment="1" pivotButton="0" quotePrefix="0" xfId="0">
      <alignment horizontal="center" vertical="center" wrapText="1"/>
    </xf>
    <xf numFmtId="0" fontId="18" fillId="16" borderId="9" applyAlignment="1" pivotButton="0" quotePrefix="0" xfId="0">
      <alignment horizontal="center" vertical="center" wrapText="1"/>
    </xf>
    <xf numFmtId="168" fontId="19" fillId="17" borderId="9" applyAlignment="1" pivotButton="0" quotePrefix="0" xfId="0">
      <alignment vertical="center"/>
    </xf>
    <xf numFmtId="168" fontId="20" fillId="18" borderId="9" applyAlignment="1" pivotButton="0" quotePrefix="0" xfId="0">
      <alignment vertical="center"/>
    </xf>
    <xf numFmtId="168" fontId="19" fillId="19" borderId="9" applyAlignment="1" pivotButton="0" quotePrefix="0" xfId="0">
      <alignment vertical="center"/>
    </xf>
    <xf numFmtId="10" fontId="20" fillId="18" borderId="9" applyAlignment="1" pivotButton="0" quotePrefix="0" xfId="0">
      <alignment vertical="center"/>
    </xf>
    <xf numFmtId="0" fontId="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3" fillId="0" borderId="7" applyAlignment="1" pivotButton="0" quotePrefix="0" xfId="5">
      <alignment horizontal="left" vertical="center" wrapText="1"/>
    </xf>
    <xf numFmtId="0" fontId="16" fillId="0" borderId="7" applyAlignment="1" pivotButton="0" quotePrefix="0" xfId="5">
      <alignment horizontal="left" vertical="center" wrapText="1"/>
    </xf>
    <xf numFmtId="0" fontId="5" fillId="0" borderId="0" applyAlignment="1" pivotButton="0" quotePrefix="0" xfId="5">
      <alignment vertical="center" wrapText="1"/>
    </xf>
    <xf numFmtId="0" fontId="3" fillId="0" borderId="1" applyAlignment="1" pivotButton="0" quotePrefix="0" xfId="5">
      <alignment horizontal="left" vertical="center" wrapText="1"/>
    </xf>
    <xf numFmtId="0" fontId="16" fillId="0" borderId="1" applyAlignment="1" pivotButton="0" quotePrefix="0" xfId="5">
      <alignment horizontal="left" vertical="center" wrapText="1"/>
    </xf>
    <xf numFmtId="0" fontId="9" fillId="5" borderId="1" applyAlignment="1" pivotButton="0" quotePrefix="0" xfId="5">
      <alignment horizontal="center" vertical="center" wrapText="1"/>
    </xf>
    <xf numFmtId="0" fontId="8" fillId="4" borderId="1" applyAlignment="1" pivotButton="0" quotePrefix="0" xfId="5">
      <alignment horizontal="center" vertical="center" wrapText="1"/>
    </xf>
    <xf numFmtId="0" fontId="0" fillId="0" borderId="0" pivotButton="0" quotePrefix="0" xfId="0"/>
    <xf numFmtId="0" fontId="8" fillId="5" borderId="1" applyAlignment="1" pivotButton="0" quotePrefix="0" xfId="5">
      <alignment horizontal="center" vertical="center" wrapText="1"/>
    </xf>
    <xf numFmtId="0" fontId="8" fillId="6" borderId="1" applyAlignment="1" pivotButton="0" quotePrefix="0" xfId="5">
      <alignment horizontal="center" vertical="center" wrapText="1"/>
    </xf>
    <xf numFmtId="0" fontId="8" fillId="8" borderId="1" applyAlignment="1" pivotButton="0" quotePrefix="0" xfId="5">
      <alignment horizontal="center" vertical="center" wrapText="1"/>
    </xf>
    <xf numFmtId="0" fontId="17" fillId="0" borderId="1" applyAlignment="1" pivotButton="0" quotePrefix="0" xfId="5">
      <alignment horizontal="center"/>
    </xf>
    <xf numFmtId="0" fontId="2" fillId="0" borderId="1" applyAlignment="1" pivotButton="0" quotePrefix="0" xfId="5">
      <alignment horizontal="center"/>
    </xf>
    <xf numFmtId="0" fontId="16" fillId="0" borderId="4" applyAlignment="1" pivotButton="0" quotePrefix="0" xfId="5">
      <alignment horizontal="left" vertical="center"/>
    </xf>
    <xf numFmtId="0" fontId="16" fillId="0" borderId="5" applyAlignment="1" pivotButton="0" quotePrefix="0" xfId="5">
      <alignment horizontal="left" vertical="center"/>
    </xf>
    <xf numFmtId="0" fontId="16" fillId="0" borderId="6" applyAlignment="1" pivotButton="0" quotePrefix="0" xfId="5">
      <alignment horizontal="left" vertical="center"/>
    </xf>
    <xf numFmtId="0" fontId="7" fillId="0" borderId="2" applyAlignment="1" pivotButton="0" quotePrefix="0" xfId="5">
      <alignment vertical="center"/>
    </xf>
    <xf numFmtId="169" fontId="18" fillId="15" borderId="9" applyAlignment="1" pivotButton="0" quotePrefix="0" xfId="0">
      <alignment horizontal="center" vertical="center" wrapText="1"/>
    </xf>
    <xf numFmtId="0" fontId="18" fillId="15" borderId="9" applyAlignment="1" pivotButton="0" quotePrefix="0" xfId="0">
      <alignment horizontal="center" vertical="center" wrapText="1"/>
    </xf>
    <xf numFmtId="169" fontId="18" fillId="16" borderId="9" applyAlignment="1" pivotButton="0" quotePrefix="0" xfId="0">
      <alignment horizontal="center" vertical="center" wrapText="1"/>
    </xf>
    <xf numFmtId="0" fontId="18" fillId="16" borderId="9" applyAlignment="1" pivotButton="0" quotePrefix="0" xfId="0">
      <alignment horizontal="center" vertical="center" wrapText="1"/>
    </xf>
    <xf numFmtId="0" fontId="8" fillId="12" borderId="1" applyAlignment="1" pivotButton="0" quotePrefix="0" xfId="5">
      <alignment horizontal="center" vertical="center" wrapText="1"/>
    </xf>
    <xf numFmtId="0" fontId="8" fillId="13" borderId="1" applyAlignment="1" pivotButton="0" quotePrefix="0" xfId="5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5" pivotButton="0" quotePrefix="0" xfId="0"/>
    <xf numFmtId="0" fontId="16" fillId="0" borderId="1" applyAlignment="1" pivotButton="0" quotePrefix="0" xfId="5">
      <alignment horizontal="left" vertical="center"/>
    </xf>
    <xf numFmtId="169" fontId="18" fillId="15" borderId="9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169" fontId="18" fillId="16" borderId="9" applyAlignment="1" pivotButton="0" quotePrefix="0" xfId="0">
      <alignment horizontal="center" vertical="center" wrapText="1"/>
    </xf>
    <xf numFmtId="164" fontId="11" fillId="3" borderId="1" applyAlignment="1" pivotButton="0" quotePrefix="0" xfId="5">
      <alignment horizontal="center" vertical="center"/>
    </xf>
    <xf numFmtId="165" fontId="11" fillId="3" borderId="1" applyAlignment="1" pivotButton="0" quotePrefix="0" xfId="5">
      <alignment horizontal="center" vertical="center"/>
    </xf>
    <xf numFmtId="165" fontId="6" fillId="9" borderId="1" applyAlignment="1" pivotButton="0" quotePrefix="0" xfId="5">
      <alignment horizontal="center" vertical="center"/>
    </xf>
    <xf numFmtId="165" fontId="11" fillId="0" borderId="1" applyAlignment="1" pivotButton="0" quotePrefix="0" xfId="5">
      <alignment horizontal="center" vertical="center"/>
    </xf>
    <xf numFmtId="165" fontId="6" fillId="0" borderId="1" applyAlignment="1" pivotButton="0" quotePrefix="0" xfId="5">
      <alignment horizontal="center" vertical="center"/>
    </xf>
    <xf numFmtId="166" fontId="6" fillId="9" borderId="1" applyAlignment="1" pivotButton="0" quotePrefix="0" xfId="5">
      <alignment horizontal="center" vertical="center"/>
    </xf>
    <xf numFmtId="166" fontId="11" fillId="10" borderId="1" applyAlignment="1" pivotButton="0" quotePrefix="0" xfId="5">
      <alignment horizontal="center" vertical="center"/>
    </xf>
    <xf numFmtId="166" fontId="11" fillId="3" borderId="1" applyAlignment="1" pivotButton="0" quotePrefix="0" xfId="5">
      <alignment horizontal="center" vertical="center"/>
    </xf>
    <xf numFmtId="166" fontId="6" fillId="11" borderId="1" applyAlignment="1" pivotButton="0" quotePrefix="0" xfId="5">
      <alignment horizontal="center" vertical="center"/>
    </xf>
    <xf numFmtId="168" fontId="19" fillId="17" borderId="9" applyAlignment="1" pivotButton="0" quotePrefix="0" xfId="0">
      <alignment vertical="center"/>
    </xf>
    <xf numFmtId="168" fontId="20" fillId="18" borderId="9" applyAlignment="1" pivotButton="0" quotePrefix="0" xfId="0">
      <alignment vertical="center"/>
    </xf>
    <xf numFmtId="168" fontId="19" fillId="19" borderId="9" applyAlignment="1" pivotButton="0" quotePrefix="0" xfId="0">
      <alignment vertical="center"/>
    </xf>
    <xf numFmtId="164" fontId="13" fillId="0" borderId="1" applyAlignment="1" pivotButton="0" quotePrefix="0" xfId="5">
      <alignment horizontal="center" vertical="center" wrapText="1"/>
    </xf>
  </cellXfs>
  <cellStyles count="7">
    <cellStyle name="Звичайний" xfId="0" builtinId="0"/>
    <cellStyle name="Comma" xfId="1"/>
    <cellStyle name="Comma [0]" xfId="2"/>
    <cellStyle name="Currency" xfId="3"/>
    <cellStyle name="Currency [0]" xfId="4"/>
    <cellStyle name="Normal" xfId="5"/>
    <cellStyle name="Percent" xfId="6"/>
  </cellStyles>
  <dxfs count="1"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44546A"/>
      <rgbColor rgb="FFC0C0C0"/>
      <rgbColor rgb="FF777777"/>
      <rgbColor rgb="FF9999FF"/>
      <rgbColor rgb="FF993366"/>
      <rgbColor rgb="FFFFF2CC"/>
      <rgbColor rgb="FFE7EEF6"/>
      <rgbColor rgb="FF660066"/>
      <rgbColor rgb="FFFF8080"/>
      <rgbColor rgb="FF1F4E79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55A11"/>
      <rgbColor rgb="FF3E657B"/>
      <rgbColor rgb="FF969696"/>
      <rgbColor rgb="FF1F3864"/>
      <rgbColor rgb="FF339966"/>
      <rgbColor rgb="FF003300"/>
      <rgbColor rgb="FF454545"/>
      <rgbColor rgb="FF993300"/>
      <rgbColor rgb="FF993366"/>
      <rgbColor rgb="FF203864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"/>
  <sheetViews>
    <sheetView showGridLines="0" tabSelected="1" zoomScale="60" zoomScaleNormal="60" workbookViewId="0">
      <pane xSplit="5" ySplit="10" topLeftCell="F15" activePane="bottomRight" state="frozen"/>
      <selection pane="topRight" activeCell="A1" sqref="A1"/>
      <selection pane="bottomLeft" activeCell="A1" sqref="A1"/>
      <selection pane="bottomRight" activeCell="AH11" sqref="AH11"/>
    </sheetView>
  </sheetViews>
  <sheetFormatPr baseColWidth="8" defaultColWidth="8.6640625" defaultRowHeight="14.4"/>
  <cols>
    <col width="4" customWidth="1" style="55" min="1" max="1"/>
    <col width="24" customWidth="1" style="55" min="2" max="2"/>
    <col width="33" customWidth="1" style="55" min="3" max="3"/>
    <col width="49" customWidth="1" style="55" min="4" max="4"/>
    <col width="19" customWidth="1" style="55" min="5" max="5"/>
    <col width="14" customWidth="1" style="55" min="6" max="6"/>
    <col width="16" customWidth="1" style="55" min="7" max="7"/>
    <col width="19" customWidth="1" style="55" min="8" max="8"/>
    <col width="17" customWidth="1" style="55" min="9" max="9"/>
    <col width="28" customWidth="1" style="55" min="10" max="10"/>
    <col width="17" customWidth="1" style="55" min="11" max="11"/>
    <col width="19" customWidth="1" style="55" min="12" max="13"/>
    <col width="18" customWidth="1" style="55" min="14" max="14"/>
    <col width="31" customWidth="1" style="55" min="15" max="16"/>
    <col width="19" customWidth="1" style="55" min="17" max="36"/>
  </cols>
  <sheetData>
    <row r="1" ht="17.25" customHeight="1" s="55">
      <c r="A1" s="36" t="n"/>
      <c r="B1" s="59" t="inlineStr">
        <is>
          <t>Снеки (норі). Ціна партнеру та полиця за прикладом рису</t>
        </is>
      </c>
      <c r="C1" s="71" t="n"/>
      <c r="D1" s="71" t="n"/>
      <c r="E1" s="71" t="n"/>
      <c r="F1" s="71" t="n"/>
      <c r="G1" s="71" t="n"/>
      <c r="H1" s="71" t="n"/>
      <c r="I1" s="71" t="n"/>
      <c r="J1" s="71" t="n"/>
      <c r="K1" s="72" t="n"/>
    </row>
    <row r="2" ht="37.5" customHeight="1" s="55">
      <c r="B2" s="48" t="inlineStr">
        <is>
          <t>Сценарій поставки</t>
        </is>
      </c>
      <c r="C2" s="73" t="n"/>
      <c r="D2" s="37" t="inlineStr">
        <is>
          <t>Найдешевший</t>
        </is>
      </c>
      <c r="E2" s="49" t="inlineStr">
        <is>
          <t>Сценарій з випадаючого списку; «Найдешевший» = мінімум із 4 сценаріїв для кожного SKU (як у презентації).</t>
        </is>
      </c>
      <c r="F2" s="74" t="n"/>
      <c r="G2" s="74" t="n"/>
      <c r="H2" s="74" t="n"/>
      <c r="I2" s="74" t="n"/>
      <c r="J2" s="74" t="n"/>
      <c r="K2" s="73" t="n"/>
      <c r="L2" s="50" t="n"/>
      <c r="N2" s="50" t="n"/>
    </row>
    <row r="3" ht="37.5" customHeight="1" s="55">
      <c r="B3" s="51" t="inlineStr">
        <is>
          <t>Курс, грн/$</t>
        </is>
      </c>
      <c r="C3" s="72" t="n"/>
      <c r="D3" s="32" t="n">
        <v>45</v>
      </c>
      <c r="E3" s="52" t="inlineStr">
        <is>
          <t>Курс 45 — з Self-Cost_Snacks.</t>
        </is>
      </c>
      <c r="F3" s="71" t="n"/>
      <c r="G3" s="71" t="n"/>
      <c r="H3" s="71" t="n"/>
      <c r="I3" s="71" t="n"/>
      <c r="J3" s="71" t="n"/>
      <c r="K3" s="72" t="n"/>
      <c r="L3" s="50" t="n"/>
      <c r="N3" s="50" t="n"/>
    </row>
    <row r="4" ht="37.5" customHeight="1" s="55">
      <c r="B4" s="51" t="inlineStr">
        <is>
          <t>Бонуси мережі, %</t>
        </is>
      </c>
      <c r="C4" s="72" t="n"/>
      <c r="D4" s="33" t="n">
        <v>0.25</v>
      </c>
      <c r="E4" s="52" t="inlineStr">
        <is>
          <t>Бонус 25%; полиця = ціна партнера × 1,40.</t>
        </is>
      </c>
      <c r="F4" s="71" t="n"/>
      <c r="G4" s="71" t="n"/>
      <c r="H4" s="71" t="n"/>
      <c r="I4" s="71" t="n"/>
      <c r="J4" s="71" t="n"/>
      <c r="K4" s="72" t="n"/>
      <c r="L4" s="50" t="n"/>
      <c r="N4" s="50" t="n"/>
    </row>
    <row r="5" ht="61.5" customHeight="1" s="55">
      <c r="B5" s="51" t="inlineStr">
        <is>
          <t>Цільова маржа, %</t>
        </is>
      </c>
      <c r="C5" s="72" t="n"/>
      <c r="D5" s="33" t="n">
        <v>0.35</v>
      </c>
      <c r="E5" s="52" t="inlineStr">
        <is>
          <t>35% = (ціна партнеру − собівартість − бонус) / повна ціна партнеру.</t>
        </is>
      </c>
      <c r="F5" s="71" t="n"/>
      <c r="G5" s="71" t="n"/>
      <c r="H5" s="71" t="n"/>
      <c r="I5" s="71" t="n"/>
      <c r="J5" s="71" t="n"/>
      <c r="K5" s="72" t="n"/>
      <c r="L5" s="50" t="n"/>
      <c r="N5" s="50" t="n"/>
    </row>
    <row r="6" ht="27.75" customHeight="1" s="55">
      <c r="B6" s="51" t="inlineStr">
        <is>
          <t>Націнка мережі (x)</t>
        </is>
      </c>
      <c r="C6" s="72" t="n"/>
      <c r="D6" s="32" t="n">
        <v>1.4</v>
      </c>
      <c r="E6" s="52" t="inlineStr">
        <is>
          <t>Прибуток після бонусу = ціна партнеру − собівартість − бонус мережі.</t>
        </is>
      </c>
      <c r="F6" s="71" t="n"/>
      <c r="G6" s="71" t="n"/>
      <c r="H6" s="71" t="n"/>
      <c r="I6" s="71" t="n"/>
      <c r="J6" s="71" t="n"/>
      <c r="K6" s="72" t="n"/>
      <c r="L6" s="50" t="n"/>
    </row>
    <row r="7" ht="27.75" customHeight="1" s="55">
      <c r="B7" s="51" t="inlineStr">
        <is>
          <t>Ціна партнера</t>
        </is>
      </c>
      <c r="C7" s="72" t="n"/>
      <c r="D7" s="34" t="inlineStr">
        <is>
          <t>вже з ПДВ</t>
        </is>
      </c>
      <c r="E7" s="52" t="inlineStr">
        <is>
          <t>ПДВ як у прикладі рису: СС збережено повністю; ціна вже з ПДВ. Множення на 1,20 немає.</t>
        </is>
      </c>
      <c r="F7" s="71" t="n"/>
      <c r="G7" s="71" t="n"/>
      <c r="H7" s="71" t="n"/>
      <c r="I7" s="71" t="n"/>
      <c r="J7" s="71" t="n"/>
      <c r="K7" s="72" t="n"/>
      <c r="L7" s="50" t="n"/>
    </row>
    <row r="8" ht="30" customFormat="1" customHeight="1" s="35">
      <c r="B8" s="64" t="inlineStr">
        <is>
          <t>Частка ціни для собівартості</t>
        </is>
      </c>
      <c r="C8" s="75" t="n"/>
      <c r="D8" s="38">
        <f>IF(AND(COUNT(D3:D6)=4,D3&gt;0,D4&gt;=0,D5&gt;=0,D4+D5&lt;1,D6&gt;0),1-D4-D5,NA())</f>
        <v/>
      </c>
      <c r="E8" s="76" t="inlineStr">
        <is>
          <t>100% − бонус − маржа. За поточних умов: 100% − 25% − 35% = 40%.</t>
        </is>
      </c>
      <c r="F8" s="71" t="n"/>
      <c r="G8" s="71" t="n"/>
      <c r="H8" s="71" t="n"/>
      <c r="I8" s="71" t="n"/>
      <c r="J8" s="71" t="n"/>
      <c r="K8" s="72" t="n"/>
    </row>
    <row r="9" ht="27" customHeight="1" s="55">
      <c r="A9" s="54" t="inlineStr">
        <is>
          <t>ТОВАР</t>
        </is>
      </c>
      <c r="B9" s="71" t="n"/>
      <c r="C9" s="71" t="n"/>
      <c r="D9" s="71" t="n"/>
      <c r="E9" s="72" t="n"/>
      <c r="F9" s="56" t="inlineStr">
        <is>
          <t>СОБІВАРТІСТЬ</t>
        </is>
      </c>
      <c r="G9" s="72" t="n"/>
      <c r="H9" s="57" t="inlineStr">
        <is>
          <t>ЦІНА ПАРТНЕРУ ТА ПРИБУТОК</t>
        </is>
      </c>
      <c r="I9" s="71" t="n"/>
      <c r="J9" s="71" t="n"/>
      <c r="K9" s="72" t="n"/>
      <c r="L9" s="5" t="inlineStr">
        <is>
          <t>ПОЛИЦЯ</t>
        </is>
      </c>
      <c r="M9" s="58" t="inlineStr">
        <is>
          <t>МОДЕЛЬ: НУЛЬОВА МАРЖА</t>
        </is>
      </c>
      <c r="N9" s="72" t="n"/>
      <c r="O9" s="53" t="inlineStr">
        <is>
          <t>ПРИБУТОК З ОДНІЄЇ УПАКОВКИ</t>
        </is>
      </c>
      <c r="P9" s="72" t="n"/>
      <c r="Q9" s="77" t="n">
        <v>0.3</v>
      </c>
      <c r="R9" s="78" t="n"/>
      <c r="S9" s="78" t="n"/>
      <c r="T9" s="78" t="n"/>
      <c r="U9" s="79" t="n"/>
      <c r="V9" s="80" t="n">
        <v>0.25</v>
      </c>
      <c r="W9" s="78" t="n"/>
      <c r="X9" s="78" t="n"/>
      <c r="Y9" s="78" t="n"/>
      <c r="Z9" s="79" t="n"/>
      <c r="AA9" s="77" t="n">
        <v>0.2</v>
      </c>
      <c r="AB9" s="78" t="n"/>
      <c r="AC9" s="78" t="n"/>
      <c r="AD9" s="78" t="n"/>
      <c r="AE9" s="79" t="n"/>
      <c r="AF9" s="80" t="n">
        <v>0.15</v>
      </c>
      <c r="AG9" s="78" t="n"/>
      <c r="AH9" s="78" t="n"/>
      <c r="AI9" s="78" t="n"/>
      <c r="AJ9" s="79" t="n"/>
    </row>
    <row r="10" ht="41.4" customHeight="1" s="55">
      <c r="A10" s="6" t="inlineStr">
        <is>
          <t>№</t>
        </is>
      </c>
      <c r="B10" s="6" t="inlineStr">
        <is>
          <t>Производитель</t>
        </is>
      </c>
      <c r="C10" s="6" t="inlineStr">
        <is>
          <t>Група</t>
        </is>
      </c>
      <c r="D10" s="6" t="inlineStr">
        <is>
          <t>Позиція</t>
        </is>
      </c>
      <c r="E10" s="6" t="inlineStr">
        <is>
          <t>Вага, г</t>
        </is>
      </c>
      <c r="F10" s="56" t="inlineStr">
        <is>
          <t>СС, $/уп.</t>
        </is>
      </c>
      <c r="G10" s="56" t="inlineStr">
        <is>
          <t>1. СС, грн/уп.</t>
        </is>
      </c>
      <c r="H10" s="57" t="inlineStr">
        <is>
          <t>2. Ціна партнеру з ПДВ</t>
        </is>
      </c>
      <c r="I10" s="57" t="inlineStr">
        <is>
          <t>3. Бонус мережі, грн</t>
        </is>
      </c>
      <c r="J10" s="57" t="inlineStr">
        <is>
          <t>4. Прибуток після бонусу, грн</t>
        </is>
      </c>
      <c r="K10" s="57" t="inlineStr">
        <is>
          <t>5. Маржа за прикладом</t>
        </is>
      </c>
      <c r="L10" s="5" t="inlineStr">
        <is>
          <t>6. Полиця з ПДВ, грн</t>
        </is>
      </c>
      <c r="M10" s="58" t="inlineStr">
        <is>
          <t>Мін. ціна партнеру</t>
        </is>
      </c>
      <c r="N10" s="58" t="inlineStr">
        <is>
          <t>Мін. полиця</t>
        </is>
      </c>
      <c r="O10" s="53" t="inlineStr">
        <is>
          <t>Валовий прибуток за прикладом, до бонусу, грн/уп.</t>
        </is>
      </c>
      <c r="P10" s="53" t="inlineStr">
        <is>
          <t>Прибуток після бонусу за прикладом, грн/уп.</t>
        </is>
      </c>
      <c r="Q10" s="66" t="inlineStr">
        <is>
          <t>Ціна партнеру з ПДВ, грн</t>
        </is>
      </c>
      <c r="R10" s="66" t="inlineStr">
        <is>
          <t>Бонус мережі, грн</t>
        </is>
      </c>
      <c r="S10" s="66" t="inlineStr">
        <is>
          <t>Прибуток після бонусу, грн</t>
        </is>
      </c>
      <c r="T10" s="66" t="inlineStr">
        <is>
          <t>Перевірка маржі</t>
        </is>
      </c>
      <c r="U10" s="66" t="inlineStr">
        <is>
          <t>Полиця з ПДВ, грн</t>
        </is>
      </c>
      <c r="V10" s="68" t="inlineStr">
        <is>
          <t>Ціна партнеру з ПДВ, грн</t>
        </is>
      </c>
      <c r="W10" s="68" t="inlineStr">
        <is>
          <t>Бонус мережі, грн</t>
        </is>
      </c>
      <c r="X10" s="68" t="inlineStr">
        <is>
          <t>Прибуток після бонусу, грн</t>
        </is>
      </c>
      <c r="Y10" s="68" t="inlineStr">
        <is>
          <t>Перевірка маржі</t>
        </is>
      </c>
      <c r="Z10" s="68" t="inlineStr">
        <is>
          <t>Полиця з ПДВ, грн</t>
        </is>
      </c>
      <c r="AA10" s="66" t="inlineStr">
        <is>
          <t>Ціна партнеру з ПДВ, грн</t>
        </is>
      </c>
      <c r="AB10" s="66" t="inlineStr">
        <is>
          <t>Бонус мережі, грн</t>
        </is>
      </c>
      <c r="AC10" s="66" t="inlineStr">
        <is>
          <t>Прибуток після бонусу, грн</t>
        </is>
      </c>
      <c r="AD10" s="66" t="inlineStr">
        <is>
          <t>Перевірка маржі</t>
        </is>
      </c>
      <c r="AE10" s="66" t="inlineStr">
        <is>
          <t>Полиця з ПДВ, грн</t>
        </is>
      </c>
      <c r="AF10" s="68" t="inlineStr">
        <is>
          <t>Ціна партнеру з ПДВ, грн</t>
        </is>
      </c>
      <c r="AG10" s="68" t="inlineStr">
        <is>
          <t>Бонус мережі, грн</t>
        </is>
      </c>
      <c r="AH10" s="68" t="inlineStr">
        <is>
          <t>Прибуток після бонусу, грн</t>
        </is>
      </c>
      <c r="AI10" s="68" t="inlineStr">
        <is>
          <t>Перевірка маржі</t>
        </is>
      </c>
      <c r="AJ10" s="68" t="inlineStr">
        <is>
          <t>Полиця з ПДВ, грн</t>
        </is>
      </c>
    </row>
    <row r="11" ht="42" customHeight="1" s="55">
      <c r="A11" s="7" t="n">
        <v>1</v>
      </c>
      <c r="B11" s="45" t="inlineStr">
        <is>
          <t>Singha Kameda (Таїланд)</t>
        </is>
      </c>
      <c r="C11" s="45" t="inlineStr">
        <is>
          <t>Singha Kameda — Arare Norimaki 42 г</t>
        </is>
      </c>
      <c r="D11" s="45" t="inlineStr">
        <is>
          <t>Arare Norimaki — Arare Norimaki Original</t>
        </is>
      </c>
      <c r="E11" s="7" t="n">
        <v>42</v>
      </c>
      <c r="F11" s="81">
        <f>IF($D$2="Найдешевший",MIN(СС_база!$E4:$H4),INDEX(СС_база!$E4:$H4,1,MATCH($D$2,СС_база!$E$3:$H$3,0)))</f>
        <v/>
      </c>
      <c r="G11" s="82">
        <f>IF(AND(ISNUMBER(F11),ISNUMBER($D$8)),F11*$D$3,NA())</f>
        <v/>
      </c>
      <c r="H11" s="83">
        <f>G11/$D$8</f>
        <v/>
      </c>
      <c r="I11" s="84">
        <f>H11*$D$4</f>
        <v/>
      </c>
      <c r="J11" s="85">
        <f>H11-G11-I11</f>
        <v/>
      </c>
      <c r="K11" s="13">
        <f>J11/H11</f>
        <v/>
      </c>
      <c r="L11" s="86">
        <f>H11*$D$6</f>
        <v/>
      </c>
      <c r="M11" s="87">
        <f>G11/(1-$D$4)</f>
        <v/>
      </c>
      <c r="N11" s="87">
        <f>M11*$D$6</f>
        <v/>
      </c>
      <c r="O11" s="88">
        <f>H11-G11</f>
        <v/>
      </c>
      <c r="P11" s="89">
        <f>O11-I11</f>
        <v/>
      </c>
      <c r="Q11" s="90">
        <f>$G11/(1-$D$4-$Q$9)</f>
        <v/>
      </c>
      <c r="R11" s="91">
        <f>Q11*$D$4</f>
        <v/>
      </c>
      <c r="S11" s="92">
        <f>Q11-$G11-R11</f>
        <v/>
      </c>
      <c r="T11" s="44">
        <f>S11/Q11</f>
        <v/>
      </c>
      <c r="U11" s="90">
        <f>Q11*$D$6</f>
        <v/>
      </c>
      <c r="V11" s="90">
        <f>$G11/(1-$D$4-$V$9)</f>
        <v/>
      </c>
      <c r="W11" s="91">
        <f>V11*$D$4</f>
        <v/>
      </c>
      <c r="X11" s="92">
        <f>V11-$G11-W11</f>
        <v/>
      </c>
      <c r="Y11" s="44">
        <f>X11/V11</f>
        <v/>
      </c>
      <c r="Z11" s="90">
        <f>V11*$D$6</f>
        <v/>
      </c>
      <c r="AA11" s="90">
        <f>$G11/(1-$D$4-$AA$9)</f>
        <v/>
      </c>
      <c r="AB11" s="91">
        <f>AA11*$D$4</f>
        <v/>
      </c>
      <c r="AC11" s="92">
        <f>AA11-$G11-AB11</f>
        <v/>
      </c>
      <c r="AD11" s="44">
        <f>AC11/AA11</f>
        <v/>
      </c>
      <c r="AE11" s="90">
        <f>AA11*$D$6</f>
        <v/>
      </c>
      <c r="AF11" s="90">
        <f>$G11/(1-$D$4-$AF$9)</f>
        <v/>
      </c>
      <c r="AG11" s="91">
        <f>AF11*$D$4</f>
        <v/>
      </c>
      <c r="AH11" s="92">
        <f>AF11-$G11-AG11</f>
        <v/>
      </c>
      <c r="AI11" s="44">
        <f>AH11/AF11</f>
        <v/>
      </c>
      <c r="AJ11" s="90">
        <f>AF11*$D$6</f>
        <v/>
      </c>
    </row>
    <row r="12" ht="42" customHeight="1" s="55">
      <c r="A12" s="7" t="n">
        <v>2</v>
      </c>
      <c r="B12" s="45" t="inlineStr">
        <is>
          <t>Singha Kameda (Таїланд)</t>
        </is>
      </c>
      <c r="C12" s="45" t="inlineStr">
        <is>
          <t>Singha Kameda — Arare Norimaki 42 г</t>
        </is>
      </c>
      <c r="D12" s="45" t="inlineStr">
        <is>
          <t>Arare Norimaki — Arare Norimaki Wasabi</t>
        </is>
      </c>
      <c r="E12" s="7" t="n">
        <v>42</v>
      </c>
      <c r="F12" s="81">
        <f>IF($D$2="Найдешевший",MIN(СС_база!$E5:$H5),INDEX(СС_база!$E5:$H5,1,MATCH($D$2,СС_база!$E$3:$H$3,0)))</f>
        <v/>
      </c>
      <c r="G12" s="82">
        <f>IF(AND(ISNUMBER(F12),ISNUMBER($D$8)),F12*$D$3,NA())</f>
        <v/>
      </c>
      <c r="H12" s="83">
        <f>G12/$D$8</f>
        <v/>
      </c>
      <c r="I12" s="84">
        <f>H12*$D$4</f>
        <v/>
      </c>
      <c r="J12" s="85">
        <f>H12-G12-I12</f>
        <v/>
      </c>
      <c r="K12" s="13">
        <f>J12/H12</f>
        <v/>
      </c>
      <c r="L12" s="86">
        <f>H12*$D$6</f>
        <v/>
      </c>
      <c r="M12" s="87">
        <f>G12/(1-$D$4)</f>
        <v/>
      </c>
      <c r="N12" s="87">
        <f>M12*$D$6</f>
        <v/>
      </c>
      <c r="O12" s="88">
        <f>H12-G12</f>
        <v/>
      </c>
      <c r="P12" s="89">
        <f>O12-I12</f>
        <v/>
      </c>
      <c r="Q12" s="90">
        <f>$G12/(1-$D$4-$Q$9)</f>
        <v/>
      </c>
      <c r="R12" s="91">
        <f>Q12*$D$4</f>
        <v/>
      </c>
      <c r="S12" s="92">
        <f>Q12-$G12-R12</f>
        <v/>
      </c>
      <c r="T12" s="44">
        <f>S12/Q12</f>
        <v/>
      </c>
      <c r="U12" s="90">
        <f>Q12*$D$6</f>
        <v/>
      </c>
      <c r="V12" s="90">
        <f>$G12/(1-$D$4-$V$9)</f>
        <v/>
      </c>
      <c r="W12" s="91">
        <f>V12*$D$4</f>
        <v/>
      </c>
      <c r="X12" s="92">
        <f>V12-$G12-W12</f>
        <v/>
      </c>
      <c r="Y12" s="44">
        <f>X12/V12</f>
        <v/>
      </c>
      <c r="Z12" s="90">
        <f>V12*$D$6</f>
        <v/>
      </c>
      <c r="AA12" s="90">
        <f>$G12/(1-$D$4-$AA$9)</f>
        <v/>
      </c>
      <c r="AB12" s="91">
        <f>AA12*$D$4</f>
        <v/>
      </c>
      <c r="AC12" s="92">
        <f>AA12-$G12-AB12</f>
        <v/>
      </c>
      <c r="AD12" s="44">
        <f>AC12/AA12</f>
        <v/>
      </c>
      <c r="AE12" s="90">
        <f>AA12*$D$6</f>
        <v/>
      </c>
      <c r="AF12" s="90">
        <f>$G12/(1-$D$4-$AF$9)</f>
        <v/>
      </c>
      <c r="AG12" s="91">
        <f>AF12*$D$4</f>
        <v/>
      </c>
      <c r="AH12" s="92">
        <f>AF12-$G12-AG12</f>
        <v/>
      </c>
      <c r="AI12" s="44">
        <f>AH12/AF12</f>
        <v/>
      </c>
      <c r="AJ12" s="90">
        <f>AF12*$D$6</f>
        <v/>
      </c>
    </row>
    <row r="13" ht="42" customHeight="1" s="55">
      <c r="A13" s="7" t="n">
        <v>3</v>
      </c>
      <c r="B13" s="45" t="inlineStr">
        <is>
          <t>Thai-Nichi (Таїланд)</t>
        </is>
      </c>
      <c r="C13" s="45" t="inlineStr">
        <is>
          <t>Thai-Nichi — Mizuho Norimaki 50 г</t>
        </is>
      </c>
      <c r="D13" s="45" t="inlineStr">
        <is>
          <t>Mizuho · Norimaki — Norimaki Original</t>
        </is>
      </c>
      <c r="E13" s="7" t="n">
        <v>50</v>
      </c>
      <c r="F13" s="81">
        <f>IF($D$2="Найдешевший",MIN(СС_база!$E6:$H6),INDEX(СС_база!$E6:$H6,1,MATCH($D$2,СС_база!$E$3:$H$3,0)))</f>
        <v/>
      </c>
      <c r="G13" s="82">
        <f>IF(AND(ISNUMBER(F13),ISNUMBER($D$8)),F13*$D$3,NA())</f>
        <v/>
      </c>
      <c r="H13" s="83">
        <f>G13/$D$8</f>
        <v/>
      </c>
      <c r="I13" s="84">
        <f>H13*$D$4</f>
        <v/>
      </c>
      <c r="J13" s="85">
        <f>H13-G13-I13</f>
        <v/>
      </c>
      <c r="K13" s="13">
        <f>J13/H13</f>
        <v/>
      </c>
      <c r="L13" s="86">
        <f>H13*$D$6</f>
        <v/>
      </c>
      <c r="M13" s="87">
        <f>G13/(1-$D$4)</f>
        <v/>
      </c>
      <c r="N13" s="87">
        <f>M13*$D$6</f>
        <v/>
      </c>
      <c r="O13" s="88">
        <f>H13-G13</f>
        <v/>
      </c>
      <c r="P13" s="89">
        <f>O13-I13</f>
        <v/>
      </c>
      <c r="Q13" s="90">
        <f>$G13/(1-$D$4-$Q$9)</f>
        <v/>
      </c>
      <c r="R13" s="91">
        <f>Q13*$D$4</f>
        <v/>
      </c>
      <c r="S13" s="92">
        <f>Q13-$G13-R13</f>
        <v/>
      </c>
      <c r="T13" s="44">
        <f>S13/Q13</f>
        <v/>
      </c>
      <c r="U13" s="90">
        <f>Q13*$D$6</f>
        <v/>
      </c>
      <c r="V13" s="90">
        <f>$G13/(1-$D$4-$V$9)</f>
        <v/>
      </c>
      <c r="W13" s="91">
        <f>V13*$D$4</f>
        <v/>
      </c>
      <c r="X13" s="92">
        <f>V13-$G13-W13</f>
        <v/>
      </c>
      <c r="Y13" s="44">
        <f>X13/V13</f>
        <v/>
      </c>
      <c r="Z13" s="90">
        <f>V13*$D$6</f>
        <v/>
      </c>
      <c r="AA13" s="90">
        <f>$G13/(1-$D$4-$AA$9)</f>
        <v/>
      </c>
      <c r="AB13" s="91">
        <f>AA13*$D$4</f>
        <v/>
      </c>
      <c r="AC13" s="92">
        <f>AA13-$G13-AB13</f>
        <v/>
      </c>
      <c r="AD13" s="44">
        <f>AC13/AA13</f>
        <v/>
      </c>
      <c r="AE13" s="90">
        <f>AA13*$D$6</f>
        <v/>
      </c>
      <c r="AF13" s="90">
        <f>$G13/(1-$D$4-$AF$9)</f>
        <v/>
      </c>
      <c r="AG13" s="91">
        <f>AF13*$D$4</f>
        <v/>
      </c>
      <c r="AH13" s="92">
        <f>AF13-$G13-AG13</f>
        <v/>
      </c>
      <c r="AI13" s="44">
        <f>AH13/AF13</f>
        <v/>
      </c>
      <c r="AJ13" s="90">
        <f>AF13*$D$6</f>
        <v/>
      </c>
    </row>
    <row r="14" ht="42" customHeight="1" s="55">
      <c r="A14" s="7" t="n">
        <v>4</v>
      </c>
      <c r="B14" s="45" t="inlineStr">
        <is>
          <t>Thai-Nichi (Таїланд)</t>
        </is>
      </c>
      <c r="C14" s="45" t="inlineStr">
        <is>
          <t>Thai-Nichi — Mizuho Norimaki 55 г</t>
        </is>
      </c>
      <c r="D14" s="45" t="inlineStr">
        <is>
          <t>Mizuho · Norimaki — Norimaki Wasabi</t>
        </is>
      </c>
      <c r="E14" s="7" t="n">
        <v>55</v>
      </c>
      <c r="F14" s="81">
        <f>IF($D$2="Найдешевший",MIN(СС_база!$E7:$H7),INDEX(СС_база!$E7:$H7,1,MATCH($D$2,СС_база!$E$3:$H$3,0)))</f>
        <v/>
      </c>
      <c r="G14" s="82">
        <f>IF(AND(ISNUMBER(F14),ISNUMBER($D$8)),F14*$D$3,NA())</f>
        <v/>
      </c>
      <c r="H14" s="83">
        <f>G14/$D$8</f>
        <v/>
      </c>
      <c r="I14" s="84">
        <f>H14*$D$4</f>
        <v/>
      </c>
      <c r="J14" s="85">
        <f>H14-G14-I14</f>
        <v/>
      </c>
      <c r="K14" s="13">
        <f>J14/H14</f>
        <v/>
      </c>
      <c r="L14" s="86">
        <f>H14*$D$6</f>
        <v/>
      </c>
      <c r="M14" s="87">
        <f>G14/(1-$D$4)</f>
        <v/>
      </c>
      <c r="N14" s="87">
        <f>M14*$D$6</f>
        <v/>
      </c>
      <c r="O14" s="88">
        <f>H14-G14</f>
        <v/>
      </c>
      <c r="P14" s="89">
        <f>O14-I14</f>
        <v/>
      </c>
      <c r="Q14" s="90">
        <f>$G14/(1-$D$4-$Q$9)</f>
        <v/>
      </c>
      <c r="R14" s="91">
        <f>Q14*$D$4</f>
        <v/>
      </c>
      <c r="S14" s="92">
        <f>Q14-$G14-R14</f>
        <v/>
      </c>
      <c r="T14" s="44">
        <f>S14/Q14</f>
        <v/>
      </c>
      <c r="U14" s="90">
        <f>Q14*$D$6</f>
        <v/>
      </c>
      <c r="V14" s="90">
        <f>$G14/(1-$D$4-$V$9)</f>
        <v/>
      </c>
      <c r="W14" s="91">
        <f>V14*$D$4</f>
        <v/>
      </c>
      <c r="X14" s="92">
        <f>V14-$G14-W14</f>
        <v/>
      </c>
      <c r="Y14" s="44">
        <f>X14/V14</f>
        <v/>
      </c>
      <c r="Z14" s="90">
        <f>V14*$D$6</f>
        <v/>
      </c>
      <c r="AA14" s="90">
        <f>$G14/(1-$D$4-$AA$9)</f>
        <v/>
      </c>
      <c r="AB14" s="91">
        <f>AA14*$D$4</f>
        <v/>
      </c>
      <c r="AC14" s="92">
        <f>AA14-$G14-AB14</f>
        <v/>
      </c>
      <c r="AD14" s="44">
        <f>AC14/AA14</f>
        <v/>
      </c>
      <c r="AE14" s="90">
        <f>AA14*$D$6</f>
        <v/>
      </c>
      <c r="AF14" s="90">
        <f>$G14/(1-$D$4-$AF$9)</f>
        <v/>
      </c>
      <c r="AG14" s="91">
        <f>AF14*$D$4</f>
        <v/>
      </c>
      <c r="AH14" s="92">
        <f>AF14-$G14-AG14</f>
        <v/>
      </c>
      <c r="AI14" s="44">
        <f>AH14/AF14</f>
        <v/>
      </c>
      <c r="AJ14" s="90">
        <f>AF14*$D$6</f>
        <v/>
      </c>
    </row>
    <row r="15" ht="42" customHeight="1" s="55">
      <c r="A15" s="7" t="n">
        <v>5</v>
      </c>
      <c r="B15" s="45" t="inlineStr">
        <is>
          <t>TMK Thailand / KOKIRI</t>
        </is>
      </c>
      <c r="C15" s="45" t="inlineStr">
        <is>
          <t>TMK — KOKIRI Wow 2,5 г</t>
        </is>
      </c>
      <c r="D15" s="45" t="inlineStr">
        <is>
          <t>KOKIRI Wow — Wow ROLL Original</t>
        </is>
      </c>
      <c r="E15" s="7" t="n">
        <v>2.5</v>
      </c>
      <c r="F15" s="81">
        <f>IF($D$2="Найдешевший",MIN(СС_база!$E8:$H8),INDEX(СС_база!$E8:$H8,1,MATCH($D$2,СС_база!$E$3:$H$3,0)))</f>
        <v/>
      </c>
      <c r="G15" s="82">
        <f>IF(AND(ISNUMBER(F15),ISNUMBER($D$8)),F15*$D$3,NA())</f>
        <v/>
      </c>
      <c r="H15" s="83">
        <f>G15/$D$8</f>
        <v/>
      </c>
      <c r="I15" s="84">
        <f>H15*$D$4</f>
        <v/>
      </c>
      <c r="J15" s="85">
        <f>H15-G15-I15</f>
        <v/>
      </c>
      <c r="K15" s="13">
        <f>J15/H15</f>
        <v/>
      </c>
      <c r="L15" s="86">
        <f>H15*$D$6</f>
        <v/>
      </c>
      <c r="M15" s="87">
        <f>G15/(1-$D$4)</f>
        <v/>
      </c>
      <c r="N15" s="87">
        <f>M15*$D$6</f>
        <v/>
      </c>
      <c r="O15" s="88">
        <f>H15-G15</f>
        <v/>
      </c>
      <c r="P15" s="89">
        <f>O15-I15</f>
        <v/>
      </c>
      <c r="Q15" s="90">
        <f>$G15/(1-$D$4-$Q$9)</f>
        <v/>
      </c>
      <c r="R15" s="91">
        <f>Q15*$D$4</f>
        <v/>
      </c>
      <c r="S15" s="92">
        <f>Q15-$G15-R15</f>
        <v/>
      </c>
      <c r="T15" s="44">
        <f>S15/Q15</f>
        <v/>
      </c>
      <c r="U15" s="90">
        <f>Q15*$D$6</f>
        <v/>
      </c>
      <c r="V15" s="90">
        <f>$G15/(1-$D$4-$V$9)</f>
        <v/>
      </c>
      <c r="W15" s="91">
        <f>V15*$D$4</f>
        <v/>
      </c>
      <c r="X15" s="92">
        <f>V15-$G15-W15</f>
        <v/>
      </c>
      <c r="Y15" s="44">
        <f>X15/V15</f>
        <v/>
      </c>
      <c r="Z15" s="90">
        <f>V15*$D$6</f>
        <v/>
      </c>
      <c r="AA15" s="90">
        <f>$G15/(1-$D$4-$AA$9)</f>
        <v/>
      </c>
      <c r="AB15" s="91">
        <f>AA15*$D$4</f>
        <v/>
      </c>
      <c r="AC15" s="92">
        <f>AA15-$G15-AB15</f>
        <v/>
      </c>
      <c r="AD15" s="44">
        <f>AC15/AA15</f>
        <v/>
      </c>
      <c r="AE15" s="90">
        <f>AA15*$D$6</f>
        <v/>
      </c>
      <c r="AF15" s="90">
        <f>$G15/(1-$D$4-$AF$9)</f>
        <v/>
      </c>
      <c r="AG15" s="91">
        <f>AF15*$D$4</f>
        <v/>
      </c>
      <c r="AH15" s="92">
        <f>AF15-$G15-AG15</f>
        <v/>
      </c>
      <c r="AI15" s="44">
        <f>AH15/AF15</f>
        <v/>
      </c>
      <c r="AJ15" s="90">
        <f>AF15*$D$6</f>
        <v/>
      </c>
    </row>
    <row r="16" ht="42" customHeight="1" s="55">
      <c r="A16" s="7" t="n">
        <v>6</v>
      </c>
      <c r="B16" s="45" t="inlineStr">
        <is>
          <t>TMK Thailand / KOKIRI</t>
        </is>
      </c>
      <c r="C16" s="45" t="inlineStr">
        <is>
          <t>TMK — KOKIRI Wow 2,5 г</t>
        </is>
      </c>
      <c r="D16" s="45" t="inlineStr">
        <is>
          <t>KOKIRI Wow — Wow ROLL Hot Spicy</t>
        </is>
      </c>
      <c r="E16" s="7" t="n">
        <v>2.5</v>
      </c>
      <c r="F16" s="81">
        <f>IF($D$2="Найдешевший",MIN(СС_база!$E9:$H9),INDEX(СС_база!$E9:$H9,1,MATCH($D$2,СС_база!$E$3:$H$3,0)))</f>
        <v/>
      </c>
      <c r="G16" s="82">
        <f>IF(AND(ISNUMBER(F16),ISNUMBER($D$8)),F16*$D$3,NA())</f>
        <v/>
      </c>
      <c r="H16" s="83">
        <f>G16/$D$8</f>
        <v/>
      </c>
      <c r="I16" s="84">
        <f>H16*$D$4</f>
        <v/>
      </c>
      <c r="J16" s="85">
        <f>H16-G16-I16</f>
        <v/>
      </c>
      <c r="K16" s="13">
        <f>J16/H16</f>
        <v/>
      </c>
      <c r="L16" s="86">
        <f>H16*$D$6</f>
        <v/>
      </c>
      <c r="M16" s="87">
        <f>G16/(1-$D$4)</f>
        <v/>
      </c>
      <c r="N16" s="87">
        <f>M16*$D$6</f>
        <v/>
      </c>
      <c r="O16" s="88">
        <f>H16-G16</f>
        <v/>
      </c>
      <c r="P16" s="89">
        <f>O16-I16</f>
        <v/>
      </c>
      <c r="Q16" s="90">
        <f>$G16/(1-$D$4-$Q$9)</f>
        <v/>
      </c>
      <c r="R16" s="91">
        <f>Q16*$D$4</f>
        <v/>
      </c>
      <c r="S16" s="92">
        <f>Q16-$G16-R16</f>
        <v/>
      </c>
      <c r="T16" s="44">
        <f>S16/Q16</f>
        <v/>
      </c>
      <c r="U16" s="90">
        <f>Q16*$D$6</f>
        <v/>
      </c>
      <c r="V16" s="90">
        <f>$G16/(1-$D$4-$V$9)</f>
        <v/>
      </c>
      <c r="W16" s="91">
        <f>V16*$D$4</f>
        <v/>
      </c>
      <c r="X16" s="92">
        <f>V16-$G16-W16</f>
        <v/>
      </c>
      <c r="Y16" s="44">
        <f>X16/V16</f>
        <v/>
      </c>
      <c r="Z16" s="90">
        <f>V16*$D$6</f>
        <v/>
      </c>
      <c r="AA16" s="90">
        <f>$G16/(1-$D$4-$AA$9)</f>
        <v/>
      </c>
      <c r="AB16" s="91">
        <f>AA16*$D$4</f>
        <v/>
      </c>
      <c r="AC16" s="92">
        <f>AA16-$G16-AB16</f>
        <v/>
      </c>
      <c r="AD16" s="44">
        <f>AC16/AA16</f>
        <v/>
      </c>
      <c r="AE16" s="90">
        <f>AA16*$D$6</f>
        <v/>
      </c>
      <c r="AF16" s="90">
        <f>$G16/(1-$D$4-$AF$9)</f>
        <v/>
      </c>
      <c r="AG16" s="91">
        <f>AF16*$D$4</f>
        <v/>
      </c>
      <c r="AH16" s="92">
        <f>AF16-$G16-AG16</f>
        <v/>
      </c>
      <c r="AI16" s="44">
        <f>AH16/AF16</f>
        <v/>
      </c>
      <c r="AJ16" s="90">
        <f>AF16*$D$6</f>
        <v/>
      </c>
    </row>
    <row r="17" ht="42" customHeight="1" s="55">
      <c r="A17" s="7" t="n">
        <v>7</v>
      </c>
      <c r="B17" s="45" t="inlineStr">
        <is>
          <t>TMK Thailand / KOKIRI</t>
        </is>
      </c>
      <c r="C17" s="45" t="inlineStr">
        <is>
          <t>TMK — KOKIRI Wow 2,5 г</t>
        </is>
      </c>
      <c r="D17" s="45" t="inlineStr">
        <is>
          <t>KOKIRI Wow — Wow ROLL Spicy Squid</t>
        </is>
      </c>
      <c r="E17" s="7" t="n">
        <v>2.5</v>
      </c>
      <c r="F17" s="81">
        <f>IF($D$2="Найдешевший",MIN(СС_база!$E10:$H10),INDEX(СС_база!$E10:$H10,1,MATCH($D$2,СС_база!$E$3:$H$3,0)))</f>
        <v/>
      </c>
      <c r="G17" s="82">
        <f>IF(AND(ISNUMBER(F17),ISNUMBER($D$8)),F17*$D$3,NA())</f>
        <v/>
      </c>
      <c r="H17" s="83">
        <f>G17/$D$8</f>
        <v/>
      </c>
      <c r="I17" s="84">
        <f>H17*$D$4</f>
        <v/>
      </c>
      <c r="J17" s="85">
        <f>H17-G17-I17</f>
        <v/>
      </c>
      <c r="K17" s="13">
        <f>J17/H17</f>
        <v/>
      </c>
      <c r="L17" s="86">
        <f>H17*$D$6</f>
        <v/>
      </c>
      <c r="M17" s="87">
        <f>G17/(1-$D$4)</f>
        <v/>
      </c>
      <c r="N17" s="87">
        <f>M17*$D$6</f>
        <v/>
      </c>
      <c r="O17" s="88">
        <f>H17-G17</f>
        <v/>
      </c>
      <c r="P17" s="89">
        <f>O17-I17</f>
        <v/>
      </c>
      <c r="Q17" s="90">
        <f>$G17/(1-$D$4-$Q$9)</f>
        <v/>
      </c>
      <c r="R17" s="91">
        <f>Q17*$D$4</f>
        <v/>
      </c>
      <c r="S17" s="92">
        <f>Q17-$G17-R17</f>
        <v/>
      </c>
      <c r="T17" s="44">
        <f>S17/Q17</f>
        <v/>
      </c>
      <c r="U17" s="90">
        <f>Q17*$D$6</f>
        <v/>
      </c>
      <c r="V17" s="90">
        <f>$G17/(1-$D$4-$V$9)</f>
        <v/>
      </c>
      <c r="W17" s="91">
        <f>V17*$D$4</f>
        <v/>
      </c>
      <c r="X17" s="92">
        <f>V17-$G17-W17</f>
        <v/>
      </c>
      <c r="Y17" s="44">
        <f>X17/V17</f>
        <v/>
      </c>
      <c r="Z17" s="90">
        <f>V17*$D$6</f>
        <v/>
      </c>
      <c r="AA17" s="90">
        <f>$G17/(1-$D$4-$AA$9)</f>
        <v/>
      </c>
      <c r="AB17" s="91">
        <f>AA17*$D$4</f>
        <v/>
      </c>
      <c r="AC17" s="92">
        <f>AA17-$G17-AB17</f>
        <v/>
      </c>
      <c r="AD17" s="44">
        <f>AC17/AA17</f>
        <v/>
      </c>
      <c r="AE17" s="90">
        <f>AA17*$D$6</f>
        <v/>
      </c>
      <c r="AF17" s="90">
        <f>$G17/(1-$D$4-$AF$9)</f>
        <v/>
      </c>
      <c r="AG17" s="91">
        <f>AF17*$D$4</f>
        <v/>
      </c>
      <c r="AH17" s="92">
        <f>AF17-$G17-AG17</f>
        <v/>
      </c>
      <c r="AI17" s="44">
        <f>AH17/AF17</f>
        <v/>
      </c>
      <c r="AJ17" s="90">
        <f>AF17*$D$6</f>
        <v/>
      </c>
    </row>
    <row r="18" ht="42" customHeight="1" s="55">
      <c r="A18" s="7" t="n">
        <v>8</v>
      </c>
      <c r="B18" s="45" t="inlineStr">
        <is>
          <t>TMK Thailand / KOKIRI</t>
        </is>
      </c>
      <c r="C18" s="45" t="inlineStr">
        <is>
          <t>TMK — KOKIRI Wow 5 г</t>
        </is>
      </c>
      <c r="D18" s="45" t="inlineStr">
        <is>
          <t>KOKIRI Wow — Wow DOUBLE ROLL Original</t>
        </is>
      </c>
      <c r="E18" s="7" t="n">
        <v>5</v>
      </c>
      <c r="F18" s="81">
        <f>IF($D$2="Найдешевший",MIN(СС_база!$E11:$H11),INDEX(СС_база!$E11:$H11,1,MATCH($D$2,СС_база!$E$3:$H$3,0)))</f>
        <v/>
      </c>
      <c r="G18" s="82">
        <f>IF(AND(ISNUMBER(F18),ISNUMBER($D$8)),F18*$D$3,NA())</f>
        <v/>
      </c>
      <c r="H18" s="83">
        <f>G18/$D$8</f>
        <v/>
      </c>
      <c r="I18" s="84">
        <f>H18*$D$4</f>
        <v/>
      </c>
      <c r="J18" s="85">
        <f>H18-G18-I18</f>
        <v/>
      </c>
      <c r="K18" s="13">
        <f>J18/H18</f>
        <v/>
      </c>
      <c r="L18" s="86">
        <f>H18*$D$6</f>
        <v/>
      </c>
      <c r="M18" s="87">
        <f>G18/(1-$D$4)</f>
        <v/>
      </c>
      <c r="N18" s="87">
        <f>M18*$D$6</f>
        <v/>
      </c>
      <c r="O18" s="88">
        <f>H18-G18</f>
        <v/>
      </c>
      <c r="P18" s="89">
        <f>O18-I18</f>
        <v/>
      </c>
      <c r="Q18" s="90">
        <f>$G18/(1-$D$4-$Q$9)</f>
        <v/>
      </c>
      <c r="R18" s="91">
        <f>Q18*$D$4</f>
        <v/>
      </c>
      <c r="S18" s="92">
        <f>Q18-$G18-R18</f>
        <v/>
      </c>
      <c r="T18" s="44">
        <f>S18/Q18</f>
        <v/>
      </c>
      <c r="U18" s="90">
        <f>Q18*$D$6</f>
        <v/>
      </c>
      <c r="V18" s="90">
        <f>$G18/(1-$D$4-$V$9)</f>
        <v/>
      </c>
      <c r="W18" s="91">
        <f>V18*$D$4</f>
        <v/>
      </c>
      <c r="X18" s="92">
        <f>V18-$G18-W18</f>
        <v/>
      </c>
      <c r="Y18" s="44">
        <f>X18/V18</f>
        <v/>
      </c>
      <c r="Z18" s="90">
        <f>V18*$D$6</f>
        <v/>
      </c>
      <c r="AA18" s="90">
        <f>$G18/(1-$D$4-$AA$9)</f>
        <v/>
      </c>
      <c r="AB18" s="91">
        <f>AA18*$D$4</f>
        <v/>
      </c>
      <c r="AC18" s="92">
        <f>AA18-$G18-AB18</f>
        <v/>
      </c>
      <c r="AD18" s="44">
        <f>AC18/AA18</f>
        <v/>
      </c>
      <c r="AE18" s="90">
        <f>AA18*$D$6</f>
        <v/>
      </c>
      <c r="AF18" s="90">
        <f>$G18/(1-$D$4-$AF$9)</f>
        <v/>
      </c>
      <c r="AG18" s="91">
        <f>AF18*$D$4</f>
        <v/>
      </c>
      <c r="AH18" s="92">
        <f>AF18-$G18-AG18</f>
        <v/>
      </c>
      <c r="AI18" s="44">
        <f>AH18/AF18</f>
        <v/>
      </c>
      <c r="AJ18" s="90">
        <f>AF18*$D$6</f>
        <v/>
      </c>
    </row>
    <row r="19" ht="42" customHeight="1" s="55">
      <c r="A19" s="7" t="n">
        <v>9</v>
      </c>
      <c r="B19" s="45" t="inlineStr">
        <is>
          <t>TMK Thailand / KOKIRI</t>
        </is>
      </c>
      <c r="C19" s="45" t="inlineStr">
        <is>
          <t>TMK — KOKIRI Wow 5 г</t>
        </is>
      </c>
      <c r="D19" s="45" t="inlineStr">
        <is>
          <t>KOKIRI Wow — Wow DOUBLE ROLL Hot Spicy</t>
        </is>
      </c>
      <c r="E19" s="7" t="n">
        <v>5</v>
      </c>
      <c r="F19" s="81">
        <f>IF($D$2="Найдешевший",MIN(СС_база!$E12:$H12),INDEX(СС_база!$E12:$H12,1,MATCH($D$2,СС_база!$E$3:$H$3,0)))</f>
        <v/>
      </c>
      <c r="G19" s="82">
        <f>IF(AND(ISNUMBER(F19),ISNUMBER($D$8)),F19*$D$3,NA())</f>
        <v/>
      </c>
      <c r="H19" s="83">
        <f>G19/$D$8</f>
        <v/>
      </c>
      <c r="I19" s="84">
        <f>H19*$D$4</f>
        <v/>
      </c>
      <c r="J19" s="85">
        <f>H19-G19-I19</f>
        <v/>
      </c>
      <c r="K19" s="13">
        <f>J19/H19</f>
        <v/>
      </c>
      <c r="L19" s="86">
        <f>H19*$D$6</f>
        <v/>
      </c>
      <c r="M19" s="87">
        <f>G19/(1-$D$4)</f>
        <v/>
      </c>
      <c r="N19" s="87">
        <f>M19*$D$6</f>
        <v/>
      </c>
      <c r="O19" s="88">
        <f>H19-G19</f>
        <v/>
      </c>
      <c r="P19" s="89">
        <f>O19-I19</f>
        <v/>
      </c>
      <c r="Q19" s="90">
        <f>$G19/(1-$D$4-$Q$9)</f>
        <v/>
      </c>
      <c r="R19" s="91">
        <f>Q19*$D$4</f>
        <v/>
      </c>
      <c r="S19" s="92">
        <f>Q19-$G19-R19</f>
        <v/>
      </c>
      <c r="T19" s="44">
        <f>S19/Q19</f>
        <v/>
      </c>
      <c r="U19" s="90">
        <f>Q19*$D$6</f>
        <v/>
      </c>
      <c r="V19" s="90">
        <f>$G19/(1-$D$4-$V$9)</f>
        <v/>
      </c>
      <c r="W19" s="91">
        <f>V19*$D$4</f>
        <v/>
      </c>
      <c r="X19" s="92">
        <f>V19-$G19-W19</f>
        <v/>
      </c>
      <c r="Y19" s="44">
        <f>X19/V19</f>
        <v/>
      </c>
      <c r="Z19" s="90">
        <f>V19*$D$6</f>
        <v/>
      </c>
      <c r="AA19" s="90">
        <f>$G19/(1-$D$4-$AA$9)</f>
        <v/>
      </c>
      <c r="AB19" s="91">
        <f>AA19*$D$4</f>
        <v/>
      </c>
      <c r="AC19" s="92">
        <f>AA19-$G19-AB19</f>
        <v/>
      </c>
      <c r="AD19" s="44">
        <f>AC19/AA19</f>
        <v/>
      </c>
      <c r="AE19" s="90">
        <f>AA19*$D$6</f>
        <v/>
      </c>
      <c r="AF19" s="90">
        <f>$G19/(1-$D$4-$AF$9)</f>
        <v/>
      </c>
      <c r="AG19" s="91">
        <f>AF19*$D$4</f>
        <v/>
      </c>
      <c r="AH19" s="92">
        <f>AF19-$G19-AG19</f>
        <v/>
      </c>
      <c r="AI19" s="44">
        <f>AH19/AF19</f>
        <v/>
      </c>
      <c r="AJ19" s="90">
        <f>AF19*$D$6</f>
        <v/>
      </c>
    </row>
    <row r="20" ht="42" customHeight="1" s="55">
      <c r="A20" s="7" t="n">
        <v>10</v>
      </c>
      <c r="B20" s="45" t="inlineStr">
        <is>
          <t>TMK Thailand / KOKIRI</t>
        </is>
      </c>
      <c r="C20" s="45" t="inlineStr">
        <is>
          <t>TMK — KOKIRI Wow 12 г</t>
        </is>
      </c>
      <c r="D20" s="45" t="inlineStr">
        <is>
          <t>KOKIRI Wow — Wow SEAWEED Original</t>
        </is>
      </c>
      <c r="E20" s="7" t="n">
        <v>12</v>
      </c>
      <c r="F20" s="81">
        <f>IF($D$2="Найдешевший",MIN(СС_база!$E13:$H13),INDEX(СС_база!$E13:$H13,1,MATCH($D$2,СС_база!$E$3:$H$3,0)))</f>
        <v/>
      </c>
      <c r="G20" s="82">
        <f>IF(AND(ISNUMBER(F20),ISNUMBER($D$8)),F20*$D$3,NA())</f>
        <v/>
      </c>
      <c r="H20" s="83">
        <f>G20/$D$8</f>
        <v/>
      </c>
      <c r="I20" s="84">
        <f>H20*$D$4</f>
        <v/>
      </c>
      <c r="J20" s="85">
        <f>H20-G20-I20</f>
        <v/>
      </c>
      <c r="K20" s="13">
        <f>J20/H20</f>
        <v/>
      </c>
      <c r="L20" s="86">
        <f>H20*$D$6</f>
        <v/>
      </c>
      <c r="M20" s="87">
        <f>G20/(1-$D$4)</f>
        <v/>
      </c>
      <c r="N20" s="87">
        <f>M20*$D$6</f>
        <v/>
      </c>
      <c r="O20" s="88">
        <f>H20-G20</f>
        <v/>
      </c>
      <c r="P20" s="89">
        <f>O20-I20</f>
        <v/>
      </c>
      <c r="Q20" s="90">
        <f>$G20/(1-$D$4-$Q$9)</f>
        <v/>
      </c>
      <c r="R20" s="91">
        <f>Q20*$D$4</f>
        <v/>
      </c>
      <c r="S20" s="92">
        <f>Q20-$G20-R20</f>
        <v/>
      </c>
      <c r="T20" s="44">
        <f>S20/Q20</f>
        <v/>
      </c>
      <c r="U20" s="90">
        <f>Q20*$D$6</f>
        <v/>
      </c>
      <c r="V20" s="90">
        <f>$G20/(1-$D$4-$V$9)</f>
        <v/>
      </c>
      <c r="W20" s="91">
        <f>V20*$D$4</f>
        <v/>
      </c>
      <c r="X20" s="92">
        <f>V20-$G20-W20</f>
        <v/>
      </c>
      <c r="Y20" s="44">
        <f>X20/V20</f>
        <v/>
      </c>
      <c r="Z20" s="90">
        <f>V20*$D$6</f>
        <v/>
      </c>
      <c r="AA20" s="90">
        <f>$G20/(1-$D$4-$AA$9)</f>
        <v/>
      </c>
      <c r="AB20" s="91">
        <f>AA20*$D$4</f>
        <v/>
      </c>
      <c r="AC20" s="92">
        <f>AA20-$G20-AB20</f>
        <v/>
      </c>
      <c r="AD20" s="44">
        <f>AC20/AA20</f>
        <v/>
      </c>
      <c r="AE20" s="90">
        <f>AA20*$D$6</f>
        <v/>
      </c>
      <c r="AF20" s="90">
        <f>$G20/(1-$D$4-$AF$9)</f>
        <v/>
      </c>
      <c r="AG20" s="91">
        <f>AF20*$D$4</f>
        <v/>
      </c>
      <c r="AH20" s="92">
        <f>AF20-$G20-AG20</f>
        <v/>
      </c>
      <c r="AI20" s="44">
        <f>AH20/AF20</f>
        <v/>
      </c>
      <c r="AJ20" s="90">
        <f>AF20*$D$6</f>
        <v/>
      </c>
    </row>
    <row r="21" ht="42" customHeight="1" s="55">
      <c r="A21" s="7" t="n">
        <v>11</v>
      </c>
      <c r="B21" s="45" t="inlineStr">
        <is>
          <t>TMK Thailand / KOKIRI</t>
        </is>
      </c>
      <c r="C21" s="45" t="inlineStr">
        <is>
          <t>TMK — KOKIRI Wow 12 г</t>
        </is>
      </c>
      <c r="D21" s="45" t="inlineStr">
        <is>
          <t>KOKIRI Wow — Wow SEAWEED Spicy</t>
        </is>
      </c>
      <c r="E21" s="7" t="n">
        <v>12</v>
      </c>
      <c r="F21" s="81">
        <f>IF($D$2="Найдешевший",MIN(СС_база!$E14:$H14),INDEX(СС_база!$E14:$H14,1,MATCH($D$2,СС_база!$E$3:$H$3,0)))</f>
        <v/>
      </c>
      <c r="G21" s="82">
        <f>IF(AND(ISNUMBER(F21),ISNUMBER($D$8)),F21*$D$3,NA())</f>
        <v/>
      </c>
      <c r="H21" s="83">
        <f>G21/$D$8</f>
        <v/>
      </c>
      <c r="I21" s="84">
        <f>H21*$D$4</f>
        <v/>
      </c>
      <c r="J21" s="85">
        <f>H21-G21-I21</f>
        <v/>
      </c>
      <c r="K21" s="13">
        <f>J21/H21</f>
        <v/>
      </c>
      <c r="L21" s="86">
        <f>H21*$D$6</f>
        <v/>
      </c>
      <c r="M21" s="87">
        <f>G21/(1-$D$4)</f>
        <v/>
      </c>
      <c r="N21" s="87">
        <f>M21*$D$6</f>
        <v/>
      </c>
      <c r="O21" s="88">
        <f>H21-G21</f>
        <v/>
      </c>
      <c r="P21" s="89">
        <f>O21-I21</f>
        <v/>
      </c>
      <c r="Q21" s="90">
        <f>$G21/(1-$D$4-$Q$9)</f>
        <v/>
      </c>
      <c r="R21" s="91">
        <f>Q21*$D$4</f>
        <v/>
      </c>
      <c r="S21" s="92">
        <f>Q21-$G21-R21</f>
        <v/>
      </c>
      <c r="T21" s="44">
        <f>S21/Q21</f>
        <v/>
      </c>
      <c r="U21" s="90">
        <f>Q21*$D$6</f>
        <v/>
      </c>
      <c r="V21" s="90">
        <f>$G21/(1-$D$4-$V$9)</f>
        <v/>
      </c>
      <c r="W21" s="91">
        <f>V21*$D$4</f>
        <v/>
      </c>
      <c r="X21" s="92">
        <f>V21-$G21-W21</f>
        <v/>
      </c>
      <c r="Y21" s="44">
        <f>X21/V21</f>
        <v/>
      </c>
      <c r="Z21" s="90">
        <f>V21*$D$6</f>
        <v/>
      </c>
      <c r="AA21" s="90">
        <f>$G21/(1-$D$4-$AA$9)</f>
        <v/>
      </c>
      <c r="AB21" s="91">
        <f>AA21*$D$4</f>
        <v/>
      </c>
      <c r="AC21" s="92">
        <f>AA21-$G21-AB21</f>
        <v/>
      </c>
      <c r="AD21" s="44">
        <f>AC21/AA21</f>
        <v/>
      </c>
      <c r="AE21" s="90">
        <f>AA21*$D$6</f>
        <v/>
      </c>
      <c r="AF21" s="90">
        <f>$G21/(1-$D$4-$AF$9)</f>
        <v/>
      </c>
      <c r="AG21" s="91">
        <f>AF21*$D$4</f>
        <v/>
      </c>
      <c r="AH21" s="92">
        <f>AF21-$G21-AG21</f>
        <v/>
      </c>
      <c r="AI21" s="44">
        <f>AH21/AF21</f>
        <v/>
      </c>
      <c r="AJ21" s="90">
        <f>AF21*$D$6</f>
        <v/>
      </c>
    </row>
    <row r="22" ht="42" customHeight="1" s="55">
      <c r="A22" s="7" t="n">
        <v>12</v>
      </c>
      <c r="B22" s="45" t="inlineStr">
        <is>
          <t>TMK Thailand / KOKIRI</t>
        </is>
      </c>
      <c r="C22" s="45" t="inlineStr">
        <is>
          <t>TMK — KOKIRI Wow 12 г</t>
        </is>
      </c>
      <c r="D22" s="45" t="inlineStr">
        <is>
          <t>KOKIRI Wow — Wow SEAWEED Squid</t>
        </is>
      </c>
      <c r="E22" s="7" t="n">
        <v>12</v>
      </c>
      <c r="F22" s="81">
        <f>IF($D$2="Найдешевший",MIN(СС_база!$E15:$H15),INDEX(СС_база!$E15:$H15,1,MATCH($D$2,СС_база!$E$3:$H$3,0)))</f>
        <v/>
      </c>
      <c r="G22" s="82">
        <f>IF(AND(ISNUMBER(F22),ISNUMBER($D$8)),F22*$D$3,NA())</f>
        <v/>
      </c>
      <c r="H22" s="83">
        <f>G22/$D$8</f>
        <v/>
      </c>
      <c r="I22" s="84">
        <f>H22*$D$4</f>
        <v/>
      </c>
      <c r="J22" s="85">
        <f>H22-G22-I22</f>
        <v/>
      </c>
      <c r="K22" s="13">
        <f>J22/H22</f>
        <v/>
      </c>
      <c r="L22" s="86">
        <f>H22*$D$6</f>
        <v/>
      </c>
      <c r="M22" s="87">
        <f>G22/(1-$D$4)</f>
        <v/>
      </c>
      <c r="N22" s="87">
        <f>M22*$D$6</f>
        <v/>
      </c>
      <c r="O22" s="88">
        <f>H22-G22</f>
        <v/>
      </c>
      <c r="P22" s="89">
        <f>O22-I22</f>
        <v/>
      </c>
      <c r="Q22" s="90">
        <f>$G22/(1-$D$4-$Q$9)</f>
        <v/>
      </c>
      <c r="R22" s="91">
        <f>Q22*$D$4</f>
        <v/>
      </c>
      <c r="S22" s="92">
        <f>Q22-$G22-R22</f>
        <v/>
      </c>
      <c r="T22" s="44">
        <f>S22/Q22</f>
        <v/>
      </c>
      <c r="U22" s="90">
        <f>Q22*$D$6</f>
        <v/>
      </c>
      <c r="V22" s="90">
        <f>$G22/(1-$D$4-$V$9)</f>
        <v/>
      </c>
      <c r="W22" s="91">
        <f>V22*$D$4</f>
        <v/>
      </c>
      <c r="X22" s="92">
        <f>V22-$G22-W22</f>
        <v/>
      </c>
      <c r="Y22" s="44">
        <f>X22/V22</f>
        <v/>
      </c>
      <c r="Z22" s="90">
        <f>V22*$D$6</f>
        <v/>
      </c>
      <c r="AA22" s="90">
        <f>$G22/(1-$D$4-$AA$9)</f>
        <v/>
      </c>
      <c r="AB22" s="91">
        <f>AA22*$D$4</f>
        <v/>
      </c>
      <c r="AC22" s="92">
        <f>AA22-$G22-AB22</f>
        <v/>
      </c>
      <c r="AD22" s="44">
        <f>AC22/AA22</f>
        <v/>
      </c>
      <c r="AE22" s="90">
        <f>AA22*$D$6</f>
        <v/>
      </c>
      <c r="AF22" s="90">
        <f>$G22/(1-$D$4-$AF$9)</f>
        <v/>
      </c>
      <c r="AG22" s="91">
        <f>AF22*$D$4</f>
        <v/>
      </c>
      <c r="AH22" s="92">
        <f>AF22-$G22-AG22</f>
        <v/>
      </c>
      <c r="AI22" s="44">
        <f>AH22/AF22</f>
        <v/>
      </c>
      <c r="AJ22" s="90">
        <f>AF22*$D$6</f>
        <v/>
      </c>
    </row>
    <row r="23" ht="42" customHeight="1" s="55">
      <c r="A23" s="7" t="n">
        <v>13</v>
      </c>
      <c r="B23" s="45" t="inlineStr">
        <is>
          <t>TMK Thailand / KOKIRI</t>
        </is>
      </c>
      <c r="C23" s="45" t="inlineStr">
        <is>
          <t>TMK — KOKIRI Wow 10 г</t>
        </is>
      </c>
      <c r="D23" s="45" t="inlineStr">
        <is>
          <t>KOKIRI Wow — Wow MINI Original</t>
        </is>
      </c>
      <c r="E23" s="7" t="n">
        <v>10</v>
      </c>
      <c r="F23" s="81">
        <f>IF($D$2="Найдешевший",MIN(СС_база!$E16:$H16),INDEX(СС_база!$E16:$H16,1,MATCH($D$2,СС_база!$E$3:$H$3,0)))</f>
        <v/>
      </c>
      <c r="G23" s="82">
        <f>IF(AND(ISNUMBER(F23),ISNUMBER($D$8)),F23*$D$3,NA())</f>
        <v/>
      </c>
      <c r="H23" s="83">
        <f>G23/$D$8</f>
        <v/>
      </c>
      <c r="I23" s="84">
        <f>H23*$D$4</f>
        <v/>
      </c>
      <c r="J23" s="85">
        <f>H23-G23-I23</f>
        <v/>
      </c>
      <c r="K23" s="13">
        <f>J23/H23</f>
        <v/>
      </c>
      <c r="L23" s="86">
        <f>H23*$D$6</f>
        <v/>
      </c>
      <c r="M23" s="87">
        <f>G23/(1-$D$4)</f>
        <v/>
      </c>
      <c r="N23" s="87">
        <f>M23*$D$6</f>
        <v/>
      </c>
      <c r="O23" s="88">
        <f>H23-G23</f>
        <v/>
      </c>
      <c r="P23" s="89">
        <f>O23-I23</f>
        <v/>
      </c>
      <c r="Q23" s="90">
        <f>$G23/(1-$D$4-$Q$9)</f>
        <v/>
      </c>
      <c r="R23" s="91">
        <f>Q23*$D$4</f>
        <v/>
      </c>
      <c r="S23" s="92">
        <f>Q23-$G23-R23</f>
        <v/>
      </c>
      <c r="T23" s="44">
        <f>S23/Q23</f>
        <v/>
      </c>
      <c r="U23" s="90">
        <f>Q23*$D$6</f>
        <v/>
      </c>
      <c r="V23" s="90">
        <f>$G23/(1-$D$4-$V$9)</f>
        <v/>
      </c>
      <c r="W23" s="91">
        <f>V23*$D$4</f>
        <v/>
      </c>
      <c r="X23" s="92">
        <f>V23-$G23-W23</f>
        <v/>
      </c>
      <c r="Y23" s="44">
        <f>X23/V23</f>
        <v/>
      </c>
      <c r="Z23" s="90">
        <f>V23*$D$6</f>
        <v/>
      </c>
      <c r="AA23" s="90">
        <f>$G23/(1-$D$4-$AA$9)</f>
        <v/>
      </c>
      <c r="AB23" s="91">
        <f>AA23*$D$4</f>
        <v/>
      </c>
      <c r="AC23" s="92">
        <f>AA23-$G23-AB23</f>
        <v/>
      </c>
      <c r="AD23" s="44">
        <f>AC23/AA23</f>
        <v/>
      </c>
      <c r="AE23" s="90">
        <f>AA23*$D$6</f>
        <v/>
      </c>
      <c r="AF23" s="90">
        <f>$G23/(1-$D$4-$AF$9)</f>
        <v/>
      </c>
      <c r="AG23" s="91">
        <f>AF23*$D$4</f>
        <v/>
      </c>
      <c r="AH23" s="92">
        <f>AF23-$G23-AG23</f>
        <v/>
      </c>
      <c r="AI23" s="44">
        <f>AH23/AF23</f>
        <v/>
      </c>
      <c r="AJ23" s="90">
        <f>AF23*$D$6</f>
        <v/>
      </c>
    </row>
    <row r="24" ht="42" customHeight="1" s="55">
      <c r="A24" s="7" t="n">
        <v>14</v>
      </c>
      <c r="B24" s="45" t="inlineStr">
        <is>
          <t>TMK Thailand / KOKIRI</t>
        </is>
      </c>
      <c r="C24" s="45" t="inlineStr">
        <is>
          <t>TMK — KOKIRI Wow 10 г</t>
        </is>
      </c>
      <c r="D24" s="45" t="inlineStr">
        <is>
          <t>KOKIRI Wow — Wow MINI Hot Spicy</t>
        </is>
      </c>
      <c r="E24" s="7" t="n">
        <v>10</v>
      </c>
      <c r="F24" s="81">
        <f>IF($D$2="Найдешевший",MIN(СС_база!$E17:$H17),INDEX(СС_база!$E17:$H17,1,MATCH($D$2,СС_база!$E$3:$H$3,0)))</f>
        <v/>
      </c>
      <c r="G24" s="82">
        <f>IF(AND(ISNUMBER(F24),ISNUMBER($D$8)),F24*$D$3,NA())</f>
        <v/>
      </c>
      <c r="H24" s="83">
        <f>G24/$D$8</f>
        <v/>
      </c>
      <c r="I24" s="84">
        <f>H24*$D$4</f>
        <v/>
      </c>
      <c r="J24" s="85">
        <f>H24-G24-I24</f>
        <v/>
      </c>
      <c r="K24" s="13">
        <f>J24/H24</f>
        <v/>
      </c>
      <c r="L24" s="86">
        <f>H24*$D$6</f>
        <v/>
      </c>
      <c r="M24" s="87">
        <f>G24/(1-$D$4)</f>
        <v/>
      </c>
      <c r="N24" s="87">
        <f>M24*$D$6</f>
        <v/>
      </c>
      <c r="O24" s="88">
        <f>H24-G24</f>
        <v/>
      </c>
      <c r="P24" s="89">
        <f>O24-I24</f>
        <v/>
      </c>
      <c r="Q24" s="90">
        <f>$G24/(1-$D$4-$Q$9)</f>
        <v/>
      </c>
      <c r="R24" s="91">
        <f>Q24*$D$4</f>
        <v/>
      </c>
      <c r="S24" s="92">
        <f>Q24-$G24-R24</f>
        <v/>
      </c>
      <c r="T24" s="44">
        <f>S24/Q24</f>
        <v/>
      </c>
      <c r="U24" s="90">
        <f>Q24*$D$6</f>
        <v/>
      </c>
      <c r="V24" s="90">
        <f>$G24/(1-$D$4-$V$9)</f>
        <v/>
      </c>
      <c r="W24" s="91">
        <f>V24*$D$4</f>
        <v/>
      </c>
      <c r="X24" s="92">
        <f>V24-$G24-W24</f>
        <v/>
      </c>
      <c r="Y24" s="44">
        <f>X24/V24</f>
        <v/>
      </c>
      <c r="Z24" s="90">
        <f>V24*$D$6</f>
        <v/>
      </c>
      <c r="AA24" s="90">
        <f>$G24/(1-$D$4-$AA$9)</f>
        <v/>
      </c>
      <c r="AB24" s="91">
        <f>AA24*$D$4</f>
        <v/>
      </c>
      <c r="AC24" s="92">
        <f>AA24-$G24-AB24</f>
        <v/>
      </c>
      <c r="AD24" s="44">
        <f>AC24/AA24</f>
        <v/>
      </c>
      <c r="AE24" s="90">
        <f>AA24*$D$6</f>
        <v/>
      </c>
      <c r="AF24" s="90">
        <f>$G24/(1-$D$4-$AF$9)</f>
        <v/>
      </c>
      <c r="AG24" s="91">
        <f>AF24*$D$4</f>
        <v/>
      </c>
      <c r="AH24" s="92">
        <f>AF24-$G24-AG24</f>
        <v/>
      </c>
      <c r="AI24" s="44">
        <f>AH24/AF24</f>
        <v/>
      </c>
      <c r="AJ24" s="90">
        <f>AF24*$D$6</f>
        <v/>
      </c>
    </row>
    <row r="25" ht="42" customHeight="1" s="55">
      <c r="A25" s="7" t="n">
        <v>15</v>
      </c>
      <c r="B25" s="45" t="inlineStr">
        <is>
          <t>HanJin / ZEK (Китай)</t>
        </is>
      </c>
      <c r="C25" s="45" t="inlineStr">
        <is>
          <t>HanJin — ZEK 30 г</t>
        </is>
      </c>
      <c r="D25" s="45" t="inlineStr">
        <is>
          <t>ZEK — Tempura Seaweed Corn</t>
        </is>
      </c>
      <c r="E25" s="7" t="n">
        <v>30</v>
      </c>
      <c r="F25" s="81">
        <f>IF($D$2="Найдешевший",MIN(СС_база!$E18:$H18),INDEX(СС_база!$E18:$H18,1,MATCH($D$2,СС_база!$E$3:$H$3,0)))</f>
        <v/>
      </c>
      <c r="G25" s="82">
        <f>IF(AND(ISNUMBER(F25),ISNUMBER($D$8)),F25*$D$3,NA())</f>
        <v/>
      </c>
      <c r="H25" s="83">
        <f>G25/$D$8</f>
        <v/>
      </c>
      <c r="I25" s="84">
        <f>H25*$D$4</f>
        <v/>
      </c>
      <c r="J25" s="85">
        <f>H25-G25-I25</f>
        <v/>
      </c>
      <c r="K25" s="13">
        <f>J25/H25</f>
        <v/>
      </c>
      <c r="L25" s="86">
        <f>H25*$D$6</f>
        <v/>
      </c>
      <c r="M25" s="87">
        <f>G25/(1-$D$4)</f>
        <v/>
      </c>
      <c r="N25" s="87">
        <f>M25*$D$6</f>
        <v/>
      </c>
      <c r="O25" s="88">
        <f>H25-G25</f>
        <v/>
      </c>
      <c r="P25" s="89">
        <f>O25-I25</f>
        <v/>
      </c>
      <c r="Q25" s="90">
        <f>$G25/(1-$D$4-$Q$9)</f>
        <v/>
      </c>
      <c r="R25" s="91">
        <f>Q25*$D$4</f>
        <v/>
      </c>
      <c r="S25" s="92">
        <f>Q25-$G25-R25</f>
        <v/>
      </c>
      <c r="T25" s="44">
        <f>S25/Q25</f>
        <v/>
      </c>
      <c r="U25" s="90">
        <f>Q25*$D$6</f>
        <v/>
      </c>
      <c r="V25" s="90">
        <f>$G25/(1-$D$4-$V$9)</f>
        <v/>
      </c>
      <c r="W25" s="91">
        <f>V25*$D$4</f>
        <v/>
      </c>
      <c r="X25" s="92">
        <f>V25-$G25-W25</f>
        <v/>
      </c>
      <c r="Y25" s="44">
        <f>X25/V25</f>
        <v/>
      </c>
      <c r="Z25" s="90">
        <f>V25*$D$6</f>
        <v/>
      </c>
      <c r="AA25" s="90">
        <f>$G25/(1-$D$4-$AA$9)</f>
        <v/>
      </c>
      <c r="AB25" s="91">
        <f>AA25*$D$4</f>
        <v/>
      </c>
      <c r="AC25" s="92">
        <f>AA25-$G25-AB25</f>
        <v/>
      </c>
      <c r="AD25" s="44">
        <f>AC25/AA25</f>
        <v/>
      </c>
      <c r="AE25" s="90">
        <f>AA25*$D$6</f>
        <v/>
      </c>
      <c r="AF25" s="90">
        <f>$G25/(1-$D$4-$AF$9)</f>
        <v/>
      </c>
      <c r="AG25" s="91">
        <f>AF25*$D$4</f>
        <v/>
      </c>
      <c r="AH25" s="92">
        <f>AF25-$G25-AG25</f>
        <v/>
      </c>
      <c r="AI25" s="44">
        <f>AH25/AF25</f>
        <v/>
      </c>
      <c r="AJ25" s="90">
        <f>AF25*$D$6</f>
        <v/>
      </c>
    </row>
    <row r="26" ht="42" customHeight="1" s="55">
      <c r="A26" s="7" t="n">
        <v>16</v>
      </c>
      <c r="B26" s="45" t="inlineStr">
        <is>
          <t>HanJin / ZEK (Китай)</t>
        </is>
      </c>
      <c r="C26" s="45" t="inlineStr">
        <is>
          <t>HanJin — ZEK 30 г</t>
        </is>
      </c>
      <c r="D26" s="45" t="inlineStr">
        <is>
          <t>ZEK — Tempura Seaweed Wasabi</t>
        </is>
      </c>
      <c r="E26" s="7" t="n">
        <v>30</v>
      </c>
      <c r="F26" s="81">
        <f>IF($D$2="Найдешевший",MIN(СС_база!$E19:$H19),INDEX(СС_база!$E19:$H19,1,MATCH($D$2,СС_база!$E$3:$H$3,0)))</f>
        <v/>
      </c>
      <c r="G26" s="82">
        <f>IF(AND(ISNUMBER(F26),ISNUMBER($D$8)),F26*$D$3,NA())</f>
        <v/>
      </c>
      <c r="H26" s="83">
        <f>G26/$D$8</f>
        <v/>
      </c>
      <c r="I26" s="84">
        <f>H26*$D$4</f>
        <v/>
      </c>
      <c r="J26" s="85">
        <f>H26-G26-I26</f>
        <v/>
      </c>
      <c r="K26" s="13">
        <f>J26/H26</f>
        <v/>
      </c>
      <c r="L26" s="86">
        <f>H26*$D$6</f>
        <v/>
      </c>
      <c r="M26" s="87">
        <f>G26/(1-$D$4)</f>
        <v/>
      </c>
      <c r="N26" s="87">
        <f>M26*$D$6</f>
        <v/>
      </c>
      <c r="O26" s="88">
        <f>H26-G26</f>
        <v/>
      </c>
      <c r="P26" s="89">
        <f>O26-I26</f>
        <v/>
      </c>
      <c r="Q26" s="90">
        <f>$G26/(1-$D$4-$Q$9)</f>
        <v/>
      </c>
      <c r="R26" s="91">
        <f>Q26*$D$4</f>
        <v/>
      </c>
      <c r="S26" s="92">
        <f>Q26-$G26-R26</f>
        <v/>
      </c>
      <c r="T26" s="44">
        <f>S26/Q26</f>
        <v/>
      </c>
      <c r="U26" s="90">
        <f>Q26*$D$6</f>
        <v/>
      </c>
      <c r="V26" s="90">
        <f>$G26/(1-$D$4-$V$9)</f>
        <v/>
      </c>
      <c r="W26" s="91">
        <f>V26*$D$4</f>
        <v/>
      </c>
      <c r="X26" s="92">
        <f>V26-$G26-W26</f>
        <v/>
      </c>
      <c r="Y26" s="44">
        <f>X26/V26</f>
        <v/>
      </c>
      <c r="Z26" s="90">
        <f>V26*$D$6</f>
        <v/>
      </c>
      <c r="AA26" s="90">
        <f>$G26/(1-$D$4-$AA$9)</f>
        <v/>
      </c>
      <c r="AB26" s="91">
        <f>AA26*$D$4</f>
        <v/>
      </c>
      <c r="AC26" s="92">
        <f>AA26-$G26-AB26</f>
        <v/>
      </c>
      <c r="AD26" s="44">
        <f>AC26/AA26</f>
        <v/>
      </c>
      <c r="AE26" s="90">
        <f>AA26*$D$6</f>
        <v/>
      </c>
      <c r="AF26" s="90">
        <f>$G26/(1-$D$4-$AF$9)</f>
        <v/>
      </c>
      <c r="AG26" s="91">
        <f>AF26*$D$4</f>
        <v/>
      </c>
      <c r="AH26" s="92">
        <f>AF26-$G26-AG26</f>
        <v/>
      </c>
      <c r="AI26" s="44">
        <f>AH26/AF26</f>
        <v/>
      </c>
      <c r="AJ26" s="90">
        <f>AF26*$D$6</f>
        <v/>
      </c>
    </row>
    <row r="27" ht="42" customHeight="1" s="55">
      <c r="A27" s="7" t="n">
        <v>17</v>
      </c>
      <c r="B27" s="45" t="inlineStr">
        <is>
          <t>HanJin / ZEK (Китай)</t>
        </is>
      </c>
      <c r="C27" s="45" t="inlineStr">
        <is>
          <t>HanJin — ZEK 30 г</t>
        </is>
      </c>
      <c r="D27" s="45" t="inlineStr">
        <is>
          <t>ZEK — Tempura Seaweed Mala Crawfish</t>
        </is>
      </c>
      <c r="E27" s="7" t="n">
        <v>30</v>
      </c>
      <c r="F27" s="81">
        <f>IF($D$2="Найдешевший",MIN(СС_база!$E20:$H20),INDEX(СС_база!$E20:$H20,1,MATCH($D$2,СС_база!$E$3:$H$3,0)))</f>
        <v/>
      </c>
      <c r="G27" s="82">
        <f>IF(AND(ISNUMBER(F27),ISNUMBER($D$8)),F27*$D$3,NA())</f>
        <v/>
      </c>
      <c r="H27" s="83">
        <f>G27/$D$8</f>
        <v/>
      </c>
      <c r="I27" s="84">
        <f>H27*$D$4</f>
        <v/>
      </c>
      <c r="J27" s="85">
        <f>H27-G27-I27</f>
        <v/>
      </c>
      <c r="K27" s="13">
        <f>J27/H27</f>
        <v/>
      </c>
      <c r="L27" s="86">
        <f>H27*$D$6</f>
        <v/>
      </c>
      <c r="M27" s="87">
        <f>G27/(1-$D$4)</f>
        <v/>
      </c>
      <c r="N27" s="87">
        <f>M27*$D$6</f>
        <v/>
      </c>
      <c r="O27" s="88">
        <f>H27-G27</f>
        <v/>
      </c>
      <c r="P27" s="89">
        <f>O27-I27</f>
        <v/>
      </c>
      <c r="Q27" s="90">
        <f>$G27/(1-$D$4-$Q$9)</f>
        <v/>
      </c>
      <c r="R27" s="91">
        <f>Q27*$D$4</f>
        <v/>
      </c>
      <c r="S27" s="92">
        <f>Q27-$G27-R27</f>
        <v/>
      </c>
      <c r="T27" s="44">
        <f>S27/Q27</f>
        <v/>
      </c>
      <c r="U27" s="90">
        <f>Q27*$D$6</f>
        <v/>
      </c>
      <c r="V27" s="90">
        <f>$G27/(1-$D$4-$V$9)</f>
        <v/>
      </c>
      <c r="W27" s="91">
        <f>V27*$D$4</f>
        <v/>
      </c>
      <c r="X27" s="92">
        <f>V27-$G27-W27</f>
        <v/>
      </c>
      <c r="Y27" s="44">
        <f>X27/V27</f>
        <v/>
      </c>
      <c r="Z27" s="90">
        <f>V27*$D$6</f>
        <v/>
      </c>
      <c r="AA27" s="90">
        <f>$G27/(1-$D$4-$AA$9)</f>
        <v/>
      </c>
      <c r="AB27" s="91">
        <f>AA27*$D$4</f>
        <v/>
      </c>
      <c r="AC27" s="92">
        <f>AA27-$G27-AB27</f>
        <v/>
      </c>
      <c r="AD27" s="44">
        <f>AC27/AA27</f>
        <v/>
      </c>
      <c r="AE27" s="90">
        <f>AA27*$D$6</f>
        <v/>
      </c>
      <c r="AF27" s="90">
        <f>$G27/(1-$D$4-$AF$9)</f>
        <v/>
      </c>
      <c r="AG27" s="91">
        <f>AF27*$D$4</f>
        <v/>
      </c>
      <c r="AH27" s="92">
        <f>AF27-$G27-AG27</f>
        <v/>
      </c>
      <c r="AI27" s="44">
        <f>AH27/AF27</f>
        <v/>
      </c>
      <c r="AJ27" s="90">
        <f>AF27*$D$6</f>
        <v/>
      </c>
    </row>
    <row r="28" ht="42" customHeight="1" s="55">
      <c r="A28" s="7" t="n">
        <v>18</v>
      </c>
      <c r="B28" s="45" t="inlineStr">
        <is>
          <t>HanJin / ZEK (Китай)</t>
        </is>
      </c>
      <c r="C28" s="45" t="inlineStr">
        <is>
          <t>HanJin — ZEK 50 г</t>
        </is>
      </c>
      <c r="D28" s="45" t="inlineStr">
        <is>
          <t>ZEK — Tempura Seaweed Corn · 50 г</t>
        </is>
      </c>
      <c r="E28" s="7" t="n">
        <v>50</v>
      </c>
      <c r="F28" s="81">
        <f>IF($D$2="Найдешевший",MIN(СС_база!$E21:$H21),INDEX(СС_база!$E21:$H21,1,MATCH($D$2,СС_база!$E$3:$H$3,0)))</f>
        <v/>
      </c>
      <c r="G28" s="82">
        <f>IF(AND(ISNUMBER(F28),ISNUMBER($D$8)),F28*$D$3,NA())</f>
        <v/>
      </c>
      <c r="H28" s="83">
        <f>G28/$D$8</f>
        <v/>
      </c>
      <c r="I28" s="84">
        <f>H28*$D$4</f>
        <v/>
      </c>
      <c r="J28" s="85">
        <f>H28-G28-I28</f>
        <v/>
      </c>
      <c r="K28" s="13">
        <f>J28/H28</f>
        <v/>
      </c>
      <c r="L28" s="86">
        <f>H28*$D$6</f>
        <v/>
      </c>
      <c r="M28" s="87">
        <f>G28/(1-$D$4)</f>
        <v/>
      </c>
      <c r="N28" s="87">
        <f>M28*$D$6</f>
        <v/>
      </c>
      <c r="O28" s="88">
        <f>H28-G28</f>
        <v/>
      </c>
      <c r="P28" s="89">
        <f>O28-I28</f>
        <v/>
      </c>
      <c r="Q28" s="90">
        <f>$G28/(1-$D$4-$Q$9)</f>
        <v/>
      </c>
      <c r="R28" s="91">
        <f>Q28*$D$4</f>
        <v/>
      </c>
      <c r="S28" s="92">
        <f>Q28-$G28-R28</f>
        <v/>
      </c>
      <c r="T28" s="44">
        <f>S28/Q28</f>
        <v/>
      </c>
      <c r="U28" s="90">
        <f>Q28*$D$6</f>
        <v/>
      </c>
      <c r="V28" s="90">
        <f>$G28/(1-$D$4-$V$9)</f>
        <v/>
      </c>
      <c r="W28" s="91">
        <f>V28*$D$4</f>
        <v/>
      </c>
      <c r="X28" s="92">
        <f>V28-$G28-W28</f>
        <v/>
      </c>
      <c r="Y28" s="44">
        <f>X28/V28</f>
        <v/>
      </c>
      <c r="Z28" s="90">
        <f>V28*$D$6</f>
        <v/>
      </c>
      <c r="AA28" s="90">
        <f>$G28/(1-$D$4-$AA$9)</f>
        <v/>
      </c>
      <c r="AB28" s="91">
        <f>AA28*$D$4</f>
        <v/>
      </c>
      <c r="AC28" s="92">
        <f>AA28-$G28-AB28</f>
        <v/>
      </c>
      <c r="AD28" s="44">
        <f>AC28/AA28</f>
        <v/>
      </c>
      <c r="AE28" s="90">
        <f>AA28*$D$6</f>
        <v/>
      </c>
      <c r="AF28" s="90">
        <f>$G28/(1-$D$4-$AF$9)</f>
        <v/>
      </c>
      <c r="AG28" s="91">
        <f>AF28*$D$4</f>
        <v/>
      </c>
      <c r="AH28" s="92">
        <f>AF28-$G28-AG28</f>
        <v/>
      </c>
      <c r="AI28" s="44">
        <f>AH28/AF28</f>
        <v/>
      </c>
      <c r="AJ28" s="90">
        <f>AF28*$D$6</f>
        <v/>
      </c>
    </row>
    <row r="29" ht="42" customHeight="1" s="55">
      <c r="A29" s="7" t="n">
        <v>19</v>
      </c>
      <c r="B29" s="45" t="inlineStr">
        <is>
          <t>HanJin / ZEK (Китай)</t>
        </is>
      </c>
      <c r="C29" s="45" t="inlineStr">
        <is>
          <t>HanJin — ZEK 50 г</t>
        </is>
      </c>
      <c r="D29" s="45" t="inlineStr">
        <is>
          <t>ZEK — Tempura Seaweed Wasabi · 50 г</t>
        </is>
      </c>
      <c r="E29" s="7" t="n">
        <v>50</v>
      </c>
      <c r="F29" s="81">
        <f>IF($D$2="Найдешевший",MIN(СС_база!$E22:$H22),INDEX(СС_база!$E22:$H22,1,MATCH($D$2,СС_база!$E$3:$H$3,0)))</f>
        <v/>
      </c>
      <c r="G29" s="82">
        <f>IF(AND(ISNUMBER(F29),ISNUMBER($D$8)),F29*$D$3,NA())</f>
        <v/>
      </c>
      <c r="H29" s="83">
        <f>G29/$D$8</f>
        <v/>
      </c>
      <c r="I29" s="84">
        <f>H29*$D$4</f>
        <v/>
      </c>
      <c r="J29" s="85">
        <f>H29-G29-I29</f>
        <v/>
      </c>
      <c r="K29" s="13">
        <f>J29/H29</f>
        <v/>
      </c>
      <c r="L29" s="86">
        <f>H29*$D$6</f>
        <v/>
      </c>
      <c r="M29" s="87">
        <f>G29/(1-$D$4)</f>
        <v/>
      </c>
      <c r="N29" s="87">
        <f>M29*$D$6</f>
        <v/>
      </c>
      <c r="O29" s="88">
        <f>H29-G29</f>
        <v/>
      </c>
      <c r="P29" s="89">
        <f>O29-I29</f>
        <v/>
      </c>
      <c r="Q29" s="90">
        <f>$G29/(1-$D$4-$Q$9)</f>
        <v/>
      </c>
      <c r="R29" s="91">
        <f>Q29*$D$4</f>
        <v/>
      </c>
      <c r="S29" s="92">
        <f>Q29-$G29-R29</f>
        <v/>
      </c>
      <c r="T29" s="44">
        <f>S29/Q29</f>
        <v/>
      </c>
      <c r="U29" s="90">
        <f>Q29*$D$6</f>
        <v/>
      </c>
      <c r="V29" s="90">
        <f>$G29/(1-$D$4-$V$9)</f>
        <v/>
      </c>
      <c r="W29" s="91">
        <f>V29*$D$4</f>
        <v/>
      </c>
      <c r="X29" s="92">
        <f>V29-$G29-W29</f>
        <v/>
      </c>
      <c r="Y29" s="44">
        <f>X29/V29</f>
        <v/>
      </c>
      <c r="Z29" s="90">
        <f>V29*$D$6</f>
        <v/>
      </c>
      <c r="AA29" s="90">
        <f>$G29/(1-$D$4-$AA$9)</f>
        <v/>
      </c>
      <c r="AB29" s="91">
        <f>AA29*$D$4</f>
        <v/>
      </c>
      <c r="AC29" s="92">
        <f>AA29-$G29-AB29</f>
        <v/>
      </c>
      <c r="AD29" s="44">
        <f>AC29/AA29</f>
        <v/>
      </c>
      <c r="AE29" s="90">
        <f>AA29*$D$6</f>
        <v/>
      </c>
      <c r="AF29" s="90">
        <f>$G29/(1-$D$4-$AF$9)</f>
        <v/>
      </c>
      <c r="AG29" s="91">
        <f>AF29*$D$4</f>
        <v/>
      </c>
      <c r="AH29" s="92">
        <f>AF29-$G29-AG29</f>
        <v/>
      </c>
      <c r="AI29" s="44">
        <f>AH29/AF29</f>
        <v/>
      </c>
      <c r="AJ29" s="90">
        <f>AF29*$D$6</f>
        <v/>
      </c>
    </row>
    <row r="30" ht="42" customHeight="1" s="55">
      <c r="A30" s="7" t="n">
        <v>20</v>
      </c>
      <c r="B30" s="45" t="inlineStr">
        <is>
          <t>HanJin / ZEK (Китай)</t>
        </is>
      </c>
      <c r="C30" s="45" t="inlineStr">
        <is>
          <t>HanJin — ZEK 50 г</t>
        </is>
      </c>
      <c r="D30" s="45" t="inlineStr">
        <is>
          <t>ZEK — Tempura Seaweed Mala · 50 г</t>
        </is>
      </c>
      <c r="E30" s="7" t="n">
        <v>50</v>
      </c>
      <c r="F30" s="81">
        <f>IF($D$2="Найдешевший",MIN(СС_база!$E23:$H23),INDEX(СС_база!$E23:$H23,1,MATCH($D$2,СС_база!$E$3:$H$3,0)))</f>
        <v/>
      </c>
      <c r="G30" s="82">
        <f>IF(AND(ISNUMBER(F30),ISNUMBER($D$8)),F30*$D$3,NA())</f>
        <v/>
      </c>
      <c r="H30" s="83">
        <f>G30/$D$8</f>
        <v/>
      </c>
      <c r="I30" s="84">
        <f>H30*$D$4</f>
        <v/>
      </c>
      <c r="J30" s="85">
        <f>H30-G30-I30</f>
        <v/>
      </c>
      <c r="K30" s="13">
        <f>J30/H30</f>
        <v/>
      </c>
      <c r="L30" s="86">
        <f>H30*$D$6</f>
        <v/>
      </c>
      <c r="M30" s="87">
        <f>G30/(1-$D$4)</f>
        <v/>
      </c>
      <c r="N30" s="87">
        <f>M30*$D$6</f>
        <v/>
      </c>
      <c r="O30" s="88">
        <f>H30-G30</f>
        <v/>
      </c>
      <c r="P30" s="89">
        <f>O30-I30</f>
        <v/>
      </c>
      <c r="Q30" s="90">
        <f>$G30/(1-$D$4-$Q$9)</f>
        <v/>
      </c>
      <c r="R30" s="91">
        <f>Q30*$D$4</f>
        <v/>
      </c>
      <c r="S30" s="92">
        <f>Q30-$G30-R30</f>
        <v/>
      </c>
      <c r="T30" s="44">
        <f>S30/Q30</f>
        <v/>
      </c>
      <c r="U30" s="90">
        <f>Q30*$D$6</f>
        <v/>
      </c>
      <c r="V30" s="90">
        <f>$G30/(1-$D$4-$V$9)</f>
        <v/>
      </c>
      <c r="W30" s="91">
        <f>V30*$D$4</f>
        <v/>
      </c>
      <c r="X30" s="92">
        <f>V30-$G30-W30</f>
        <v/>
      </c>
      <c r="Y30" s="44">
        <f>X30/V30</f>
        <v/>
      </c>
      <c r="Z30" s="90">
        <f>V30*$D$6</f>
        <v/>
      </c>
      <c r="AA30" s="90">
        <f>$G30/(1-$D$4-$AA$9)</f>
        <v/>
      </c>
      <c r="AB30" s="91">
        <f>AA30*$D$4</f>
        <v/>
      </c>
      <c r="AC30" s="92">
        <f>AA30-$G30-AB30</f>
        <v/>
      </c>
      <c r="AD30" s="44">
        <f>AC30/AA30</f>
        <v/>
      </c>
      <c r="AE30" s="90">
        <f>AA30*$D$6</f>
        <v/>
      </c>
      <c r="AF30" s="90">
        <f>$G30/(1-$D$4-$AF$9)</f>
        <v/>
      </c>
      <c r="AG30" s="91">
        <f>AF30*$D$4</f>
        <v/>
      </c>
      <c r="AH30" s="92">
        <f>AF30-$G30-AG30</f>
        <v/>
      </c>
      <c r="AI30" s="44">
        <f>AH30/AF30</f>
        <v/>
      </c>
      <c r="AJ30" s="90">
        <f>AF30*$D$6</f>
        <v/>
      </c>
    </row>
    <row r="31" ht="42" customHeight="1" s="55">
      <c r="A31" s="7" t="n">
        <v>21</v>
      </c>
      <c r="B31" s="45" t="inlineStr">
        <is>
          <t>HanJin / ZEK (Китай)</t>
        </is>
      </c>
      <c r="C31" s="45" t="inlineStr">
        <is>
          <t>HanJin — ZEK 25 г</t>
        </is>
      </c>
      <c r="D31" s="45" t="inlineStr">
        <is>
          <t>ZEK — Sandwich Seaweed Meat Floss</t>
        </is>
      </c>
      <c r="E31" s="7" t="n">
        <v>25</v>
      </c>
      <c r="F31" s="81">
        <f>IF($D$2="Найдешевший",MIN(СС_база!$E24:$H24),INDEX(СС_база!$E24:$H24,1,MATCH($D$2,СС_база!$E$3:$H$3,0)))</f>
        <v/>
      </c>
      <c r="G31" s="82">
        <f>IF(AND(ISNUMBER(F31),ISNUMBER($D$8)),F31*$D$3,NA())</f>
        <v/>
      </c>
      <c r="H31" s="83">
        <f>G31/$D$8</f>
        <v/>
      </c>
      <c r="I31" s="84">
        <f>H31*$D$4</f>
        <v/>
      </c>
      <c r="J31" s="85">
        <f>H31-G31-I31</f>
        <v/>
      </c>
      <c r="K31" s="13">
        <f>J31/H31</f>
        <v/>
      </c>
      <c r="L31" s="86">
        <f>H31*$D$6</f>
        <v/>
      </c>
      <c r="M31" s="87">
        <f>G31/(1-$D$4)</f>
        <v/>
      </c>
      <c r="N31" s="87">
        <f>M31*$D$6</f>
        <v/>
      </c>
      <c r="O31" s="88">
        <f>H31-G31</f>
        <v/>
      </c>
      <c r="P31" s="89">
        <f>O31-I31</f>
        <v/>
      </c>
      <c r="Q31" s="90">
        <f>$G31/(1-$D$4-$Q$9)</f>
        <v/>
      </c>
      <c r="R31" s="91">
        <f>Q31*$D$4</f>
        <v/>
      </c>
      <c r="S31" s="92">
        <f>Q31-$G31-R31</f>
        <v/>
      </c>
      <c r="T31" s="44">
        <f>S31/Q31</f>
        <v/>
      </c>
      <c r="U31" s="90">
        <f>Q31*$D$6</f>
        <v/>
      </c>
      <c r="V31" s="90">
        <f>$G31/(1-$D$4-$V$9)</f>
        <v/>
      </c>
      <c r="W31" s="91">
        <f>V31*$D$4</f>
        <v/>
      </c>
      <c r="X31" s="92">
        <f>V31-$G31-W31</f>
        <v/>
      </c>
      <c r="Y31" s="44">
        <f>X31/V31</f>
        <v/>
      </c>
      <c r="Z31" s="90">
        <f>V31*$D$6</f>
        <v/>
      </c>
      <c r="AA31" s="90">
        <f>$G31/(1-$D$4-$AA$9)</f>
        <v/>
      </c>
      <c r="AB31" s="91">
        <f>AA31*$D$4</f>
        <v/>
      </c>
      <c r="AC31" s="92">
        <f>AA31-$G31-AB31</f>
        <v/>
      </c>
      <c r="AD31" s="44">
        <f>AC31/AA31</f>
        <v/>
      </c>
      <c r="AE31" s="90">
        <f>AA31*$D$6</f>
        <v/>
      </c>
      <c r="AF31" s="90">
        <f>$G31/(1-$D$4-$AF$9)</f>
        <v/>
      </c>
      <c r="AG31" s="91">
        <f>AF31*$D$4</f>
        <v/>
      </c>
      <c r="AH31" s="92">
        <f>AF31-$G31-AG31</f>
        <v/>
      </c>
      <c r="AI31" s="44">
        <f>AH31/AF31</f>
        <v/>
      </c>
      <c r="AJ31" s="90">
        <f>AF31*$D$6</f>
        <v/>
      </c>
    </row>
    <row r="32" ht="42" customHeight="1" s="55">
      <c r="A32" s="7" t="n">
        <v>22</v>
      </c>
      <c r="B32" s="45" t="inlineStr">
        <is>
          <t>HanJin / ZEK (Китай)</t>
        </is>
      </c>
      <c r="C32" s="45" t="inlineStr">
        <is>
          <t>HanJin — ZEK 25 г</t>
        </is>
      </c>
      <c r="D32" s="45" t="inlineStr">
        <is>
          <t>ZEK — Sandwich Seaweed Sesame</t>
        </is>
      </c>
      <c r="E32" s="7" t="n">
        <v>25</v>
      </c>
      <c r="F32" s="81">
        <f>IF($D$2="Найдешевший",MIN(СС_база!$E25:$H25),INDEX(СС_база!$E25:$H25,1,MATCH($D$2,СС_база!$E$3:$H$3,0)))</f>
        <v/>
      </c>
      <c r="G32" s="82">
        <f>IF(AND(ISNUMBER(F32),ISNUMBER($D$8)),F32*$D$3,NA())</f>
        <v/>
      </c>
      <c r="H32" s="83">
        <f>G32/$D$8</f>
        <v/>
      </c>
      <c r="I32" s="84">
        <f>H32*$D$4</f>
        <v/>
      </c>
      <c r="J32" s="85">
        <f>H32-G32-I32</f>
        <v/>
      </c>
      <c r="K32" s="13">
        <f>J32/H32</f>
        <v/>
      </c>
      <c r="L32" s="86">
        <f>H32*$D$6</f>
        <v/>
      </c>
      <c r="M32" s="87">
        <f>G32/(1-$D$4)</f>
        <v/>
      </c>
      <c r="N32" s="87">
        <f>M32*$D$6</f>
        <v/>
      </c>
      <c r="O32" s="88">
        <f>H32-G32</f>
        <v/>
      </c>
      <c r="P32" s="89">
        <f>O32-I32</f>
        <v/>
      </c>
      <c r="Q32" s="90">
        <f>$G32/(1-$D$4-$Q$9)</f>
        <v/>
      </c>
      <c r="R32" s="91">
        <f>Q32*$D$4</f>
        <v/>
      </c>
      <c r="S32" s="92">
        <f>Q32-$G32-R32</f>
        <v/>
      </c>
      <c r="T32" s="44">
        <f>S32/Q32</f>
        <v/>
      </c>
      <c r="U32" s="90">
        <f>Q32*$D$6</f>
        <v/>
      </c>
      <c r="V32" s="90">
        <f>$G32/(1-$D$4-$V$9)</f>
        <v/>
      </c>
      <c r="W32" s="91">
        <f>V32*$D$4</f>
        <v/>
      </c>
      <c r="X32" s="92">
        <f>V32-$G32-W32</f>
        <v/>
      </c>
      <c r="Y32" s="44">
        <f>X32/V32</f>
        <v/>
      </c>
      <c r="Z32" s="90">
        <f>V32*$D$6</f>
        <v/>
      </c>
      <c r="AA32" s="90">
        <f>$G32/(1-$D$4-$AA$9)</f>
        <v/>
      </c>
      <c r="AB32" s="91">
        <f>AA32*$D$4</f>
        <v/>
      </c>
      <c r="AC32" s="92">
        <f>AA32-$G32-AB32</f>
        <v/>
      </c>
      <c r="AD32" s="44">
        <f>AC32/AA32</f>
        <v/>
      </c>
      <c r="AE32" s="90">
        <f>AA32*$D$6</f>
        <v/>
      </c>
      <c r="AF32" s="90">
        <f>$G32/(1-$D$4-$AF$9)</f>
        <v/>
      </c>
      <c r="AG32" s="91">
        <f>AF32*$D$4</f>
        <v/>
      </c>
      <c r="AH32" s="92">
        <f>AF32-$G32-AG32</f>
        <v/>
      </c>
      <c r="AI32" s="44">
        <f>AH32/AF32</f>
        <v/>
      </c>
      <c r="AJ32" s="90">
        <f>AF32*$D$6</f>
        <v/>
      </c>
    </row>
    <row r="33" ht="42" customHeight="1" s="55">
      <c r="A33" s="7" t="n">
        <v>23</v>
      </c>
      <c r="B33" s="45" t="inlineStr">
        <is>
          <t>HanJin / ZEK (Китай)</t>
        </is>
      </c>
      <c r="C33" s="45" t="inlineStr">
        <is>
          <t>HanJin — ZEK 35 г</t>
        </is>
      </c>
      <c r="D33" s="45" t="inlineStr">
        <is>
          <t>ZEK — Seaweed Topping Chicken Floss</t>
        </is>
      </c>
      <c r="E33" s="7" t="n">
        <v>35</v>
      </c>
      <c r="F33" s="81">
        <f>IF($D$2="Найдешевший",MIN(СС_база!$E26:$H26),INDEX(СС_база!$E26:$H26,1,MATCH($D$2,СС_база!$E$3:$H$3,0)))</f>
        <v/>
      </c>
      <c r="G33" s="82">
        <f>IF(AND(ISNUMBER(F33),ISNUMBER($D$8)),F33*$D$3,NA())</f>
        <v/>
      </c>
      <c r="H33" s="83">
        <f>G33/$D$8</f>
        <v/>
      </c>
      <c r="I33" s="84">
        <f>H33*$D$4</f>
        <v/>
      </c>
      <c r="J33" s="85">
        <f>H33-G33-I33</f>
        <v/>
      </c>
      <c r="K33" s="13">
        <f>J33/H33</f>
        <v/>
      </c>
      <c r="L33" s="86">
        <f>H33*$D$6</f>
        <v/>
      </c>
      <c r="M33" s="87">
        <f>G33/(1-$D$4)</f>
        <v/>
      </c>
      <c r="N33" s="87">
        <f>M33*$D$6</f>
        <v/>
      </c>
      <c r="O33" s="88">
        <f>H33-G33</f>
        <v/>
      </c>
      <c r="P33" s="89">
        <f>O33-I33</f>
        <v/>
      </c>
      <c r="Q33" s="90">
        <f>$G33/(1-$D$4-$Q$9)</f>
        <v/>
      </c>
      <c r="R33" s="91">
        <f>Q33*$D$4</f>
        <v/>
      </c>
      <c r="S33" s="92">
        <f>Q33-$G33-R33</f>
        <v/>
      </c>
      <c r="T33" s="44">
        <f>S33/Q33</f>
        <v/>
      </c>
      <c r="U33" s="90">
        <f>Q33*$D$6</f>
        <v/>
      </c>
      <c r="V33" s="90">
        <f>$G33/(1-$D$4-$V$9)</f>
        <v/>
      </c>
      <c r="W33" s="91">
        <f>V33*$D$4</f>
        <v/>
      </c>
      <c r="X33" s="92">
        <f>V33-$G33-W33</f>
        <v/>
      </c>
      <c r="Y33" s="44">
        <f>X33/V33</f>
        <v/>
      </c>
      <c r="Z33" s="90">
        <f>V33*$D$6</f>
        <v/>
      </c>
      <c r="AA33" s="90">
        <f>$G33/(1-$D$4-$AA$9)</f>
        <v/>
      </c>
      <c r="AB33" s="91">
        <f>AA33*$D$4</f>
        <v/>
      </c>
      <c r="AC33" s="92">
        <f>AA33-$G33-AB33</f>
        <v/>
      </c>
      <c r="AD33" s="44">
        <f>AC33/AA33</f>
        <v/>
      </c>
      <c r="AE33" s="90">
        <f>AA33*$D$6</f>
        <v/>
      </c>
      <c r="AF33" s="90">
        <f>$G33/(1-$D$4-$AF$9)</f>
        <v/>
      </c>
      <c r="AG33" s="91">
        <f>AF33*$D$4</f>
        <v/>
      </c>
      <c r="AH33" s="92">
        <f>AF33-$G33-AG33</f>
        <v/>
      </c>
      <c r="AI33" s="44">
        <f>AH33/AF33</f>
        <v/>
      </c>
      <c r="AJ33" s="90">
        <f>AF33*$D$6</f>
        <v/>
      </c>
    </row>
    <row r="34" ht="42" customHeight="1" s="55">
      <c r="A34" s="7" t="n">
        <v>24</v>
      </c>
      <c r="B34" s="45" t="inlineStr">
        <is>
          <t>HanJin / ZEK (Китай)</t>
        </is>
      </c>
      <c r="C34" s="45" t="inlineStr">
        <is>
          <t>HanJin — ZEK 35 г</t>
        </is>
      </c>
      <c r="D34" s="45" t="inlineStr">
        <is>
          <t>ZEK — Seaweed Topping Vegetables</t>
        </is>
      </c>
      <c r="E34" s="7" t="n">
        <v>35</v>
      </c>
      <c r="F34" s="81">
        <f>IF($D$2="Найдешевший",MIN(СС_база!$E27:$H27),INDEX(СС_база!$E27:$H27,1,MATCH($D$2,СС_база!$E$3:$H$3,0)))</f>
        <v/>
      </c>
      <c r="G34" s="82">
        <f>IF(AND(ISNUMBER(F34),ISNUMBER($D$8)),F34*$D$3,NA())</f>
        <v/>
      </c>
      <c r="H34" s="83">
        <f>G34/$D$8</f>
        <v/>
      </c>
      <c r="I34" s="84">
        <f>H34*$D$4</f>
        <v/>
      </c>
      <c r="J34" s="85">
        <f>H34-G34-I34</f>
        <v/>
      </c>
      <c r="K34" s="13">
        <f>J34/H34</f>
        <v/>
      </c>
      <c r="L34" s="86">
        <f>H34*$D$6</f>
        <v/>
      </c>
      <c r="M34" s="87">
        <f>G34/(1-$D$4)</f>
        <v/>
      </c>
      <c r="N34" s="87">
        <f>M34*$D$6</f>
        <v/>
      </c>
      <c r="O34" s="88">
        <f>H34-G34</f>
        <v/>
      </c>
      <c r="P34" s="89">
        <f>O34-I34</f>
        <v/>
      </c>
      <c r="Q34" s="90">
        <f>$G34/(1-$D$4-$Q$9)</f>
        <v/>
      </c>
      <c r="R34" s="91">
        <f>Q34*$D$4</f>
        <v/>
      </c>
      <c r="S34" s="92">
        <f>Q34-$G34-R34</f>
        <v/>
      </c>
      <c r="T34" s="44">
        <f>S34/Q34</f>
        <v/>
      </c>
      <c r="U34" s="90">
        <f>Q34*$D$6</f>
        <v/>
      </c>
      <c r="V34" s="90">
        <f>$G34/(1-$D$4-$V$9)</f>
        <v/>
      </c>
      <c r="W34" s="91">
        <f>V34*$D$4</f>
        <v/>
      </c>
      <c r="X34" s="92">
        <f>V34-$G34-W34</f>
        <v/>
      </c>
      <c r="Y34" s="44">
        <f>X34/V34</f>
        <v/>
      </c>
      <c r="Z34" s="90">
        <f>V34*$D$6</f>
        <v/>
      </c>
      <c r="AA34" s="90">
        <f>$G34/(1-$D$4-$AA$9)</f>
        <v/>
      </c>
      <c r="AB34" s="91">
        <f>AA34*$D$4</f>
        <v/>
      </c>
      <c r="AC34" s="92">
        <f>AA34-$G34-AB34</f>
        <v/>
      </c>
      <c r="AD34" s="44">
        <f>AC34/AA34</f>
        <v/>
      </c>
      <c r="AE34" s="90">
        <f>AA34*$D$6</f>
        <v/>
      </c>
      <c r="AF34" s="90">
        <f>$G34/(1-$D$4-$AF$9)</f>
        <v/>
      </c>
      <c r="AG34" s="91">
        <f>AF34*$D$4</f>
        <v/>
      </c>
      <c r="AH34" s="92">
        <f>AF34-$G34-AG34</f>
        <v/>
      </c>
      <c r="AI34" s="44">
        <f>AH34/AF34</f>
        <v/>
      </c>
      <c r="AJ34" s="90">
        <f>AF34*$D$6</f>
        <v/>
      </c>
    </row>
    <row r="35" ht="42" customHeight="1" s="55">
      <c r="A35" s="7" t="n">
        <v>25</v>
      </c>
      <c r="B35" s="45" t="inlineStr">
        <is>
          <t>HanJin / ZEK (Китай)</t>
        </is>
      </c>
      <c r="C35" s="45" t="inlineStr">
        <is>
          <t>HanJin — ZEK 35 г</t>
        </is>
      </c>
      <c r="D35" s="45" t="inlineStr">
        <is>
          <t>ZEK — Seaweed Topping Sesame</t>
        </is>
      </c>
      <c r="E35" s="7" t="n">
        <v>35</v>
      </c>
      <c r="F35" s="81">
        <f>IF($D$2="Найдешевший",MIN(СС_база!$E28:$H28),INDEX(СС_база!$E28:$H28,1,MATCH($D$2,СС_база!$E$3:$H$3,0)))</f>
        <v/>
      </c>
      <c r="G35" s="82">
        <f>IF(AND(ISNUMBER(F35),ISNUMBER($D$8)),F35*$D$3,NA())</f>
        <v/>
      </c>
      <c r="H35" s="83">
        <f>G35/$D$8</f>
        <v/>
      </c>
      <c r="I35" s="84">
        <f>H35*$D$4</f>
        <v/>
      </c>
      <c r="J35" s="85">
        <f>H35-G35-I35</f>
        <v/>
      </c>
      <c r="K35" s="13">
        <f>J35/H35</f>
        <v/>
      </c>
      <c r="L35" s="86">
        <f>H35*$D$6</f>
        <v/>
      </c>
      <c r="M35" s="87">
        <f>G35/(1-$D$4)</f>
        <v/>
      </c>
      <c r="N35" s="87">
        <f>M35*$D$6</f>
        <v/>
      </c>
      <c r="O35" s="88">
        <f>H35-G35</f>
        <v/>
      </c>
      <c r="P35" s="89">
        <f>O35-I35</f>
        <v/>
      </c>
      <c r="Q35" s="90">
        <f>$G35/(1-$D$4-$Q$9)</f>
        <v/>
      </c>
      <c r="R35" s="91">
        <f>Q35*$D$4</f>
        <v/>
      </c>
      <c r="S35" s="92">
        <f>Q35-$G35-R35</f>
        <v/>
      </c>
      <c r="T35" s="44">
        <f>S35/Q35</f>
        <v/>
      </c>
      <c r="U35" s="90">
        <f>Q35*$D$6</f>
        <v/>
      </c>
      <c r="V35" s="90">
        <f>$G35/(1-$D$4-$V$9)</f>
        <v/>
      </c>
      <c r="W35" s="91">
        <f>V35*$D$4</f>
        <v/>
      </c>
      <c r="X35" s="92">
        <f>V35-$G35-W35</f>
        <v/>
      </c>
      <c r="Y35" s="44">
        <f>X35/V35</f>
        <v/>
      </c>
      <c r="Z35" s="90">
        <f>V35*$D$6</f>
        <v/>
      </c>
      <c r="AA35" s="90">
        <f>$G35/(1-$D$4-$AA$9)</f>
        <v/>
      </c>
      <c r="AB35" s="91">
        <f>AA35*$D$4</f>
        <v/>
      </c>
      <c r="AC35" s="92">
        <f>AA35-$G35-AB35</f>
        <v/>
      </c>
      <c r="AD35" s="44">
        <f>AC35/AA35</f>
        <v/>
      </c>
      <c r="AE35" s="90">
        <f>AA35*$D$6</f>
        <v/>
      </c>
      <c r="AF35" s="90">
        <f>$G35/(1-$D$4-$AF$9)</f>
        <v/>
      </c>
      <c r="AG35" s="91">
        <f>AF35*$D$4</f>
        <v/>
      </c>
      <c r="AH35" s="92">
        <f>AF35-$G35-AG35</f>
        <v/>
      </c>
      <c r="AI35" s="44">
        <f>AH35/AF35</f>
        <v/>
      </c>
      <c r="AJ35" s="90">
        <f>AF35*$D$6</f>
        <v/>
      </c>
    </row>
    <row r="36" ht="42" customHeight="1" s="55">
      <c r="A36" s="7" t="n">
        <v>26</v>
      </c>
      <c r="B36" s="45" t="inlineStr">
        <is>
          <t>HanJin / ZEK (Китай)</t>
        </is>
      </c>
      <c r="C36" s="45" t="inlineStr">
        <is>
          <t>HanJin — ZEK 70 г</t>
        </is>
      </c>
      <c r="D36" s="45" t="inlineStr">
        <is>
          <t>ZEK — Seaweed Topping Vegetables · 70 г</t>
        </is>
      </c>
      <c r="E36" s="7" t="n">
        <v>70</v>
      </c>
      <c r="F36" s="81">
        <f>IF($D$2="Найдешевший",MIN(СС_база!$E29:$H29),INDEX(СС_база!$E29:$H29,1,MATCH($D$2,СС_база!$E$3:$H$3,0)))</f>
        <v/>
      </c>
      <c r="G36" s="82">
        <f>IF(AND(ISNUMBER(F36),ISNUMBER($D$8)),F36*$D$3,NA())</f>
        <v/>
      </c>
      <c r="H36" s="83">
        <f>G36/$D$8</f>
        <v/>
      </c>
      <c r="I36" s="84">
        <f>H36*$D$4</f>
        <v/>
      </c>
      <c r="J36" s="85">
        <f>H36-G36-I36</f>
        <v/>
      </c>
      <c r="K36" s="13">
        <f>J36/H36</f>
        <v/>
      </c>
      <c r="L36" s="86">
        <f>H36*$D$6</f>
        <v/>
      </c>
      <c r="M36" s="87">
        <f>G36/(1-$D$4)</f>
        <v/>
      </c>
      <c r="N36" s="87">
        <f>M36*$D$6</f>
        <v/>
      </c>
      <c r="O36" s="88">
        <f>H36-G36</f>
        <v/>
      </c>
      <c r="P36" s="89">
        <f>O36-I36</f>
        <v/>
      </c>
      <c r="Q36" s="90">
        <f>$G36/(1-$D$4-$Q$9)</f>
        <v/>
      </c>
      <c r="R36" s="91">
        <f>Q36*$D$4</f>
        <v/>
      </c>
      <c r="S36" s="92">
        <f>Q36-$G36-R36</f>
        <v/>
      </c>
      <c r="T36" s="44">
        <f>S36/Q36</f>
        <v/>
      </c>
      <c r="U36" s="90">
        <f>Q36*$D$6</f>
        <v/>
      </c>
      <c r="V36" s="90">
        <f>$G36/(1-$D$4-$V$9)</f>
        <v/>
      </c>
      <c r="W36" s="91">
        <f>V36*$D$4</f>
        <v/>
      </c>
      <c r="X36" s="92">
        <f>V36-$G36-W36</f>
        <v/>
      </c>
      <c r="Y36" s="44">
        <f>X36/V36</f>
        <v/>
      </c>
      <c r="Z36" s="90">
        <f>V36*$D$6</f>
        <v/>
      </c>
      <c r="AA36" s="90">
        <f>$G36/(1-$D$4-$AA$9)</f>
        <v/>
      </c>
      <c r="AB36" s="91">
        <f>AA36*$D$4</f>
        <v/>
      </c>
      <c r="AC36" s="92">
        <f>AA36-$G36-AB36</f>
        <v/>
      </c>
      <c r="AD36" s="44">
        <f>AC36/AA36</f>
        <v/>
      </c>
      <c r="AE36" s="90">
        <f>AA36*$D$6</f>
        <v/>
      </c>
      <c r="AF36" s="90">
        <f>$G36/(1-$D$4-$AF$9)</f>
        <v/>
      </c>
      <c r="AG36" s="91">
        <f>AF36*$D$4</f>
        <v/>
      </c>
      <c r="AH36" s="92">
        <f>AF36-$G36-AG36</f>
        <v/>
      </c>
      <c r="AI36" s="44">
        <f>AH36/AF36</f>
        <v/>
      </c>
      <c r="AJ36" s="90">
        <f>AF36*$D$6</f>
        <v/>
      </c>
    </row>
    <row r="37" ht="42" customHeight="1" s="55">
      <c r="A37" s="7" t="n">
        <v>27</v>
      </c>
      <c r="B37" s="45" t="inlineStr">
        <is>
          <t>HanJin / ZEK (Китай)</t>
        </is>
      </c>
      <c r="C37" s="45" t="inlineStr">
        <is>
          <t>HanJin — ZEK 70 г</t>
        </is>
      </c>
      <c r="D37" s="45" t="inlineStr">
        <is>
          <t>ZEK — Seaweed Topping Sesame · 70 г</t>
        </is>
      </c>
      <c r="E37" s="7" t="n">
        <v>70</v>
      </c>
      <c r="F37" s="81">
        <f>IF($D$2="Найдешевший",MIN(СС_база!$E30:$H30),INDEX(СС_база!$E30:$H30,1,MATCH($D$2,СС_база!$E$3:$H$3,0)))</f>
        <v/>
      </c>
      <c r="G37" s="82">
        <f>IF(AND(ISNUMBER(F37),ISNUMBER($D$8)),F37*$D$3,NA())</f>
        <v/>
      </c>
      <c r="H37" s="83">
        <f>G37/$D$8</f>
        <v/>
      </c>
      <c r="I37" s="84">
        <f>H37*$D$4</f>
        <v/>
      </c>
      <c r="J37" s="85">
        <f>H37-G37-I37</f>
        <v/>
      </c>
      <c r="K37" s="13">
        <f>J37/H37</f>
        <v/>
      </c>
      <c r="L37" s="86">
        <f>H37*$D$6</f>
        <v/>
      </c>
      <c r="M37" s="87">
        <f>G37/(1-$D$4)</f>
        <v/>
      </c>
      <c r="N37" s="87">
        <f>M37*$D$6</f>
        <v/>
      </c>
      <c r="O37" s="88">
        <f>H37-G37</f>
        <v/>
      </c>
      <c r="P37" s="89">
        <f>O37-I37</f>
        <v/>
      </c>
      <c r="Q37" s="90">
        <f>$G37/(1-$D$4-$Q$9)</f>
        <v/>
      </c>
      <c r="R37" s="91">
        <f>Q37*$D$4</f>
        <v/>
      </c>
      <c r="S37" s="92">
        <f>Q37-$G37-R37</f>
        <v/>
      </c>
      <c r="T37" s="44">
        <f>S37/Q37</f>
        <v/>
      </c>
      <c r="U37" s="90">
        <f>Q37*$D$6</f>
        <v/>
      </c>
      <c r="V37" s="90">
        <f>$G37/(1-$D$4-$V$9)</f>
        <v/>
      </c>
      <c r="W37" s="91">
        <f>V37*$D$4</f>
        <v/>
      </c>
      <c r="X37" s="92">
        <f>V37-$G37-W37</f>
        <v/>
      </c>
      <c r="Y37" s="44">
        <f>X37/V37</f>
        <v/>
      </c>
      <c r="Z37" s="90">
        <f>V37*$D$6</f>
        <v/>
      </c>
      <c r="AA37" s="90">
        <f>$G37/(1-$D$4-$AA$9)</f>
        <v/>
      </c>
      <c r="AB37" s="91">
        <f>AA37*$D$4</f>
        <v/>
      </c>
      <c r="AC37" s="92">
        <f>AA37-$G37-AB37</f>
        <v/>
      </c>
      <c r="AD37" s="44">
        <f>AC37/AA37</f>
        <v/>
      </c>
      <c r="AE37" s="90">
        <f>AA37*$D$6</f>
        <v/>
      </c>
      <c r="AF37" s="90">
        <f>$G37/(1-$D$4-$AF$9)</f>
        <v/>
      </c>
      <c r="AG37" s="91">
        <f>AF37*$D$4</f>
        <v/>
      </c>
      <c r="AH37" s="92">
        <f>AF37-$G37-AG37</f>
        <v/>
      </c>
      <c r="AI37" s="44">
        <f>AH37/AF37</f>
        <v/>
      </c>
      <c r="AJ37" s="90">
        <f>AF37*$D$6</f>
        <v/>
      </c>
    </row>
    <row r="38" ht="42" customHeight="1" s="55">
      <c r="A38" s="7" t="n">
        <v>28</v>
      </c>
      <c r="B38" s="45" t="inlineStr">
        <is>
          <t>HanJin / ZEK (Китай)</t>
        </is>
      </c>
      <c r="C38" s="45" t="inlineStr">
        <is>
          <t>HanJin — ZEK 70 г</t>
        </is>
      </c>
      <c r="D38" s="45" t="inlineStr">
        <is>
          <t>ZEK — Seaweed Topping Chicken · 70 г</t>
        </is>
      </c>
      <c r="E38" s="7" t="n">
        <v>70</v>
      </c>
      <c r="F38" s="81">
        <f>IF($D$2="Найдешевший",MIN(СС_база!$E31:$H31),INDEX(СС_база!$E31:$H31,1,MATCH($D$2,СС_база!$E$3:$H$3,0)))</f>
        <v/>
      </c>
      <c r="G38" s="82">
        <f>IF(AND(ISNUMBER(F38),ISNUMBER($D$8)),F38*$D$3,NA())</f>
        <v/>
      </c>
      <c r="H38" s="83">
        <f>G38/$D$8</f>
        <v/>
      </c>
      <c r="I38" s="84">
        <f>H38*$D$4</f>
        <v/>
      </c>
      <c r="J38" s="85">
        <f>H38-G38-I38</f>
        <v/>
      </c>
      <c r="K38" s="13">
        <f>J38/H38</f>
        <v/>
      </c>
      <c r="L38" s="86">
        <f>H38*$D$6</f>
        <v/>
      </c>
      <c r="M38" s="87">
        <f>G38/(1-$D$4)</f>
        <v/>
      </c>
      <c r="N38" s="87">
        <f>M38*$D$6</f>
        <v/>
      </c>
      <c r="O38" s="88">
        <f>H38-G38</f>
        <v/>
      </c>
      <c r="P38" s="89">
        <f>O38-I38</f>
        <v/>
      </c>
      <c r="Q38" s="90">
        <f>$G38/(1-$D$4-$Q$9)</f>
        <v/>
      </c>
      <c r="R38" s="91">
        <f>Q38*$D$4</f>
        <v/>
      </c>
      <c r="S38" s="92">
        <f>Q38-$G38-R38</f>
        <v/>
      </c>
      <c r="T38" s="44">
        <f>S38/Q38</f>
        <v/>
      </c>
      <c r="U38" s="90">
        <f>Q38*$D$6</f>
        <v/>
      </c>
      <c r="V38" s="90">
        <f>$G38/(1-$D$4-$V$9)</f>
        <v/>
      </c>
      <c r="W38" s="91">
        <f>V38*$D$4</f>
        <v/>
      </c>
      <c r="X38" s="92">
        <f>V38-$G38-W38</f>
        <v/>
      </c>
      <c r="Y38" s="44">
        <f>X38/V38</f>
        <v/>
      </c>
      <c r="Z38" s="90">
        <f>V38*$D$6</f>
        <v/>
      </c>
      <c r="AA38" s="90">
        <f>$G38/(1-$D$4-$AA$9)</f>
        <v/>
      </c>
      <c r="AB38" s="91">
        <f>AA38*$D$4</f>
        <v/>
      </c>
      <c r="AC38" s="92">
        <f>AA38-$G38-AB38</f>
        <v/>
      </c>
      <c r="AD38" s="44">
        <f>AC38/AA38</f>
        <v/>
      </c>
      <c r="AE38" s="90">
        <f>AA38*$D$6</f>
        <v/>
      </c>
      <c r="AF38" s="90">
        <f>$G38/(1-$D$4-$AF$9)</f>
        <v/>
      </c>
      <c r="AG38" s="91">
        <f>AF38*$D$4</f>
        <v/>
      </c>
      <c r="AH38" s="92">
        <f>AF38-$G38-AG38</f>
        <v/>
      </c>
      <c r="AI38" s="44">
        <f>AH38/AF38</f>
        <v/>
      </c>
      <c r="AJ38" s="90">
        <f>AF38*$D$6</f>
        <v/>
      </c>
    </row>
    <row r="39" ht="42" customHeight="1" s="55"/>
    <row r="40" ht="42" customHeight="1" s="55"/>
    <row r="41" ht="42" customHeight="1" s="55"/>
    <row r="42" ht="42" customHeight="1" s="55"/>
    <row r="43" ht="42" customHeight="1" s="55"/>
    <row r="44" ht="42" customHeight="1" s="55"/>
    <row r="45" ht="42" customHeight="1" s="55"/>
    <row r="46" ht="42" customHeight="1" s="55"/>
  </sheetData>
  <autoFilter ref="A10:AJ38"/>
  <mergeCells count="34">
    <mergeCell ref="L2:M2"/>
    <mergeCell ref="L7:M7"/>
    <mergeCell ref="B7:C7"/>
    <mergeCell ref="B3:C3"/>
    <mergeCell ref="M9:N9"/>
    <mergeCell ref="O9:P9"/>
    <mergeCell ref="E7:K7"/>
    <mergeCell ref="L3:M3"/>
    <mergeCell ref="AA9:AE9"/>
    <mergeCell ref="B2:C2"/>
    <mergeCell ref="N3:O3"/>
    <mergeCell ref="E3:K3"/>
    <mergeCell ref="N2:O2"/>
    <mergeCell ref="L5:M5"/>
    <mergeCell ref="N5:O5"/>
    <mergeCell ref="B8:C8"/>
    <mergeCell ref="AF9:AJ9"/>
    <mergeCell ref="V9:Z9"/>
    <mergeCell ref="E5:K5"/>
    <mergeCell ref="E8:K8"/>
    <mergeCell ref="L4:M4"/>
    <mergeCell ref="H9:K9"/>
    <mergeCell ref="E4:K4"/>
    <mergeCell ref="Q9:U9"/>
    <mergeCell ref="F9:G9"/>
    <mergeCell ref="A9:E9"/>
    <mergeCell ref="B6:C6"/>
    <mergeCell ref="B1:K1"/>
    <mergeCell ref="L6:M6"/>
    <mergeCell ref="B5:C5"/>
    <mergeCell ref="E6:K6"/>
    <mergeCell ref="E2:K2"/>
    <mergeCell ref="B4:C4"/>
    <mergeCell ref="N4:O4"/>
  </mergeCells>
  <dataValidations count="1">
    <dataValidation sqref="D2" showDropDown="0" showInputMessage="0" showErrorMessage="0" allowBlank="0" type="list">
      <formula1>"20ф,40ф,Збірний 17 м³,Збірний 34 м³,Найдешевший"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style="55" min="1" max="1"/>
    <col width="38" customWidth="1" style="55" min="2" max="2"/>
    <col width="46" customWidth="1" style="55" min="3" max="3"/>
    <col width="9" customWidth="1" style="55" min="4" max="4"/>
    <col width="14" customWidth="1" style="55" min="5" max="5"/>
    <col width="14" customWidth="1" style="55" min="6" max="6"/>
    <col width="14" customWidth="1" style="55" min="7" max="7"/>
    <col width="14" customWidth="1" style="55" min="8" max="8"/>
    <col width="14" customWidth="1" style="55" min="9" max="9"/>
    <col width="14" customWidth="1" style="55" min="10" max="10"/>
    <col width="14" customWidth="1" style="55" min="11" max="11"/>
    <col width="14" customWidth="1" style="55" min="12" max="12"/>
    <col width="14" customWidth="1" style="55" min="13" max="13"/>
  </cols>
  <sheetData>
    <row r="1">
      <c r="B1" s="20" t="inlineStr">
        <is>
          <t>Собівартість із розрахункових аркушів Self-Cost_Snacks.xlsx (SelfCost, курс 45 грн/$)</t>
        </is>
      </c>
    </row>
    <row r="2" ht="22" customHeight="1" s="55">
      <c r="E2" s="69" t="inlineStr">
        <is>
          <t>СОБІВАРТІСТЬ, $ / уп.</t>
        </is>
      </c>
      <c r="I2" s="70" t="inlineStr">
        <is>
          <t>СОБІВАРТІСТЬ SELF_COST, грн / уп.</t>
        </is>
      </c>
    </row>
    <row r="3">
      <c r="A3" s="6" t="inlineStr">
        <is>
          <t>Производитель</t>
        </is>
      </c>
      <c r="B3" s="6" t="inlineStr">
        <is>
          <t>Група</t>
        </is>
      </c>
      <c r="C3" s="6" t="inlineStr">
        <is>
          <t>Позиція</t>
        </is>
      </c>
      <c r="D3" s="6" t="inlineStr">
        <is>
          <t>Вага, г</t>
        </is>
      </c>
      <c r="E3" s="22" t="inlineStr">
        <is>
          <t>20ф</t>
        </is>
      </c>
      <c r="F3" s="22" t="inlineStr">
        <is>
          <t>40ф</t>
        </is>
      </c>
      <c r="G3" s="22" t="inlineStr">
        <is>
          <t>Збірний 17 м³</t>
        </is>
      </c>
      <c r="H3" s="22" t="inlineStr">
        <is>
          <t>Збірний 34 м³</t>
        </is>
      </c>
      <c r="I3" s="23" t="inlineStr">
        <is>
          <t>20ф</t>
        </is>
      </c>
      <c r="J3" s="23" t="inlineStr">
        <is>
          <t>40ф</t>
        </is>
      </c>
      <c r="K3" s="23" t="inlineStr">
        <is>
          <t>Збірний 17 м³</t>
        </is>
      </c>
      <c r="L3" s="23" t="inlineStr">
        <is>
          <t>Збірний 34 м³</t>
        </is>
      </c>
    </row>
    <row r="4">
      <c r="A4" s="45" t="inlineStr">
        <is>
          <t>Singha Kameda (Таїланд)</t>
        </is>
      </c>
      <c r="B4" s="45" t="inlineStr">
        <is>
          <t>Singha Kameda — Arare Norimaki 42 г</t>
        </is>
      </c>
      <c r="C4" s="45" t="inlineStr">
        <is>
          <t>Arare Norimaki — Arare Norimaki Original</t>
        </is>
      </c>
      <c r="D4" s="24" t="n">
        <v>42</v>
      </c>
      <c r="E4" s="93" t="n">
        <v>1.3591</v>
      </c>
      <c r="F4" s="93" t="n">
        <v>1.2145</v>
      </c>
      <c r="G4" s="93" t="n">
        <v>1.3776</v>
      </c>
      <c r="H4" s="93" t="n">
        <v>1.2554</v>
      </c>
      <c r="I4" s="93" t="n">
        <v>61.16</v>
      </c>
      <c r="J4" s="93" t="n">
        <v>54.65</v>
      </c>
      <c r="K4" s="93" t="n">
        <v>61.99</v>
      </c>
      <c r="L4" s="93" t="n">
        <v>56.49</v>
      </c>
    </row>
    <row r="5">
      <c r="A5" s="45" t="inlineStr">
        <is>
          <t>Singha Kameda (Таїланд)</t>
        </is>
      </c>
      <c r="B5" s="45" t="inlineStr">
        <is>
          <t>Singha Kameda — Arare Norimaki 42 г</t>
        </is>
      </c>
      <c r="C5" s="45" t="inlineStr">
        <is>
          <t>Arare Norimaki — Arare Norimaki Wasabi</t>
        </is>
      </c>
      <c r="D5" s="24" t="n">
        <v>42</v>
      </c>
      <c r="E5" s="93" t="n">
        <v>1.3591</v>
      </c>
      <c r="F5" s="93" t="n">
        <v>1.2145</v>
      </c>
      <c r="G5" s="93" t="n">
        <v>1.3776</v>
      </c>
      <c r="H5" s="93" t="n">
        <v>1.2554</v>
      </c>
      <c r="I5" s="93" t="n">
        <v>61.16</v>
      </c>
      <c r="J5" s="93" t="n">
        <v>54.65</v>
      </c>
      <c r="K5" s="93" t="n">
        <v>61.99</v>
      </c>
      <c r="L5" s="93" t="n">
        <v>56.49</v>
      </c>
    </row>
    <row r="6">
      <c r="A6" s="45" t="inlineStr">
        <is>
          <t>Thai-Nichi (Таїланд)</t>
        </is>
      </c>
      <c r="B6" s="45" t="inlineStr">
        <is>
          <t>Thai-Nichi — Mizuho Norimaki 50 г</t>
        </is>
      </c>
      <c r="C6" s="45" t="inlineStr">
        <is>
          <t>Mizuho · Norimaki — Norimaki Original</t>
        </is>
      </c>
      <c r="D6" s="24" t="n">
        <v>50</v>
      </c>
      <c r="E6" s="93" t="n">
        <v>1.0875</v>
      </c>
      <c r="F6" s="93" t="n">
        <v>0.9443</v>
      </c>
      <c r="G6" s="93" t="n">
        <v>1.0665</v>
      </c>
      <c r="H6" s="93" t="n">
        <v>0.9764</v>
      </c>
      <c r="I6" s="93" t="n">
        <v>48.94</v>
      </c>
      <c r="J6" s="93" t="n">
        <v>42.49</v>
      </c>
      <c r="K6" s="93" t="n">
        <v>47.99</v>
      </c>
      <c r="L6" s="93" t="n">
        <v>43.94</v>
      </c>
    </row>
    <row r="7">
      <c r="A7" s="45" t="inlineStr">
        <is>
          <t>Thai-Nichi (Таїланд)</t>
        </is>
      </c>
      <c r="B7" s="45" t="inlineStr">
        <is>
          <t>Thai-Nichi — Mizuho Norimaki 55 г</t>
        </is>
      </c>
      <c r="C7" s="45" t="inlineStr">
        <is>
          <t>Mizuho · Norimaki — Norimaki Wasabi</t>
        </is>
      </c>
      <c r="D7" s="24" t="n">
        <v>55</v>
      </c>
      <c r="E7" s="93" t="n">
        <v>1.3593</v>
      </c>
      <c r="F7" s="93" t="n">
        <v>1.1421</v>
      </c>
      <c r="G7" s="93" t="n">
        <v>1.3332</v>
      </c>
      <c r="H7" s="93" t="n">
        <v>1.2205</v>
      </c>
      <c r="I7" s="93" t="n">
        <v>61.17</v>
      </c>
      <c r="J7" s="93" t="n">
        <v>51.39</v>
      </c>
      <c r="K7" s="93" t="n">
        <v>59.99</v>
      </c>
      <c r="L7" s="93" t="n">
        <v>54.92</v>
      </c>
    </row>
    <row r="8">
      <c r="A8" s="45" t="inlineStr">
        <is>
          <t>TMK Thailand / KOKIRI</t>
        </is>
      </c>
      <c r="B8" s="45" t="inlineStr">
        <is>
          <t>TMK — KOKIRI Wow 2,5 г</t>
        </is>
      </c>
      <c r="C8" s="45" t="inlineStr">
        <is>
          <t>KOKIRI Wow — Wow ROLL Original</t>
        </is>
      </c>
      <c r="D8" s="24" t="n">
        <v>2.5</v>
      </c>
      <c r="E8" s="93" t="n">
        <v>0.2663</v>
      </c>
      <c r="F8" s="93" t="n">
        <v>0.2113</v>
      </c>
      <c r="G8" s="93" t="n">
        <v>0.2691</v>
      </c>
      <c r="H8" s="93" t="n">
        <v>0.2361</v>
      </c>
      <c r="I8" s="93" t="n">
        <v>11.98</v>
      </c>
      <c r="J8" s="93" t="n">
        <v>9.51</v>
      </c>
      <c r="K8" s="93" t="n">
        <v>12.11</v>
      </c>
      <c r="L8" s="93" t="n">
        <v>10.62</v>
      </c>
    </row>
    <row r="9">
      <c r="A9" s="45" t="inlineStr">
        <is>
          <t>TMK Thailand / KOKIRI</t>
        </is>
      </c>
      <c r="B9" s="45" t="inlineStr">
        <is>
          <t>TMK — KOKIRI Wow 2,5 г</t>
        </is>
      </c>
      <c r="C9" s="45" t="inlineStr">
        <is>
          <t>KOKIRI Wow — Wow ROLL Hot Spicy</t>
        </is>
      </c>
      <c r="D9" s="24" t="n">
        <v>2.5</v>
      </c>
      <c r="E9" s="93" t="n">
        <v>0.2663</v>
      </c>
      <c r="F9" s="93" t="n">
        <v>0.2113</v>
      </c>
      <c r="G9" s="93" t="n">
        <v>0.2691</v>
      </c>
      <c r="H9" s="93" t="n">
        <v>0.2361</v>
      </c>
      <c r="I9" s="93" t="n">
        <v>11.98</v>
      </c>
      <c r="J9" s="93" t="n">
        <v>9.51</v>
      </c>
      <c r="K9" s="93" t="n">
        <v>12.11</v>
      </c>
      <c r="L9" s="93" t="n">
        <v>10.62</v>
      </c>
    </row>
    <row r="10">
      <c r="A10" s="45" t="inlineStr">
        <is>
          <t>TMK Thailand / KOKIRI</t>
        </is>
      </c>
      <c r="B10" s="45" t="inlineStr">
        <is>
          <t>TMK — KOKIRI Wow 2,5 г</t>
        </is>
      </c>
      <c r="C10" s="45" t="inlineStr">
        <is>
          <t>KOKIRI Wow — Wow ROLL Spicy Squid</t>
        </is>
      </c>
      <c r="D10" s="24" t="n">
        <v>2.5</v>
      </c>
      <c r="E10" s="93" t="n">
        <v>0.2663</v>
      </c>
      <c r="F10" s="93" t="n">
        <v>0.2113</v>
      </c>
      <c r="G10" s="93" t="n">
        <v>0.2691</v>
      </c>
      <c r="H10" s="93" t="n">
        <v>0.2361</v>
      </c>
      <c r="I10" s="93" t="n">
        <v>11.98</v>
      </c>
      <c r="J10" s="93" t="n">
        <v>9.51</v>
      </c>
      <c r="K10" s="93" t="n">
        <v>12.11</v>
      </c>
      <c r="L10" s="93" t="n">
        <v>10.62</v>
      </c>
    </row>
    <row r="11">
      <c r="A11" s="45" t="inlineStr">
        <is>
          <t>TMK Thailand / KOKIRI</t>
        </is>
      </c>
      <c r="B11" s="45" t="inlineStr">
        <is>
          <t>TMK — KOKIRI Wow 5 г</t>
        </is>
      </c>
      <c r="C11" s="45" t="inlineStr">
        <is>
          <t>KOKIRI Wow — Wow DOUBLE ROLL Original</t>
        </is>
      </c>
      <c r="D11" s="24" t="n">
        <v>5</v>
      </c>
      <c r="E11" s="93" t="n">
        <v>0.4758</v>
      </c>
      <c r="F11" s="93" t="n">
        <v>0.3793</v>
      </c>
      <c r="G11" s="93" t="n">
        <v>0.4808</v>
      </c>
      <c r="H11" s="93" t="n">
        <v>0.4218</v>
      </c>
      <c r="I11" s="93" t="n">
        <v>21.41</v>
      </c>
      <c r="J11" s="93" t="n">
        <v>17.07</v>
      </c>
      <c r="K11" s="93" t="n">
        <v>21.64</v>
      </c>
      <c r="L11" s="93" t="n">
        <v>18.98</v>
      </c>
    </row>
    <row r="12">
      <c r="A12" s="45" t="inlineStr">
        <is>
          <t>TMK Thailand / KOKIRI</t>
        </is>
      </c>
      <c r="B12" s="45" t="inlineStr">
        <is>
          <t>TMK — KOKIRI Wow 5 г</t>
        </is>
      </c>
      <c r="C12" s="45" t="inlineStr">
        <is>
          <t>KOKIRI Wow — Wow DOUBLE ROLL Hot Spicy</t>
        </is>
      </c>
      <c r="D12" s="24" t="n">
        <v>5</v>
      </c>
      <c r="E12" s="93" t="n">
        <v>0.4758</v>
      </c>
      <c r="F12" s="93" t="n">
        <v>0.3793</v>
      </c>
      <c r="G12" s="93" t="n">
        <v>0.4808</v>
      </c>
      <c r="H12" s="93" t="n">
        <v>0.4218</v>
      </c>
      <c r="I12" s="93" t="n">
        <v>21.41</v>
      </c>
      <c r="J12" s="93" t="n">
        <v>17.07</v>
      </c>
      <c r="K12" s="93" t="n">
        <v>21.64</v>
      </c>
      <c r="L12" s="93" t="n">
        <v>18.98</v>
      </c>
    </row>
    <row r="13">
      <c r="A13" s="45" t="inlineStr">
        <is>
          <t>TMK Thailand / KOKIRI</t>
        </is>
      </c>
      <c r="B13" s="45" t="inlineStr">
        <is>
          <t>TMK — KOKIRI Wow 12 г</t>
        </is>
      </c>
      <c r="C13" s="45" t="inlineStr">
        <is>
          <t>KOKIRI Wow — Wow SEAWEED Original</t>
        </is>
      </c>
      <c r="D13" s="24" t="n">
        <v>12</v>
      </c>
      <c r="E13" s="93" t="n">
        <v>0.9799</v>
      </c>
      <c r="F13" s="93" t="n">
        <v>0.7748</v>
      </c>
      <c r="G13" s="93" t="n">
        <v>0.9903</v>
      </c>
      <c r="H13" s="93" t="n">
        <v>0.8688</v>
      </c>
      <c r="I13" s="93" t="n">
        <v>44.1</v>
      </c>
      <c r="J13" s="93" t="n">
        <v>34.86</v>
      </c>
      <c r="K13" s="93" t="n">
        <v>44.56</v>
      </c>
      <c r="L13" s="93" t="n">
        <v>39.09</v>
      </c>
    </row>
    <row r="14">
      <c r="A14" s="45" t="inlineStr">
        <is>
          <t>TMK Thailand / KOKIRI</t>
        </is>
      </c>
      <c r="B14" s="45" t="inlineStr">
        <is>
          <t>TMK — KOKIRI Wow 12 г</t>
        </is>
      </c>
      <c r="C14" s="45" t="inlineStr">
        <is>
          <t>KOKIRI Wow — Wow SEAWEED Spicy</t>
        </is>
      </c>
      <c r="D14" s="24" t="n">
        <v>12</v>
      </c>
      <c r="E14" s="93" t="n">
        <v>0.9799</v>
      </c>
      <c r="F14" s="93" t="n">
        <v>0.7748</v>
      </c>
      <c r="G14" s="93" t="n">
        <v>0.9903</v>
      </c>
      <c r="H14" s="93" t="n">
        <v>0.8688</v>
      </c>
      <c r="I14" s="93" t="n">
        <v>44.1</v>
      </c>
      <c r="J14" s="93" t="n">
        <v>34.86</v>
      </c>
      <c r="K14" s="93" t="n">
        <v>44.56</v>
      </c>
      <c r="L14" s="93" t="n">
        <v>39.09</v>
      </c>
    </row>
    <row r="15">
      <c r="A15" s="45" t="inlineStr">
        <is>
          <t>TMK Thailand / KOKIRI</t>
        </is>
      </c>
      <c r="B15" s="45" t="inlineStr">
        <is>
          <t>TMK — KOKIRI Wow 12 г</t>
        </is>
      </c>
      <c r="C15" s="45" t="inlineStr">
        <is>
          <t>KOKIRI Wow — Wow SEAWEED Squid</t>
        </is>
      </c>
      <c r="D15" s="24" t="n">
        <v>12</v>
      </c>
      <c r="E15" s="93" t="n">
        <v>0.9799</v>
      </c>
      <c r="F15" s="93" t="n">
        <v>0.7748</v>
      </c>
      <c r="G15" s="93" t="n">
        <v>0.9903</v>
      </c>
      <c r="H15" s="93" t="n">
        <v>0.8688</v>
      </c>
      <c r="I15" s="93" t="n">
        <v>45.07</v>
      </c>
      <c r="J15" s="93" t="n">
        <v>35.64</v>
      </c>
      <c r="K15" s="93" t="n">
        <v>45.55</v>
      </c>
      <c r="L15" s="93" t="n">
        <v>39.96</v>
      </c>
    </row>
    <row r="16">
      <c r="A16" s="45" t="inlineStr">
        <is>
          <t>TMK Thailand / KOKIRI</t>
        </is>
      </c>
      <c r="B16" s="45" t="inlineStr">
        <is>
          <t>TMK — KOKIRI Wow 10 г</t>
        </is>
      </c>
      <c r="C16" s="45" t="inlineStr">
        <is>
          <t>KOKIRI Wow — Wow MINI Original</t>
        </is>
      </c>
      <c r="D16" s="24" t="n">
        <v>10</v>
      </c>
      <c r="E16" s="93" t="n">
        <v>0.9733000000000001</v>
      </c>
      <c r="F16" s="93" t="n">
        <v>0.7802</v>
      </c>
      <c r="G16" s="93" t="n">
        <v>0.9837</v>
      </c>
      <c r="H16" s="93" t="n">
        <v>0.863</v>
      </c>
      <c r="I16" s="93" t="n">
        <v>43.8</v>
      </c>
      <c r="J16" s="93" t="n">
        <v>35.11</v>
      </c>
      <c r="K16" s="93" t="n">
        <v>44.27</v>
      </c>
      <c r="L16" s="93" t="n">
        <v>38.83</v>
      </c>
    </row>
    <row r="17">
      <c r="A17" s="45" t="inlineStr">
        <is>
          <t>TMK Thailand / KOKIRI</t>
        </is>
      </c>
      <c r="B17" s="45" t="inlineStr">
        <is>
          <t>TMK — KOKIRI Wow 10 г</t>
        </is>
      </c>
      <c r="C17" s="45" t="inlineStr">
        <is>
          <t>KOKIRI Wow — Wow MINI Hot Spicy</t>
        </is>
      </c>
      <c r="D17" s="24" t="n">
        <v>10</v>
      </c>
      <c r="E17" s="93" t="n">
        <v>0.9733000000000001</v>
      </c>
      <c r="F17" s="93" t="n">
        <v>0.7802</v>
      </c>
      <c r="G17" s="93" t="n">
        <v>0.9837</v>
      </c>
      <c r="H17" s="93" t="n">
        <v>0.863</v>
      </c>
      <c r="I17" s="93" t="n">
        <v>43.8</v>
      </c>
      <c r="J17" s="93" t="n">
        <v>35.11</v>
      </c>
      <c r="K17" s="93" t="n">
        <v>44.27</v>
      </c>
      <c r="L17" s="93" t="n">
        <v>38.83</v>
      </c>
    </row>
    <row r="18">
      <c r="A18" s="45" t="inlineStr">
        <is>
          <t>HanJin / ZEK (Китай)</t>
        </is>
      </c>
      <c r="B18" s="45" t="inlineStr">
        <is>
          <t>HanJin — ZEK 30 г</t>
        </is>
      </c>
      <c r="C18" s="45" t="inlineStr">
        <is>
          <t>ZEK — Tempura Seaweed Corn</t>
        </is>
      </c>
      <c r="D18" s="24" t="n">
        <v>30</v>
      </c>
      <c r="E18" s="93" t="n">
        <v>0.9236</v>
      </c>
      <c r="F18" s="93" t="n">
        <v>0.7534</v>
      </c>
      <c r="G18" s="93" t="n">
        <v>0.8472</v>
      </c>
      <c r="H18" s="93" t="n">
        <v>0.8045</v>
      </c>
      <c r="I18" s="93" t="n">
        <v>41.56</v>
      </c>
      <c r="J18" s="93" t="n">
        <v>33.9</v>
      </c>
      <c r="K18" s="93" t="n">
        <v>38.13</v>
      </c>
      <c r="L18" s="93" t="n">
        <v>36.2</v>
      </c>
    </row>
    <row r="19">
      <c r="A19" s="45" t="inlineStr">
        <is>
          <t>HanJin / ZEK (Китай)</t>
        </is>
      </c>
      <c r="B19" s="45" t="inlineStr">
        <is>
          <t>HanJin — ZEK 30 г</t>
        </is>
      </c>
      <c r="C19" s="45" t="inlineStr">
        <is>
          <t>ZEK — Tempura Seaweed Wasabi</t>
        </is>
      </c>
      <c r="D19" s="24" t="n">
        <v>30</v>
      </c>
      <c r="E19" s="93" t="n">
        <v>0.9236</v>
      </c>
      <c r="F19" s="93" t="n">
        <v>0.7534</v>
      </c>
      <c r="G19" s="93" t="n">
        <v>0.8472</v>
      </c>
      <c r="H19" s="93" t="n">
        <v>0.8045</v>
      </c>
      <c r="I19" s="93" t="n">
        <v>41.56</v>
      </c>
      <c r="J19" s="93" t="n">
        <v>33.9</v>
      </c>
      <c r="K19" s="93" t="n">
        <v>38.13</v>
      </c>
      <c r="L19" s="93" t="n">
        <v>36.2</v>
      </c>
    </row>
    <row r="20">
      <c r="A20" s="45" t="inlineStr">
        <is>
          <t>HanJin / ZEK (Китай)</t>
        </is>
      </c>
      <c r="B20" s="45" t="inlineStr">
        <is>
          <t>HanJin — ZEK 30 г</t>
        </is>
      </c>
      <c r="C20" s="45" t="inlineStr">
        <is>
          <t>ZEK — Tempura Seaweed Mala Crawfish</t>
        </is>
      </c>
      <c r="D20" s="24" t="n">
        <v>30</v>
      </c>
      <c r="E20" s="93" t="n">
        <v>0.9236</v>
      </c>
      <c r="F20" s="93" t="n">
        <v>0.7534</v>
      </c>
      <c r="G20" s="93" t="n">
        <v>0.8472</v>
      </c>
      <c r="H20" s="93" t="n">
        <v>0.8045</v>
      </c>
      <c r="I20" s="93" t="n">
        <v>41.56</v>
      </c>
      <c r="J20" s="93" t="n">
        <v>33.9</v>
      </c>
      <c r="K20" s="93" t="n">
        <v>38.13</v>
      </c>
      <c r="L20" s="93" t="n">
        <v>36.2</v>
      </c>
    </row>
    <row r="21">
      <c r="A21" s="45" t="inlineStr">
        <is>
          <t>HanJin / ZEK (Китай)</t>
        </is>
      </c>
      <c r="B21" s="45" t="inlineStr">
        <is>
          <t>HanJin — ZEK 50 г</t>
        </is>
      </c>
      <c r="C21" s="45" t="inlineStr">
        <is>
          <t>ZEK — Tempura Seaweed Corn · 50 г</t>
        </is>
      </c>
      <c r="D21" s="24" t="n">
        <v>50</v>
      </c>
      <c r="E21" s="93" t="n">
        <v>1.3961</v>
      </c>
      <c r="F21" s="93" t="n">
        <v>1.1388</v>
      </c>
      <c r="G21" s="93" t="n">
        <v>1.2807</v>
      </c>
      <c r="H21" s="93" t="n">
        <v>1.2161</v>
      </c>
      <c r="I21" s="93" t="n">
        <v>62.83</v>
      </c>
      <c r="J21" s="93" t="n">
        <v>51.25</v>
      </c>
      <c r="K21" s="93" t="n">
        <v>57.63</v>
      </c>
      <c r="L21" s="93" t="n">
        <v>54.72</v>
      </c>
    </row>
    <row r="22">
      <c r="A22" s="45" t="inlineStr">
        <is>
          <t>HanJin / ZEK (Китай)</t>
        </is>
      </c>
      <c r="B22" s="45" t="inlineStr">
        <is>
          <t>HanJin — ZEK 50 г</t>
        </is>
      </c>
      <c r="C22" s="45" t="inlineStr">
        <is>
          <t>ZEK — Tempura Seaweed Wasabi · 50 г</t>
        </is>
      </c>
      <c r="D22" s="24" t="n">
        <v>50</v>
      </c>
      <c r="E22" s="93" t="n">
        <v>1.3961</v>
      </c>
      <c r="F22" s="93" t="n">
        <v>1.1388</v>
      </c>
      <c r="G22" s="93" t="n">
        <v>1.2807</v>
      </c>
      <c r="H22" s="93" t="n">
        <v>1.2161</v>
      </c>
      <c r="I22" s="93" t="n">
        <v>62.83</v>
      </c>
      <c r="J22" s="93" t="n">
        <v>51.25</v>
      </c>
      <c r="K22" s="93" t="n">
        <v>57.63</v>
      </c>
      <c r="L22" s="93" t="n">
        <v>54.72</v>
      </c>
    </row>
    <row r="23">
      <c r="A23" s="45" t="inlineStr">
        <is>
          <t>HanJin / ZEK (Китай)</t>
        </is>
      </c>
      <c r="B23" s="45" t="inlineStr">
        <is>
          <t>HanJin — ZEK 50 г</t>
        </is>
      </c>
      <c r="C23" s="45" t="inlineStr">
        <is>
          <t>ZEK — Tempura Seaweed Mala · 50 г</t>
        </is>
      </c>
      <c r="D23" s="24" t="n">
        <v>50</v>
      </c>
      <c r="E23" s="93" t="n">
        <v>1.3961</v>
      </c>
      <c r="F23" s="93" t="n">
        <v>1.1388</v>
      </c>
      <c r="G23" s="93" t="n">
        <v>1.2807</v>
      </c>
      <c r="H23" s="93" t="n">
        <v>1.2161</v>
      </c>
      <c r="I23" s="93" t="n">
        <v>62.83</v>
      </c>
      <c r="J23" s="93" t="n">
        <v>51.25</v>
      </c>
      <c r="K23" s="93" t="n">
        <v>57.63</v>
      </c>
      <c r="L23" s="93" t="n">
        <v>54.72</v>
      </c>
    </row>
    <row r="24">
      <c r="A24" s="45" t="inlineStr">
        <is>
          <t>HanJin / ZEK (Китай)</t>
        </is>
      </c>
      <c r="B24" s="45" t="inlineStr">
        <is>
          <t>HanJin — ZEK 25 г</t>
        </is>
      </c>
      <c r="C24" s="45" t="inlineStr">
        <is>
          <t>ZEK — Sandwich Seaweed Meat Floss</t>
        </is>
      </c>
      <c r="D24" s="24" t="n">
        <v>25</v>
      </c>
      <c r="E24" s="93" t="n">
        <v>0.6931</v>
      </c>
      <c r="F24" s="93" t="n">
        <v>0.5663</v>
      </c>
      <c r="G24" s="93" t="n">
        <v>0.6108</v>
      </c>
      <c r="H24" s="93" t="n">
        <v>0.6042999999999999</v>
      </c>
      <c r="I24" s="93" t="n">
        <v>31.19</v>
      </c>
      <c r="J24" s="93" t="n">
        <v>25.49</v>
      </c>
      <c r="K24" s="93" t="n">
        <v>27.49</v>
      </c>
      <c r="L24" s="93" t="n">
        <v>27.19</v>
      </c>
    </row>
    <row r="25">
      <c r="A25" s="45" t="inlineStr">
        <is>
          <t>HanJin / ZEK (Китай)</t>
        </is>
      </c>
      <c r="B25" s="45" t="inlineStr">
        <is>
          <t>HanJin — ZEK 25 г</t>
        </is>
      </c>
      <c r="C25" s="45" t="inlineStr">
        <is>
          <t>ZEK — Sandwich Seaweed Sesame</t>
        </is>
      </c>
      <c r="D25" s="24" t="n">
        <v>25</v>
      </c>
      <c r="E25" s="93" t="n">
        <v>0.6931</v>
      </c>
      <c r="F25" s="93" t="n">
        <v>0.5663</v>
      </c>
      <c r="G25" s="93" t="n">
        <v>0.6108</v>
      </c>
      <c r="H25" s="93" t="n">
        <v>0.6042999999999999</v>
      </c>
      <c r="I25" s="93" t="n">
        <v>31.19</v>
      </c>
      <c r="J25" s="93" t="n">
        <v>25.49</v>
      </c>
      <c r="K25" s="93" t="n">
        <v>27.49</v>
      </c>
      <c r="L25" s="93" t="n">
        <v>27.19</v>
      </c>
    </row>
    <row r="26">
      <c r="A26" s="45" t="inlineStr">
        <is>
          <t>HanJin / ZEK (Китай)</t>
        </is>
      </c>
      <c r="B26" s="45" t="inlineStr">
        <is>
          <t>HanJin — ZEK 35 г</t>
        </is>
      </c>
      <c r="C26" s="45" t="inlineStr">
        <is>
          <t>ZEK — Seaweed Topping Chicken Floss</t>
        </is>
      </c>
      <c r="D26" s="24" t="n">
        <v>35</v>
      </c>
      <c r="E26" s="93" t="n">
        <v>0.8943</v>
      </c>
      <c r="F26" s="93" t="n">
        <v>0.7308</v>
      </c>
      <c r="G26" s="93" t="n">
        <v>0.7881</v>
      </c>
      <c r="H26" s="93" t="n">
        <v>0.7796999999999999</v>
      </c>
      <c r="I26" s="93" t="n">
        <v>40.24</v>
      </c>
      <c r="J26" s="93" t="n">
        <v>32.88</v>
      </c>
      <c r="K26" s="93" t="n">
        <v>35.47</v>
      </c>
      <c r="L26" s="93" t="n">
        <v>35.09</v>
      </c>
    </row>
    <row r="27">
      <c r="A27" s="45" t="inlineStr">
        <is>
          <t>HanJin / ZEK (Китай)</t>
        </is>
      </c>
      <c r="B27" s="45" t="inlineStr">
        <is>
          <t>HanJin — ZEK 35 г</t>
        </is>
      </c>
      <c r="C27" s="45" t="inlineStr">
        <is>
          <t>ZEK — Seaweed Topping Vegetables</t>
        </is>
      </c>
      <c r="D27" s="24" t="n">
        <v>35</v>
      </c>
      <c r="E27" s="93" t="n">
        <v>0.8943</v>
      </c>
      <c r="F27" s="93" t="n">
        <v>0.7008</v>
      </c>
      <c r="G27" s="93" t="n">
        <v>0.7881</v>
      </c>
      <c r="H27" s="93" t="n">
        <v>0.7796999999999999</v>
      </c>
      <c r="I27" s="93" t="n">
        <v>40.24</v>
      </c>
      <c r="J27" s="93" t="n">
        <v>31.54</v>
      </c>
      <c r="K27" s="93" t="n">
        <v>35.47</v>
      </c>
      <c r="L27" s="93" t="n">
        <v>35.09</v>
      </c>
    </row>
    <row r="28">
      <c r="A28" s="45" t="inlineStr">
        <is>
          <t>HanJin / ZEK (Китай)</t>
        </is>
      </c>
      <c r="B28" s="45" t="inlineStr">
        <is>
          <t>HanJin — ZEK 35 г</t>
        </is>
      </c>
      <c r="C28" s="45" t="inlineStr">
        <is>
          <t>ZEK — Seaweed Topping Sesame</t>
        </is>
      </c>
      <c r="D28" s="24" t="n">
        <v>35</v>
      </c>
      <c r="E28" s="93" t="n">
        <v>0.8943</v>
      </c>
      <c r="F28" s="93" t="n">
        <v>0.7008</v>
      </c>
      <c r="G28" s="93" t="n">
        <v>0.7881</v>
      </c>
      <c r="H28" s="93" t="n">
        <v>0.7796999999999999</v>
      </c>
      <c r="I28" s="93" t="n">
        <v>40.24</v>
      </c>
      <c r="J28" s="93" t="n">
        <v>31.54</v>
      </c>
      <c r="K28" s="93" t="n">
        <v>35.47</v>
      </c>
      <c r="L28" s="93" t="n">
        <v>35.09</v>
      </c>
    </row>
    <row r="29">
      <c r="A29" s="45" t="inlineStr">
        <is>
          <t>HanJin / ZEK (Китай)</t>
        </is>
      </c>
      <c r="B29" s="45" t="inlineStr">
        <is>
          <t>HanJin — ZEK 70 г</t>
        </is>
      </c>
      <c r="C29" s="45" t="inlineStr">
        <is>
          <t>ZEK — Seaweed Topping Vegetables · 70 г</t>
        </is>
      </c>
      <c r="D29" s="24" t="n">
        <v>70</v>
      </c>
      <c r="E29" s="93" t="n">
        <v>1.811</v>
      </c>
      <c r="F29" s="93" t="n">
        <v>1.4192</v>
      </c>
      <c r="G29" s="93" t="n">
        <v>1.596</v>
      </c>
      <c r="H29" s="93" t="n">
        <v>1.5789</v>
      </c>
      <c r="I29" s="93" t="n">
        <v>81.48999999999999</v>
      </c>
      <c r="J29" s="93" t="n">
        <v>63.86</v>
      </c>
      <c r="K29" s="93" t="n">
        <v>71.81999999999999</v>
      </c>
      <c r="L29" s="93" t="n">
        <v>71.05</v>
      </c>
    </row>
    <row r="30">
      <c r="A30" s="45" t="inlineStr">
        <is>
          <t>HanJin / ZEK (Китай)</t>
        </is>
      </c>
      <c r="B30" s="45" t="inlineStr">
        <is>
          <t>HanJin — ZEK 70 г</t>
        </is>
      </c>
      <c r="C30" s="45" t="inlineStr">
        <is>
          <t>ZEK — Seaweed Topping Sesame · 70 г</t>
        </is>
      </c>
      <c r="D30" s="24" t="n">
        <v>70</v>
      </c>
      <c r="E30" s="93" t="n">
        <v>1.811</v>
      </c>
      <c r="F30" s="93" t="n">
        <v>1.4192</v>
      </c>
      <c r="G30" s="93" t="n">
        <v>1.596</v>
      </c>
      <c r="H30" s="93" t="n">
        <v>1.5789</v>
      </c>
      <c r="I30" s="93" t="n">
        <v>81.48999999999999</v>
      </c>
      <c r="J30" s="93" t="n">
        <v>63.86</v>
      </c>
      <c r="K30" s="93" t="n">
        <v>71.81999999999999</v>
      </c>
      <c r="L30" s="93" t="n">
        <v>71.05</v>
      </c>
    </row>
    <row r="31">
      <c r="A31" s="45" t="inlineStr">
        <is>
          <t>HanJin / ZEK (Китай)</t>
        </is>
      </c>
      <c r="B31" s="45" t="inlineStr">
        <is>
          <t>HanJin — ZEK 70 г</t>
        </is>
      </c>
      <c r="C31" s="45" t="inlineStr">
        <is>
          <t>ZEK — Seaweed Topping Chicken · 70 г</t>
        </is>
      </c>
      <c r="D31" s="24" t="n">
        <v>70</v>
      </c>
      <c r="E31" s="93" t="n">
        <v>1.811</v>
      </c>
      <c r="F31" s="93" t="n">
        <v>1.4192</v>
      </c>
      <c r="G31" s="93" t="n">
        <v>1.596</v>
      </c>
      <c r="H31" s="93" t="n">
        <v>1.5789</v>
      </c>
      <c r="I31" s="93" t="n">
        <v>81.48999999999999</v>
      </c>
      <c r="J31" s="93" t="n">
        <v>63.86</v>
      </c>
      <c r="K31" s="93" t="n">
        <v>71.81999999999999</v>
      </c>
      <c r="L31" s="93" t="n">
        <v>71.05</v>
      </c>
    </row>
  </sheetData>
  <mergeCells count="2">
    <mergeCell ref="E2:H2"/>
    <mergeCell ref="I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2026-10-07T11:46:28Z</dcterms:created>
  <dcterms:modified xmlns:dcterms="http://purl.org/dc/terms/" xmlns:xsi="http://www.w3.org/2001/XMLSchema-instance" xsi:type="dcterms:W3CDTF">2026-10-07T11:46:29Z</dcterms:modified>
  <cp:lastModifiedBy>Чаплигін lлля</cp:lastModifiedBy>
</cp:coreProperties>
</file>