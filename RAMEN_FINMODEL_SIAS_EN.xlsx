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6 pallets" sheetId="2" state="visible" r:id="rId2"/>
    <sheet xmlns:r="http://schemas.openxmlformats.org/officeDocument/2006/relationships" name="33 palle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0.00;-0.00;&quot;OK&quot;"/>
  </numFmts>
  <fonts count="4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0"/>
    </font>
    <font>
      <name val="Arial"/>
      <color rgb="FF0000FF"/>
      <sz val="11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82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1" fillId="28" borderId="30" applyAlignment="1" pivotButton="0" quotePrefix="0" xfId="0">
      <alignment horizontal="center" vertical="center" wrapText="1"/>
    </xf>
    <xf numFmtId="171" fontId="24" fillId="27" borderId="30" applyAlignment="1" pivotButton="0" quotePrefix="0" xfId="0">
      <alignment horizontal="center" vertical="center" wrapText="1"/>
    </xf>
    <xf numFmtId="176" fontId="19" fillId="25" borderId="30" applyAlignment="1" pivotButton="0" quotePrefix="0" xfId="0">
      <alignment horizontal="center" vertical="center" wrapText="1"/>
    </xf>
    <xf numFmtId="184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70" fontId="33" fillId="24" borderId="17" applyAlignment="1" pivotButton="0" quotePrefix="0" xfId="0">
      <alignment horizontal="center" vertical="center" wrapText="1"/>
    </xf>
    <xf numFmtId="176" fontId="40" fillId="24" borderId="1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</cols>
  <sheetData>
    <row r="1" ht="26" customHeight="1" s="71">
      <c r="A1" s="172" t="inlineStr">
        <is>
          <t>What the landed cost in Ukraine is made of · ₴ per pack</t>
        </is>
      </c>
    </row>
    <row r="2" ht="30" customHeight="1" s="71">
      <c r="A2" s="154" t="inlineStr">
        <is>
          <t>SIAS purchase + delivery + import VAT + financing = landed cost. Delivery = freight, broker, terminal and certification of the batch, per pack. Customs duty 0 %.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SIAS 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Landed cost, ₴ (sum of blocks)</t>
        </is>
      </c>
      <c r="G5" s="161" t="inlineStr">
        <is>
          <t>Landed cost, €</t>
        </is>
      </c>
      <c r="H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F6/'33 pallets'!F14</f>
        <v>0.8823803336980307</v>
      </c>
      <c r="H6" s="177">
        <f>ROUND(F6-'33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F7/'33 pallets'!F14</f>
        <v>1.0181311542669587</v>
      </c>
      <c r="H7" s="177">
        <f>ROUND(F7-'33 pallets'!C6,4)</f>
        <v>0</v>
      </c>
    </row>
    <row r="8" ht="34" customHeight="1" s="71">
      <c r="A8" s="170" t="inlineStr">
        <is>
          <t>AFTER · SIAS request
(all 6 SKUs)</t>
        </is>
      </c>
      <c r="B8" s="178">
        <f>'33 pallets'!B19*'33 pallets'!F14</f>
        <v>27.648000000000003</v>
      </c>
      <c r="C8" s="178">
        <f>(3700+288+42)/52800*'33 pallets'!F14</f>
        <v>3.907878787878788</v>
      </c>
      <c r="D8" s="178">
        <f>('33 pallets'!B19+3700*0.7/52800)*(1+0)*0.2*'33 pallets'!F14</f>
        <v>6.031903030303031</v>
      </c>
      <c r="E8" s="178">
        <f>(B8+C8+D8+('33 pallets'!B19+3700*0.7/52800)*0*'33 pallets'!F14)*0.025</f>
        <v>0.9396945454545457</v>
      </c>
      <c r="F8" s="179">
        <f>SUM(B8:E8)</f>
        <v>38.52747636363637</v>
      </c>
      <c r="G8" s="176">
        <f>F8/'33 pallets'!F14</f>
        <v>0.7524897727272728</v>
      </c>
      <c r="H8" s="177">
        <f>ROUND(F8-'33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SIAS 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Landed cost, ₴ (sum of blocks)</t>
        </is>
      </c>
      <c r="G11" s="161" t="inlineStr">
        <is>
          <t>Landed cost, €</t>
        </is>
      </c>
      <c r="H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F12/'6 pallets'!F14</f>
        <v>1.134046875</v>
      </c>
      <c r="H12" s="177">
        <f>ROUND(F12-'6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F13/'6 pallets'!F14</f>
        <v>1.308515625</v>
      </c>
      <c r="H13" s="177">
        <f>ROUND(F13-'6 pallets'!C6,4)</f>
        <v>0</v>
      </c>
    </row>
    <row r="14" ht="34" customHeight="1" s="71">
      <c r="A14" s="170" t="inlineStr">
        <is>
          <t>AFTER · SIAS request
(all 6 SKUs)</t>
        </is>
      </c>
      <c r="B14" s="178">
        <f>'6 pallets'!B20*'6 pallets'!F14</f>
        <v>16.384</v>
      </c>
      <c r="C14" s="178">
        <f>(2600+288+42)/9600*'6 pallets'!F14</f>
        <v>15.626666666666669</v>
      </c>
      <c r="D14" s="178">
        <f>('6 pallets'!B20+2600*0.7/9600)*(1+0)*0.2*'6 pallets'!F14</f>
        <v>5.218133333333333</v>
      </c>
      <c r="E14" s="178">
        <f>(B14+C14+D14+('6 pallets'!B20+2600*0.7/9600)*0*'6 pallets'!F14)*0.025</f>
        <v>0.93072</v>
      </c>
      <c r="F14" s="179">
        <f>SUM(B14:E14)</f>
        <v>38.15952</v>
      </c>
      <c r="G14" s="176">
        <f>F14/'6 pallets'!F14</f>
        <v>0.745303125</v>
      </c>
      <c r="H14" s="177">
        <f>ROUND(F14-'6 pallets'!C8,4)</f>
        <v>0</v>
      </c>
    </row>
    <row r="16" ht="28" customHeight="1" s="71">
      <c r="A16" s="171" t="inlineStr">
        <is>
          <t>"Before": per our cost file (logistics allocated by value). "After": at the requested price, logistics spread evenly per pack. The smaller the batch, the higher the delivery cost per pack.</t>
        </is>
      </c>
    </row>
  </sheetData>
  <mergeCells count="3">
    <mergeCell ref="A16:H16"/>
    <mergeCell ref="A2:H2"/>
    <mergeCell ref="A1:H1"/>
  </mergeCells>
  <pageMargins left="0.75" right="0.75" top="1" bottom="1" header="0.5" footer="0.5"/>
  <ignoredErrors>
    <ignoredError sqref="A1:H36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SIAS · from purchase price to shelf price, one line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36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</f>
        <v>58.063199999999995</v>
      </c>
      <c r="D4" s="101">
        <f>C4/(1-D14-C14)</f>
        <v>129.0293333333333</v>
      </c>
      <c r="E4" s="102">
        <f>D4*D14</f>
        <v>45.16026666666666</v>
      </c>
      <c r="F4" s="102">
        <f>D4-C4-E4</f>
        <v>25.80586666666666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C4/F14</f>
        <v>1.134046875</v>
      </c>
      <c r="D5" s="139">
        <f>D4/F14</f>
        <v>2.520104166666666</v>
      </c>
      <c r="E5" s="139">
        <f>E4/F14</f>
        <v>0.8820364583333331</v>
      </c>
      <c r="F5" s="139">
        <f>F4/F14</f>
        <v>0.5040208333333331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</f>
        <v>66.99600000000001</v>
      </c>
      <c r="D6" s="109">
        <f>C6/(1-D14-C14)</f>
        <v>148.88000000000002</v>
      </c>
      <c r="E6" s="110">
        <f>D6*D14</f>
        <v>52.108000000000004</v>
      </c>
      <c r="F6" s="110">
        <f>D6-C6-E6</f>
        <v>29.77600000000001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1.308515625</v>
      </c>
      <c r="D7" s="140">
        <f>D6/F14</f>
        <v>2.9078125000000004</v>
      </c>
      <c r="E7" s="140">
        <f>E6/F14</f>
        <v>1.017734375</v>
      </c>
      <c r="F7" s="140">
        <f>F6/F14</f>
        <v>0.5815625000000002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29.67962666666666</v>
      </c>
      <c r="F8" s="116">
        <f>D8-C8-E8</f>
        <v>16.95978666666667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0.5796802083333332</v>
      </c>
      <c r="F9" s="142">
        <f>F8/F14</f>
        <v>0.33124583333333335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-15.480639999999998</v>
      </c>
      <c r="F10" s="143">
        <f>F8-F4</f>
        <v>-8.84607999999999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-0.3023562499999999</v>
      </c>
      <c r="F11" s="144">
        <f>F9-F5</f>
        <v>-0.1727749999999998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80" t="n">
        <v>1.4</v>
      </c>
      <c r="F14" s="53" t="n">
        <v>51.2</v>
      </c>
    </row>
    <row r="15" ht="3" customHeight="1" s="71"/>
    <row r="16" ht="3" customHeight="1" s="71"/>
    <row r="17" ht="3" customHeight="1" s="71"/>
    <row r="18" ht="3" customHeight="1" s="71"/>
    <row r="19"/>
    <row r="20">
      <c r="A20" s="54" t="inlineStr">
        <is>
          <t>Request to SIAS, €/pack (rounded down to the euro cent)</t>
        </is>
      </c>
      <c r="B20" s="147">
        <f>ROUNDDOWN(((B14/E14*(1-D14-C14))/F14/(1+0.025)-(2600+288+42+2600*0.7*(0+0.2*(1+0)))/9600)/((1+0)*(1+0.2)),2)</f>
        <v>0.32</v>
      </c>
    </row>
    <row r="21">
      <c r="A21" s="54" t="inlineStr">
        <is>
          <t>Maximum purchase price before rounding, €/pack</t>
        </is>
      </c>
      <c r="B21" s="148">
        <f>((B14/E14*(1-D14-C14))/F14/(1+0.025)-(2600+288+42+2600*0.7*(0+0.2*(1+0)))/9600)/((1+0)*(1+0.2))</f>
        <v>0.3265407229965157</v>
      </c>
    </row>
    <row r="22" ht="30" customHeight="1" s="71">
      <c r="A22" s="54" t="inlineStr">
        <is>
          <t>Landed cost in Ukraine at the request, ₴/pack</t>
        </is>
      </c>
      <c r="B22" s="57">
        <f>(B20*F14+(2600+288+42)/9600*F14+(B20+2600*0.7/9600)*0*F14+(B20+2600*0.7/9600)*(1+0)*0.2*F14)*(1+0.025)</f>
        <v>38.15951999999999</v>
      </c>
    </row>
    <row r="23"/>
    <row r="24" ht="30" customHeight="1" s="71">
      <c r="A24" s="54" t="inlineStr">
        <is>
          <t>Landed cost today, 4 SKUs (Vegetable, Spicy, Beef, Chicken), €/pack</t>
        </is>
      </c>
      <c r="B24" s="181" t="n">
        <v>1.134046875</v>
      </c>
    </row>
    <row r="25" ht="30" customHeight="1" s="71">
      <c r="A25" s="54" t="inlineStr">
        <is>
          <t>Landed cost today, 2 SKUs (Gouda, Carbonara), €/pack</t>
        </is>
      </c>
      <c r="B25" s="181" t="n"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I45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50" t="inlineStr">
        <is>
          <t>SIAS · from purchase price to shelf price, one line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54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</f>
        <v>45.17787308533919</v>
      </c>
      <c r="D4" s="101">
        <f>C4/(1-D14-C14)</f>
        <v>100.39527352297598</v>
      </c>
      <c r="E4" s="102">
        <f>D4*D14</f>
        <v>35.13834573304159</v>
      </c>
      <c r="F4" s="102">
        <f>D4-C4-E4</f>
        <v>20.0790547045952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0.882380333698031</v>
      </c>
      <c r="D5" s="139">
        <f>D4/F14</f>
        <v>1.9608451859956246</v>
      </c>
      <c r="E5" s="139">
        <f>E4/F14</f>
        <v>0.6862958150984685</v>
      </c>
      <c r="F5" s="139">
        <f>F4/F14</f>
        <v>0.392169037199125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</f>
        <v>52.12831509846825</v>
      </c>
      <c r="D6" s="109">
        <f>C6/(1-D14-C14)</f>
        <v>115.84070021881833</v>
      </c>
      <c r="E6" s="110">
        <f>D6*D14</f>
        <v>40.544245076586414</v>
      </c>
      <c r="F6" s="110">
        <f>D6-C6-E6</f>
        <v>23.168140043763664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1.018131154266958</v>
      </c>
      <c r="D7" s="140">
        <f>D6/F14</f>
        <v>2.2625136761487954</v>
      </c>
      <c r="E7" s="140">
        <f>E6/F14</f>
        <v>0.7918797866520784</v>
      </c>
      <c r="F7" s="140">
        <f>F6/F14</f>
        <v>0.45250273522975903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29.96581494949495</v>
      </c>
      <c r="F8" s="116">
        <f>D8-C8-E8</f>
        <v>17.12332282828283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0.5852698232323231</v>
      </c>
      <c r="F9" s="142">
        <f>F8/F14</f>
        <v>0.334439898989899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-5.172530783546641</v>
      </c>
      <c r="F10" s="143">
        <f>F8-F4</f>
        <v>-2.9557318763123703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-0.10102599186614536</v>
      </c>
      <c r="F11" s="144">
        <f>F9-F5</f>
        <v>-0.05772913820922598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80" t="n">
        <v>1.4</v>
      </c>
      <c r="F14" s="53" t="n">
        <v>51.2</v>
      </c>
    </row>
    <row r="15" ht="3" customHeight="1" s="71"/>
    <row r="16" ht="3" customHeight="1" s="71"/>
    <row r="17" ht="3" customHeight="1" s="71"/>
    <row r="18" ht="3" customHeight="1" s="71"/>
    <row r="19">
      <c r="A19" s="54" t="inlineStr">
        <is>
          <t>Request to SIAS, €/pack (rounded down to the euro cent)</t>
        </is>
      </c>
      <c r="B19" s="147">
        <f>ROUNDDOWN(((B14/E14*(1-D14-C14))/F14/(1+0.025)-(3700+288+42+3700*0.7*(0+0.2*(1+0)))/52800)/((1+0)*(1+0.2)),2)</f>
        <v>0.54</v>
      </c>
    </row>
    <row r="20">
      <c r="A20" s="54" t="inlineStr">
        <is>
          <t>Maximum purchase price before rounding, €/pack</t>
        </is>
      </c>
      <c r="B20" s="148">
        <f>((B14/E14*(1-D14-C14))/F14/(1+0.025)-(3700+288+42+3700*0.7*(0+0.2*(1+0)))/52800)/((1+0)*(1+0.2))</f>
        <v>0.5406979199662126</v>
      </c>
    </row>
    <row r="21" ht="30" customHeight="1" s="71">
      <c r="A21" s="54" t="inlineStr">
        <is>
          <t>Landed cost in Ukraine at the request, ₴/pack</t>
        </is>
      </c>
      <c r="B21" s="57">
        <f>(B19*F14+(3700+288+42)/52800*F14+(B19+3700*0.7/52800)*0*F14+(B19+3700*0.7/52800)*(1+0)*0.2*F14)*(1+0.025)</f>
        <v>38.52747636363637</v>
      </c>
    </row>
    <row r="22"/>
    <row r="23" ht="30" customHeight="1" s="71">
      <c r="A23" s="54" t="inlineStr">
        <is>
          <t>Landed cost today, 4 SKUs (Vegetable, Spicy, Beef, Chicken), €/pack</t>
        </is>
      </c>
      <c r="B23" s="181" t="n">
        <v>0.882380333698031</v>
      </c>
    </row>
    <row r="24" ht="30" customHeight="1" s="71">
      <c r="A24" s="54" t="inlineStr">
        <is>
          <t>Landed cost today, 2 SKUs (Gouda, Carbonara), €/pack</t>
        </is>
      </c>
      <c r="B24" s="181" t="n"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I44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SIAS financial model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2026-10-16T13:45:25Z</dcterms:modified>
  <cp:lastModifiedBy/>
</cp:coreProperties>
</file>