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6 pallets" sheetId="1" state="visible" r:id="rId1"/>
    <sheet xmlns:r="http://schemas.openxmlformats.org/officeDocument/2006/relationships" name="33 pall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</numFmts>
  <fonts count="41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0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4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70" fontId="33" fillId="24" borderId="17" applyAlignment="1" pivotButton="0" quotePrefix="0" xfId="0">
      <alignment horizontal="center" vertical="center" wrapText="1"/>
    </xf>
    <xf numFmtId="176" fontId="40" fillId="24" borderId="1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SIAS · from purchase price to shelf price, one line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36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</f>
        <v>58.063199999999995</v>
      </c>
      <c r="D4" s="101">
        <f>C4/(1-D14-C14)</f>
        <v>129.0293333333333</v>
      </c>
      <c r="E4" s="102">
        <f>D4*D14</f>
        <v>45.16026666666666</v>
      </c>
      <c r="F4" s="102">
        <f>D4-C4-E4</f>
        <v>25.80586666666666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C4/F14</f>
        <v>1.134046875</v>
      </c>
      <c r="D5" s="139">
        <f>D4/F14</f>
        <v>2.520104166666666</v>
      </c>
      <c r="E5" s="139">
        <f>E4/F14</f>
        <v>0.8820364583333331</v>
      </c>
      <c r="F5" s="139">
        <f>F4/F14</f>
        <v>0.5040208333333331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</f>
        <v>66.99600000000001</v>
      </c>
      <c r="D6" s="109">
        <f>C6/(1-D14-C14)</f>
        <v>148.88000000000002</v>
      </c>
      <c r="E6" s="110">
        <f>D6*D14</f>
        <v>52.108000000000004</v>
      </c>
      <c r="F6" s="110">
        <f>D6-C6-E6</f>
        <v>29.77600000000001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1.308515625</v>
      </c>
      <c r="D7" s="140">
        <f>D6/F14</f>
        <v>2.9078125000000004</v>
      </c>
      <c r="E7" s="140">
        <f>E6/F14</f>
        <v>1.017734375</v>
      </c>
      <c r="F7" s="140">
        <f>F6/F14</f>
        <v>0.5815625000000002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29.67962666666666</v>
      </c>
      <c r="F8" s="116">
        <f>D8-C8-E8</f>
        <v>16.95978666666667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0.5796802083333332</v>
      </c>
      <c r="F9" s="142">
        <f>F8/F14</f>
        <v>0.33124583333333335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-15.480639999999998</v>
      </c>
      <c r="F10" s="143">
        <f>F8-F4</f>
        <v>-8.84607999999999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-0.3023562499999999</v>
      </c>
      <c r="F11" s="144">
        <f>F9-F5</f>
        <v>-0.1727749999999998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72" t="n">
        <v>1.4</v>
      </c>
      <c r="F14" s="53" t="n">
        <v>51.2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((B14/E14*(1-D14-C14))/F14/(1+C16)-(E16+F16+G16+E16*B18*(D16+B16*(1+D16)))/(C18*D18))/((1+D16)*(1+B16))</f>
        <v>0.3265407229965157</v>
      </c>
    </row>
    <row r="22" ht="30" customHeight="1" s="71">
      <c r="A22" s="54" t="inlineStr">
        <is>
          <t>Landed cost in Ukraine at the request, ₴/pack</t>
        </is>
      </c>
      <c r="B22" s="57">
        <f>(B20*F14+(E16+F16+G16)/(C18*D18)*F14+(B20+E16*B18/(C18*D18))*D16*F14+(B20+E16*B18/(C18*D18))*(1+D16)*B16*F14)*(1+C16)</f>
        <v>38.15951999999999</v>
      </c>
    </row>
    <row r="23"/>
    <row r="24" ht="30" customHeight="1" s="71">
      <c r="A24" s="54" t="inlineStr">
        <is>
          <t>Landed cost today, 4 SKUs (Vegetable, Spicy, Beef, Chicken), €/pack</t>
        </is>
      </c>
      <c r="B24" s="173" t="n">
        <v>1.134046875</v>
      </c>
    </row>
    <row r="25" ht="30" customHeight="1" s="71">
      <c r="A25" s="54" t="inlineStr">
        <is>
          <t>Landed cost today, 2 SKUs (Gouda, Carbonara), €/pack</t>
        </is>
      </c>
      <c r="B25" s="173" t="n"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50" t="inlineStr">
        <is>
          <t>SIAS · from purchase price to shelf price, one line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54" customHeight="1" s="71">
      <c r="A3" s="99" t="inlineStr">
        <is>
          <t>Scenario</t>
        </is>
      </c>
      <c r="B3" s="99" t="inlineStr">
        <is>
          <t>SIAS purchase
per pack</t>
        </is>
      </c>
      <c r="C3" s="99" t="inlineStr">
        <is>
          <t>Landed cost in Ukraine
product + costs in Ukraine</t>
        </is>
      </c>
      <c r="D3" s="99" t="inlineStr">
        <is>
          <t>Partner price
cost ÷ (1 − bonus − our share)</t>
        </is>
      </c>
      <c r="E3" s="99" t="str">
        <f>"Chain bonus"&amp;CHAR(10)&amp;ROUND(D14*100,0)&amp;" % of partner price"</f>
        <v>Chain bonus
35 % of partner price</v>
      </c>
      <c r="F3" s="99" t="str">
        <f>"Left for us"&amp;CHAR(10)&amp;"costs &amp; margin"</f>
        <v>Left for us
costs &amp; margin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</f>
        <v>45.17787308533919</v>
      </c>
      <c r="D4" s="101">
        <f>C4/(1-D14-C14)</f>
        <v>100.39527352297598</v>
      </c>
      <c r="E4" s="102">
        <f>D4*D14</f>
        <v>35.13834573304159</v>
      </c>
      <c r="F4" s="102">
        <f>D4-C4-E4</f>
        <v>20.0790547045952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0.882380333698031</v>
      </c>
      <c r="D5" s="139">
        <f>D4/F14</f>
        <v>1.9608451859956246</v>
      </c>
      <c r="E5" s="139">
        <f>E4/F14</f>
        <v>0.6862958150984685</v>
      </c>
      <c r="F5" s="139">
        <f>F4/F14</f>
        <v>0.392169037199125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</f>
        <v>52.12831509846825</v>
      </c>
      <c r="D6" s="109">
        <f>C6/(1-D14-C14)</f>
        <v>115.84070021881833</v>
      </c>
      <c r="E6" s="110">
        <f>D6*D14</f>
        <v>40.544245076586414</v>
      </c>
      <c r="F6" s="110">
        <f>D6-C6-E6</f>
        <v>23.168140043763664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1.018131154266958</v>
      </c>
      <c r="D7" s="140">
        <f>D6/F14</f>
        <v>2.2625136761487954</v>
      </c>
      <c r="E7" s="140">
        <f>E6/F14</f>
        <v>0.7918797866520784</v>
      </c>
      <c r="F7" s="140">
        <f>F6/F14</f>
        <v>0.45250273522975903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29.96581494949495</v>
      </c>
      <c r="F8" s="116">
        <f>D8-C8-E8</f>
        <v>17.12332282828283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0.5852698232323231</v>
      </c>
      <c r="F9" s="142">
        <f>F8/F14</f>
        <v>0.334439898989899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-5.172530783546641</v>
      </c>
      <c r="F10" s="143">
        <f>F8-F4</f>
        <v>-2.9557318763123703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-0.10102599186614536</v>
      </c>
      <c r="F11" s="144">
        <f>F9-F5</f>
        <v>-0.05772913820922598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26" customHeight="1" s="71">
      <c r="B13" s="45" t="inlineStr">
        <is>
          <t>Shelf price, ₴</t>
        </is>
      </c>
      <c r="C13" s="45" t="inlineStr">
        <is>
          <t>Our share of partner price</t>
        </is>
      </c>
      <c r="D13" s="45" t="inlineStr">
        <is>
          <t>Chain bonus</t>
        </is>
      </c>
      <c r="E13" s="45" t="inlineStr">
        <is>
          <t>Shelf multiplier</t>
        </is>
      </c>
      <c r="F13" s="45" t="inlineStr">
        <is>
          <t>Rate ₴/€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5" t="n">
        <v>0.35</v>
      </c>
      <c r="E14" s="172" t="n">
        <v>1.4</v>
      </c>
      <c r="F14" s="53" t="n">
        <v>51.2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((B14/E14*(1-D14-C14))/F14/(1+C16)-(E16+F16+G16+E16*B18*(D16+B16*(1+D16)))/(C18*D18))/((1+D16)*(1+B16))</f>
        <v>0.5406979199662126</v>
      </c>
    </row>
    <row r="21" ht="30" customHeight="1" s="71">
      <c r="A21" s="54" t="inlineStr">
        <is>
          <t>Landed cost in Ukraine at the request, ₴/pack</t>
        </is>
      </c>
      <c r="B21" s="57">
        <f>(B19*F14+(E16+F16+G16)/(C18*D18)*F14+(B19+E16*B18/(C18*D18))*D16*F14+(B19+E16*B18/(C18*D18))*(1+D16)*B16*F14)*(1+C16)</f>
        <v>38.52747636363637</v>
      </c>
    </row>
    <row r="22"/>
    <row r="23" ht="30" customHeight="1" s="71">
      <c r="A23" s="54" t="inlineStr">
        <is>
          <t>Landed cost today, 4 SKUs (Vegetable, Spicy, Beef, Chicken), €/pack</t>
        </is>
      </c>
      <c r="B23" s="173" t="n">
        <v>0.882380333698031</v>
      </c>
    </row>
    <row r="24" ht="30" customHeight="1" s="71">
      <c r="A24" s="54" t="inlineStr">
        <is>
          <t>Landed cost today, 2 SKUs (Gouda, Carbonara), €/pack</t>
        </is>
      </c>
      <c r="B24" s="173" t="n"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SIAS financial model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2026-10-16T12:39:30Z</dcterms:modified>
  <cp:lastModifiedBy/>
</cp:coreProperties>
</file>