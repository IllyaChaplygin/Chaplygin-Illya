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Landed cost blocks" sheetId="1" state="visible" r:id="rId1"/>
    <sheet xmlns:r="http://schemas.openxmlformats.org/officeDocument/2006/relationships" name="6 pallets" sheetId="2" state="visible" r:id="rId2"/>
    <sheet xmlns:r="http://schemas.openxmlformats.org/officeDocument/2006/relationships" name="33 pall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1">
    <numFmt numFmtId="164" formatCode="_-* #,##0.00&quot; ₴&quot;_-;\-* #,##0.00&quot; ₴&quot;_-;_-* \-??&quot; ₴&quot;_-;_-@_-"/>
    <numFmt numFmtId="165" formatCode="_-* #,##0.00\ [$₴-422]_-;\-* #,##0.00\ [$₴-422]_-;_-* \-??\ [$₴-422]_-;_-@_-"/>
    <numFmt numFmtId="166" formatCode="0.0000&quot; €&quot;"/>
    <numFmt numFmtId="167" formatCode="0.0"/>
    <numFmt numFmtId="168" formatCode="0.000000"/>
    <numFmt numFmtId="169" formatCode="0.0000"/>
    <numFmt numFmtId="170" formatCode="0.00&quot;×&quot;"/>
    <numFmt numFmtId="171" formatCode="#,##0.00&quot; ₴&quot;"/>
    <numFmt numFmtId="172" formatCode="0.0%"/>
    <numFmt numFmtId="173" formatCode="&quot;€&quot;0.00"/>
    <numFmt numFmtId="174" formatCode="&quot;€&quot;0.0000"/>
    <numFmt numFmtId="175" formatCode="&quot;МАРЖА &quot;0%"/>
    <numFmt numFmtId="176" formatCode="&quot;€&quot;0.000"/>
    <numFmt numFmtId="177" formatCode="\+#,##0.00&quot; ₴&quot;;\-#,##0.00&quot; ₴&quot;"/>
    <numFmt numFmtId="178" formatCode="\+&quot;€&quot;0.000;\-&quot;€&quot;0.000"/>
    <numFmt numFmtId="179" formatCode="+0%;-0%;0%"/>
    <numFmt numFmtId="180" formatCode="_(* #,##0.00_);_(* \(#,##0.00\);_(* \-??_);_(@_)"/>
    <numFmt numFmtId="181" formatCode="_(* #,##0_);_(* \(#,##0\);_(* \-_);_(@_)"/>
    <numFmt numFmtId="182" formatCode="_(\$* #,##0.00_);_(\$* \(#,##0.00\);_(\$* \-??_);_(@_)"/>
    <numFmt numFmtId="183" formatCode="_(\$* #,##0_);_(\$* \(#,##0\);_(\$* \-_);_(@_)"/>
    <numFmt numFmtId="184" formatCode="0.00;-0.00;&quot;OK&quot;"/>
  </numFmts>
  <fonts count="42">
    <font>
      <name val="Calibri"/>
      <color theme="1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sz val="10"/>
    </font>
    <font>
      <name val="Arial"/>
      <b val="1"/>
      <color rgb="FF1F4E79"/>
      <sz val="10"/>
    </font>
    <font>
      <name val="Arial"/>
      <b val="1"/>
      <color rgb="FF203864"/>
      <sz val="11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color rgb="FF222222"/>
      <sz val="11"/>
    </font>
    <font>
      <name val="Calibri"/>
      <color theme="1"/>
      <sz val="11"/>
    </font>
    <font>
      <name val="Arial"/>
      <b val="1"/>
      <color rgb="FF454545"/>
      <sz val="10"/>
    </font>
    <font>
      <name val="Arial"/>
      <b val="1"/>
      <color rgb="FF1F3864"/>
      <sz val="14"/>
    </font>
    <font>
      <name val="Arial"/>
      <color rgb="FF203864"/>
      <sz val="11"/>
    </font>
    <font>
      <name val="Arial"/>
      <b val="1"/>
      <color rgb="FF203864"/>
      <sz val="14"/>
    </font>
    <font>
      <name val="Arial"/>
      <b val="1"/>
      <color rgb="FF172B46"/>
      <sz val="16"/>
    </font>
    <font>
      <name val="Arial"/>
      <b val="1"/>
      <color rgb="FF223A5E"/>
      <sz val="11"/>
    </font>
    <font>
      <name val="Arial"/>
      <b val="1"/>
      <color rgb="FF172B46"/>
      <sz val="20"/>
    </font>
    <font>
      <name val="Arial"/>
      <color rgb="FF5E6D7E"/>
      <sz val="10"/>
    </font>
    <font>
      <name val="Arial"/>
      <b val="1"/>
      <color rgb="FFB53A3A"/>
      <sz val="10"/>
    </font>
    <font>
      <name val="Arial"/>
      <b val="1"/>
      <color rgb="FFFFFFFF"/>
      <sz val="9"/>
    </font>
    <font>
      <name val="Arial"/>
      <b val="1"/>
      <color rgb="FF172B46"/>
      <sz val="10"/>
    </font>
    <font>
      <name val="Arial"/>
      <b val="1"/>
      <color rgb="FF0000FF"/>
      <sz val="10"/>
    </font>
    <font>
      <name val="Arial"/>
      <b val="1"/>
      <color rgb="FF172B46"/>
      <sz val="13"/>
    </font>
    <font>
      <name val="Arial"/>
      <color rgb="FF008000"/>
      <sz val="10"/>
    </font>
    <font>
      <name val="Arial"/>
      <color rgb="FF172B46"/>
      <sz val="13"/>
    </font>
    <font>
      <name val="Arial"/>
      <b val="1"/>
      <color rgb="FF172B46"/>
      <sz val="15"/>
    </font>
    <font>
      <name val="Arial"/>
      <b val="1"/>
      <color rgb="FF223A5E"/>
      <sz val="10"/>
    </font>
    <font>
      <name val="Arial"/>
      <b val="1"/>
      <color rgb="FFB53A3A"/>
      <sz val="11"/>
    </font>
    <font>
      <name val="Arial"/>
      <color rgb="FF5E6D7E"/>
      <sz val="9"/>
    </font>
    <font>
      <name val="Arial"/>
      <b val="1"/>
      <color rgb="FF223A5E"/>
      <sz val="9"/>
    </font>
    <font>
      <name val="Arial"/>
      <b val="1"/>
      <color rgb="FF5E6D7E"/>
      <sz val="8"/>
    </font>
    <font>
      <name val="Arial"/>
      <b val="1"/>
      <color rgb="FF0000FF"/>
      <sz val="11"/>
    </font>
    <font>
      <name val="Arial"/>
      <b val="1"/>
      <color rgb="FF008000"/>
      <sz val="11"/>
    </font>
    <font>
      <name val="Arial"/>
      <b val="1"/>
      <color rgb="FF5E6D7E"/>
      <sz val="9"/>
    </font>
    <font>
      <name val="Arial"/>
      <b val="1"/>
      <color rgb="FF172B46"/>
      <sz val="11"/>
    </font>
    <font>
      <name val="Arial"/>
      <color rgb="FF172B46"/>
      <sz val="11"/>
    </font>
    <font>
      <name val="Arial"/>
      <color rgb="FF172B46"/>
      <sz val="10"/>
    </font>
    <font>
      <name val="Arial"/>
      <b val="1"/>
      <color rgb="FF172B46"/>
      <sz val="12"/>
    </font>
    <font>
      <name val="Arial"/>
      <color rgb="FF0000FF"/>
      <sz val="10"/>
    </font>
    <font>
      <name val="Arial"/>
      <color rgb="FF0000FF"/>
      <sz val="11"/>
    </font>
  </fonts>
  <fills count="3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7EEF6"/>
      </patternFill>
    </fill>
    <fill>
      <patternFill patternType="solid">
        <fgColor rgb="FF44546A"/>
      </patternFill>
    </fill>
    <fill>
      <patternFill patternType="solid">
        <fgColor rgb="FF203864"/>
      </patternFill>
    </fill>
    <fill>
      <patternFill patternType="solid">
        <fgColor rgb="FF2F75B5"/>
      </patternFill>
    </fill>
    <fill>
      <patternFill patternType="solid">
        <fgColor rgb="FF3E657B"/>
      </patternFill>
    </fill>
    <fill>
      <patternFill patternType="solid">
        <fgColor rgb="FF777777"/>
      </patternFill>
    </fill>
    <fill>
      <patternFill patternType="solid">
        <fgColor rgb="FFD6E4F0"/>
      </patternFill>
    </fill>
    <fill>
      <patternFill patternType="solid">
        <fgColor rgb="FFF0F0F0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E75B6"/>
      </patternFill>
    </fill>
    <fill>
      <patternFill patternType="solid">
        <fgColor rgb="FFD6E6F2"/>
      </patternFill>
    </fill>
    <fill>
      <patternFill patternType="solid">
        <fgColor rgb="FFE2F0D9"/>
      </patternFill>
    </fill>
    <fill>
      <patternFill patternType="solid">
        <fgColor rgb="FF203864"/>
      </patternFill>
    </fill>
    <fill>
      <patternFill/>
    </fill>
    <fill>
      <patternFill patternType="solid">
        <fgColor rgb="FFE7EDF5"/>
      </patternFill>
    </fill>
    <fill>
      <patternFill patternType="solid">
        <fgColor rgb="FFFCE3A6"/>
      </patternFill>
    </fill>
    <fill>
      <patternFill patternType="solid">
        <fgColor rgb="FF3E5A85"/>
      </patternFill>
    </fill>
    <fill>
      <patternFill patternType="solid">
        <fgColor rgb="FFF2F5F9"/>
      </patternFill>
    </fill>
    <fill>
      <patternFill patternType="solid">
        <fgColor rgb="FFFFF4D2"/>
      </patternFill>
    </fill>
    <fill>
      <patternFill patternType="solid">
        <fgColor rgb="00F2F5F9"/>
      </patternFill>
    </fill>
    <fill>
      <patternFill patternType="solid">
        <fgColor rgb="003E5A85"/>
      </patternFill>
    </fill>
    <fill>
      <patternFill patternType="solid">
        <fgColor rgb="00E7EDF5"/>
      </patternFill>
    </fill>
    <fill>
      <patternFill patternType="solid">
        <fgColor rgb="00FFF4D2"/>
      </patternFill>
    </fill>
    <fill>
      <patternFill patternType="solid">
        <fgColor rgb="00FCE3A6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  <diagonal/>
    </border>
    <border>
      <left style="thin">
        <color rgb="FF65798E"/>
      </left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/>
      <top/>
      <bottom/>
      <diagonal/>
    </border>
    <border>
      <left/>
      <right/>
      <top style="thin">
        <color rgb="FF65798E"/>
      </top>
      <bottom style="thin">
        <color rgb="FF65798E"/>
      </bottom>
      <diagonal/>
    </border>
    <border>
      <left/>
      <right style="thin">
        <color rgb="FF65798E"/>
      </right>
      <top style="thin">
        <color rgb="FF65798E"/>
      </top>
      <bottom style="thin">
        <color rgb="FF65798E"/>
      </bottom>
      <diagonal/>
    </border>
    <border>
      <left/>
      <right style="thin">
        <color rgb="FFB8C7D6"/>
      </right>
      <top style="thin">
        <color rgb="FFB8C7D6"/>
      </top>
      <bottom style="thin">
        <color rgb="FFB8C7D6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  <border>
      <left/>
      <right/>
      <top/>
      <bottom style="medium">
        <color rgb="FF223A5E"/>
      </bottom>
      <diagonal/>
    </border>
    <border>
      <left style="thin">
        <color rgb="FFD5DCE8"/>
      </left>
      <right style="thin">
        <color rgb="FFD5DCE8"/>
      </right>
      <top style="thin">
        <color rgb="FFD5DCE8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B8C7D6"/>
      </top>
      <bottom/>
      <diagonal/>
    </border>
    <border>
      <left/>
      <right style="thin">
        <color rgb="FFB8C7D6"/>
      </right>
      <top style="thin">
        <color rgb="FFB8C7D6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rgb="FF65798E"/>
      </top>
      <bottom/>
      <diagonal/>
    </border>
    <border>
      <left/>
      <right style="thin">
        <color rgb="FF65798E"/>
      </right>
      <top style="thin">
        <color rgb="FF65798E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D5DCE8"/>
      </top>
      <bottom/>
      <diagonal/>
    </border>
    <border>
      <left/>
      <right style="thin">
        <color rgb="FFD5DCE8"/>
      </right>
      <top style="thin">
        <color rgb="FFD5DCE8"/>
      </top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/>
  </borders>
  <cellStyleXfs count="7">
    <xf numFmtId="0" fontId="11" fillId="19" borderId="10"/>
    <xf numFmtId="180" fontId="1" fillId="19" borderId="10"/>
    <xf numFmtId="181" fontId="1" fillId="19" borderId="10"/>
    <xf numFmtId="182" fontId="1" fillId="19" borderId="10"/>
    <xf numFmtId="183" fontId="1" fillId="19" borderId="10"/>
    <xf numFmtId="0" fontId="11" fillId="19" borderId="10"/>
    <xf numFmtId="9" fontId="1" fillId="19" borderId="10"/>
  </cellStyleXfs>
  <cellXfs count="182">
    <xf numFmtId="0" fontId="0" fillId="0" borderId="0" pivotButton="0" quotePrefix="0" xfId="0"/>
    <xf numFmtId="0" fontId="8" fillId="5" borderId="1" applyAlignment="1" pivotButton="0" quotePrefix="0" xfId="5">
      <alignment horizontal="center" vertical="center" wrapText="1"/>
    </xf>
    <xf numFmtId="0" fontId="7" fillId="8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7" fillId="5" borderId="1" applyAlignment="1" pivotButton="0" quotePrefix="0" xfId="5">
      <alignment horizontal="center" vertical="center" wrapText="1"/>
    </xf>
    <xf numFmtId="0" fontId="7" fillId="7" borderId="1" applyAlignment="1" pivotButton="0" quotePrefix="0" xfId="5">
      <alignment horizontal="center" vertical="center" wrapText="1"/>
    </xf>
    <xf numFmtId="0" fontId="9" fillId="4" borderId="1" applyAlignment="1" pivotButton="0" quotePrefix="0" xfId="5">
      <alignment horizontal="center" vertical="center" wrapText="1"/>
    </xf>
    <xf numFmtId="0" fontId="1" fillId="0" borderId="1" applyAlignment="1" pivotButton="0" quotePrefix="0" xfId="5">
      <alignment horizontal="center" vertical="center" wrapText="1"/>
    </xf>
    <xf numFmtId="164" fontId="10" fillId="3" borderId="1" applyAlignment="1" pivotButton="0" quotePrefix="0" xfId="5">
      <alignment horizontal="center" vertical="center"/>
    </xf>
    <xf numFmtId="164" fontId="5" fillId="9" borderId="1" applyAlignment="1" pivotButton="0" quotePrefix="0" xfId="5">
      <alignment horizontal="center" vertical="center"/>
    </xf>
    <xf numFmtId="164" fontId="10" fillId="0" borderId="1" applyAlignment="1" pivotButton="0" quotePrefix="0" xfId="5">
      <alignment horizontal="center" vertical="center"/>
    </xf>
    <xf numFmtId="164" fontId="5" fillId="0" borderId="1" applyAlignment="1" pivotButton="0" quotePrefix="0" xfId="5">
      <alignment horizontal="center" vertical="center"/>
    </xf>
    <xf numFmtId="10" fontId="5" fillId="0" borderId="1" applyAlignment="1" pivotButton="0" quotePrefix="0" xfId="5">
      <alignment horizontal="center" vertical="center"/>
    </xf>
    <xf numFmtId="165" fontId="5" fillId="9" borderId="1" applyAlignment="1" pivotButton="0" quotePrefix="0" xfId="5">
      <alignment horizontal="center" vertical="center"/>
    </xf>
    <xf numFmtId="165" fontId="10" fillId="10" borderId="1" applyAlignment="1" pivotButton="0" quotePrefix="0" xfId="5">
      <alignment horizontal="center" vertical="center"/>
    </xf>
    <xf numFmtId="165" fontId="10" fillId="3" borderId="1" applyAlignment="1" pivotButton="0" quotePrefix="0" xfId="5">
      <alignment horizontal="center" vertical="center"/>
    </xf>
    <xf numFmtId="165" fontId="5" fillId="11" borderId="1" applyAlignment="1" pivotButton="0" quotePrefix="0" xfId="5">
      <alignment horizontal="center" vertical="center"/>
    </xf>
    <xf numFmtId="2" fontId="4" fillId="2" borderId="3" applyAlignment="1" pivotButton="0" quotePrefix="0" xfId="5">
      <alignment horizontal="center" vertical="center" wrapText="1"/>
    </xf>
    <xf numFmtId="10" fontId="4" fillId="2" borderId="3" applyAlignment="1" pivotButton="0" quotePrefix="0" xfId="5">
      <alignment horizontal="center" vertical="center" wrapText="1"/>
    </xf>
    <xf numFmtId="49" fontId="5" fillId="2" borderId="3" applyAlignment="1" pivotButton="0" quotePrefix="0" xfId="5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5"/>
    <xf numFmtId="0" fontId="4" fillId="2" borderId="7" applyAlignment="1" pivotButton="0" quotePrefix="0" xfId="5">
      <alignment horizontal="center" vertical="center" wrapText="1"/>
    </xf>
    <xf numFmtId="9" fontId="5" fillId="3" borderId="0" applyAlignment="1" pivotButton="0" quotePrefix="0" xfId="5">
      <alignment horizontal="center" vertical="center"/>
    </xf>
    <xf numFmtId="166" fontId="10" fillId="3" borderId="1" applyAlignment="1" pivotButton="0" quotePrefix="0" xfId="5">
      <alignment horizontal="center" vertical="center"/>
    </xf>
    <xf numFmtId="167" fontId="1" fillId="0" borderId="1" applyAlignment="1" pivotButton="0" quotePrefix="0" xfId="5">
      <alignment horizontal="center" vertical="center" wrapText="1"/>
    </xf>
    <xf numFmtId="0" fontId="14" fillId="0" borderId="0" applyAlignment="1" pivotButton="0" quotePrefix="0" xfId="0">
      <alignment vertical="center"/>
    </xf>
    <xf numFmtId="0" fontId="8" fillId="12" borderId="0" applyAlignment="1" pivotButton="0" quotePrefix="0" xfId="0">
      <alignment horizontal="center" vertical="center" wrapText="1"/>
    </xf>
    <xf numFmtId="0" fontId="14" fillId="0" borderId="8" applyAlignment="1" pivotButton="0" quotePrefix="0" xfId="0">
      <alignment vertical="center"/>
    </xf>
    <xf numFmtId="168" fontId="14" fillId="0" borderId="8" applyAlignment="1" pivotButton="0" quotePrefix="0" xfId="0">
      <alignment vertical="center"/>
    </xf>
    <xf numFmtId="2" fontId="14" fillId="0" borderId="8" applyAlignment="1" pivotButton="0" quotePrefix="0" xfId="0">
      <alignment vertical="center"/>
    </xf>
    <xf numFmtId="169" fontId="14" fillId="0" borderId="8" applyAlignment="1" pivotButton="0" quotePrefix="0" xfId="0">
      <alignment vertical="center"/>
    </xf>
    <xf numFmtId="10" fontId="14" fillId="0" borderId="8" applyAlignment="1" pivotButton="0" quotePrefix="0" xfId="0">
      <alignment vertical="center"/>
    </xf>
    <xf numFmtId="0" fontId="5" fillId="13" borderId="8" applyAlignment="1" pivotButton="0" quotePrefix="0" xfId="0">
      <alignment vertical="center"/>
    </xf>
    <xf numFmtId="169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169" fontId="5" fillId="14" borderId="8" applyAlignment="1" pivotButton="0" quotePrefix="0" xfId="0">
      <alignment vertical="center"/>
    </xf>
    <xf numFmtId="10" fontId="5" fillId="14" borderId="8" applyAlignment="1" pivotButton="0" quotePrefix="0" xfId="0">
      <alignment vertical="center"/>
    </xf>
    <xf numFmtId="170" fontId="14" fillId="0" borderId="8" applyAlignment="1" pivotButton="0" quotePrefix="0" xfId="0">
      <alignment vertical="center"/>
    </xf>
    <xf numFmtId="0" fontId="8" fillId="15" borderId="9" applyAlignment="1" pivotButton="0" quotePrefix="0" xfId="0">
      <alignment horizontal="center" vertical="center" wrapText="1"/>
    </xf>
    <xf numFmtId="171" fontId="5" fillId="16" borderId="9" applyAlignment="1" pivotButton="0" quotePrefix="0" xfId="0">
      <alignment vertical="center"/>
    </xf>
    <xf numFmtId="171" fontId="14" fillId="0" borderId="9" applyAlignment="1" pivotButton="0" quotePrefix="0" xfId="0">
      <alignment vertical="center"/>
    </xf>
    <xf numFmtId="171" fontId="5" fillId="17" borderId="9" applyAlignment="1" pivotButton="0" quotePrefix="0" xfId="0">
      <alignment vertical="center"/>
    </xf>
    <xf numFmtId="10" fontId="14" fillId="0" borderId="9" applyAlignment="1" pivotButton="0" quotePrefix="0" xfId="0">
      <alignment vertical="center"/>
    </xf>
    <xf numFmtId="0" fontId="8" fillId="18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71" fontId="33" fillId="24" borderId="17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0" fontId="34" fillId="23" borderId="17" applyAlignment="1" pivotButton="0" quotePrefix="0" xfId="0">
      <alignment horizontal="center" vertical="center" wrapText="1"/>
    </xf>
    <xf numFmtId="2" fontId="34" fillId="23" borderId="17" applyAlignment="1" pivotButton="0" quotePrefix="0" xfId="0">
      <alignment horizontal="center" vertical="center" wrapText="1"/>
    </xf>
    <xf numFmtId="3" fontId="33" fillId="24" borderId="17" applyAlignment="1" pivotButton="0" quotePrefix="0" xfId="0">
      <alignment horizontal="center" vertical="center" wrapText="1"/>
    </xf>
    <xf numFmtId="2" fontId="33" fillId="24" borderId="17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1" fontId="37" fillId="0" borderId="17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175" fontId="8" fillId="15" borderId="9" applyAlignment="1" pivotButton="0" quotePrefix="0" xfId="0">
      <alignment horizontal="center" vertical="center" wrapText="1"/>
    </xf>
    <xf numFmtId="0" fontId="3" fillId="0" borderId="1" applyAlignment="1" pivotButton="0" quotePrefix="0" xfId="5">
      <alignment horizontal="left" vertical="center" wrapText="1"/>
    </xf>
    <xf numFmtId="0" fontId="0" fillId="0" borderId="5" pivotButton="0" quotePrefix="0" xfId="0"/>
    <xf numFmtId="0" fontId="14" fillId="0" borderId="8" applyAlignment="1" pivotButton="0" quotePrefix="0" xfId="0">
      <alignment vertical="center"/>
    </xf>
    <xf numFmtId="0" fontId="0" fillId="0" borderId="13" pivotButton="0" quotePrefix="0" xfId="0"/>
    <xf numFmtId="0" fontId="5" fillId="14" borderId="8" applyAlignment="1" pivotButton="0" quotePrefix="0" xfId="0">
      <alignment vertical="center" wrapText="1"/>
    </xf>
    <xf numFmtId="0" fontId="14" fillId="0" borderId="8" applyAlignment="1" pivotButton="0" quotePrefix="0" xfId="0">
      <alignment vertical="center" wrapText="1"/>
    </xf>
    <xf numFmtId="0" fontId="12" fillId="0" borderId="1" applyAlignment="1" pivotButton="0" quotePrefix="0" xfId="5">
      <alignment horizontal="left" vertical="center" wrapText="1"/>
    </xf>
    <xf numFmtId="0" fontId="0" fillId="0" borderId="4" pivotButton="0" quotePrefix="0" xfId="0"/>
    <xf numFmtId="0" fontId="8" fillId="12" borderId="1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6" applyAlignment="1" pivotButton="0" quotePrefix="0" xfId="5">
      <alignment horizontal="left" vertical="center" wrapText="1"/>
    </xf>
    <xf numFmtId="0" fontId="0" fillId="0" borderId="15" pivotButton="0" quotePrefix="0" xfId="0"/>
    <xf numFmtId="0" fontId="7" fillId="4" borderId="1" applyAlignment="1" pivotButton="0" quotePrefix="0" xfId="5">
      <alignment horizontal="center" vertical="center" wrapText="1"/>
    </xf>
    <xf numFmtId="0" fontId="7" fillId="6" borderId="1" applyAlignment="1" pivotButton="0" quotePrefix="0" xfId="5">
      <alignment horizontal="center" vertical="center" wrapText="1"/>
    </xf>
    <xf numFmtId="0" fontId="6" fillId="0" borderId="2" applyAlignment="1" pivotButton="0" quotePrefix="0" xfId="5">
      <alignment vertical="center"/>
    </xf>
    <xf numFmtId="0" fontId="0" fillId="0" borderId="14" pivotButton="0" quotePrefix="0" xfId="0"/>
    <xf numFmtId="0" fontId="7" fillId="5" borderId="1" applyAlignment="1" pivotButton="0" quotePrefix="0" xfId="5">
      <alignment horizontal="center" vertical="center" wrapText="1"/>
    </xf>
    <xf numFmtId="0" fontId="12" fillId="0" borderId="1" applyAlignment="1" pivotButton="0" quotePrefix="0" xfId="5">
      <alignment horizontal="left" vertical="center"/>
    </xf>
    <xf numFmtId="0" fontId="5" fillId="13" borderId="8" applyAlignment="1" pivotButton="0" quotePrefix="0" xfId="0">
      <alignment vertical="center"/>
    </xf>
    <xf numFmtId="0" fontId="5" fillId="14" borderId="8" applyAlignment="1" pivotButton="0" quotePrefix="0" xfId="0">
      <alignment vertical="center"/>
    </xf>
    <xf numFmtId="0" fontId="5" fillId="13" borderId="8" applyAlignment="1" pivotButton="0" quotePrefix="0" xfId="0">
      <alignment vertical="center" wrapText="1"/>
    </xf>
    <xf numFmtId="0" fontId="7" fillId="8" borderId="1" applyAlignment="1" pivotButton="0" quotePrefix="0" xfId="5">
      <alignment horizontal="center" vertical="center" wrapText="1"/>
    </xf>
    <xf numFmtId="0" fontId="8" fillId="5" borderId="1" applyAlignment="1" pivotButton="0" quotePrefix="0" xfId="5">
      <alignment horizontal="center" vertical="center" wrapText="1"/>
    </xf>
    <xf numFmtId="0" fontId="13" fillId="0" borderId="1" applyAlignment="1" pivotButton="0" quotePrefix="0" xfId="5">
      <alignment horizontal="center"/>
    </xf>
    <xf numFmtId="0" fontId="12" fillId="0" borderId="6" applyAlignment="1" pivotButton="0" quotePrefix="0" xfId="5">
      <alignment horizontal="left" vertical="center" wrapText="1"/>
    </xf>
    <xf numFmtId="0" fontId="0" fillId="0" borderId="16" pivotButton="0" quotePrefix="0" xfId="0"/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31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17" fillId="20" borderId="19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21" borderId="19" pivotButton="0" quotePrefix="0" xfId="0"/>
    <xf numFmtId="0" fontId="19" fillId="20" borderId="19" applyAlignment="1" pivotButton="0" quotePrefix="0" xfId="0">
      <alignment horizontal="center" vertical="center" wrapText="1"/>
    </xf>
    <xf numFmtId="0" fontId="0" fillId="20" borderId="19" pivotButton="0" quotePrefix="0" xfId="0"/>
    <xf numFmtId="0" fontId="20" fillId="20" borderId="19" applyAlignment="1" pivotButton="0" quotePrefix="0" xfId="0">
      <alignment horizontal="center" vertical="center" wrapText="1"/>
    </xf>
    <xf numFmtId="0" fontId="19" fillId="20" borderId="19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22" fillId="23" borderId="1" applyAlignment="1" pivotButton="0" quotePrefix="0" xfId="0">
      <alignment horizontal="left" vertical="center" wrapText="1"/>
    </xf>
    <xf numFmtId="171" fontId="24" fillId="23" borderId="1" applyAlignment="1" pivotButton="0" quotePrefix="0" xfId="0">
      <alignment horizontal="center" vertical="center" wrapText="1"/>
    </xf>
    <xf numFmtId="171" fontId="26" fillId="23" borderId="1" applyAlignment="1" pivotButton="0" quotePrefix="0" xfId="0">
      <alignment horizontal="center" vertical="center" wrapText="1"/>
    </xf>
    <xf numFmtId="171" fontId="27" fillId="23" borderId="1" applyAlignment="1" pivotButton="0" quotePrefix="0" xfId="0">
      <alignment horizontal="center" vertical="center" wrapText="1"/>
    </xf>
    <xf numFmtId="0" fontId="0" fillId="23" borderId="1" pivotButton="0" quotePrefix="0" xfId="0"/>
    <xf numFmtId="176" fontId="23" fillId="24" borderId="1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171" fontId="24" fillId="0" borderId="1" applyAlignment="1" pivotButton="0" quotePrefix="0" xfId="0">
      <alignment horizontal="center" vertical="center" wrapText="1"/>
    </xf>
    <xf numFmtId="171" fontId="26" fillId="0" borderId="1" applyAlignment="1" pivotButton="0" quotePrefix="0" xfId="0">
      <alignment horizontal="center" vertical="center" wrapText="1"/>
    </xf>
    <xf numFmtId="171" fontId="27" fillId="20" borderId="1" applyAlignment="1" pivotButton="0" quotePrefix="0" xfId="0">
      <alignment horizontal="center" vertical="center" wrapText="1"/>
    </xf>
    <xf numFmtId="0" fontId="0" fillId="0" borderId="1" pivotButton="0" quotePrefix="0" xfId="0"/>
    <xf numFmtId="176" fontId="19" fillId="0" borderId="1" applyAlignment="1" pivotButton="0" quotePrefix="0" xfId="0">
      <alignment horizontal="center" vertical="center" wrapText="1"/>
    </xf>
    <xf numFmtId="0" fontId="28" fillId="21" borderId="1" applyAlignment="1" pivotButton="0" quotePrefix="0" xfId="0">
      <alignment horizontal="left" vertical="center" wrapText="1"/>
    </xf>
    <xf numFmtId="171" fontId="24" fillId="21" borderId="1" applyAlignment="1" pivotButton="0" quotePrefix="0" xfId="0">
      <alignment horizontal="center" vertical="center" wrapText="1"/>
    </xf>
    <xf numFmtId="171" fontId="26" fillId="21" borderId="1" applyAlignment="1" pivotButton="0" quotePrefix="0" xfId="0">
      <alignment horizontal="center" vertical="center" wrapText="1"/>
    </xf>
    <xf numFmtId="171" fontId="27" fillId="21" borderId="1" applyAlignment="1" pivotButton="0" quotePrefix="0" xfId="0">
      <alignment horizontal="center" vertical="center" wrapText="1"/>
    </xf>
    <xf numFmtId="0" fontId="0" fillId="21" borderId="1" pivotButton="0" quotePrefix="0" xfId="0"/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0" fontId="28" fillId="20" borderId="1" applyAlignment="1" pivotButton="0" quotePrefix="0" xfId="0">
      <alignment horizontal="left" vertical="center" wrapText="1"/>
    </xf>
    <xf numFmtId="177" fontId="29" fillId="20" borderId="1" applyAlignment="1" pivotButton="0" quotePrefix="0" xfId="0">
      <alignment horizontal="center" vertical="center" wrapText="1"/>
    </xf>
    <xf numFmtId="0" fontId="0" fillId="20" borderId="1" pivotButton="0" quotePrefix="0" xfId="0"/>
    <xf numFmtId="178" fontId="30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173" fontId="18" fillId="21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20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75" fontId="8" fillId="15" borderId="9" applyAlignment="1" pivotButton="0" quotePrefix="0" xfId="0">
      <alignment horizontal="center" vertical="center" wrapText="1"/>
    </xf>
    <xf numFmtId="175" fontId="8" fillId="18" borderId="9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173" fontId="18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176" fontId="23" fillId="24" borderId="1" applyAlignment="1" pivotButton="0" quotePrefix="0" xfId="0">
      <alignment horizontal="center" vertical="center" wrapText="1"/>
    </xf>
    <xf numFmtId="176" fontId="38" fillId="23" borderId="1" applyAlignment="1" pivotButton="0" quotePrefix="0" xfId="0">
      <alignment horizontal="center" vertical="center" wrapText="1"/>
    </xf>
    <xf numFmtId="176" fontId="19" fillId="23" borderId="1" applyAlignment="1" pivotButton="0" quotePrefix="0" xfId="0">
      <alignment horizontal="center" vertical="center" wrapText="1"/>
    </xf>
    <xf numFmtId="176" fontId="19" fillId="0" borderId="1" applyAlignment="1" pivotButton="0" quotePrefix="0" xfId="0">
      <alignment horizontal="center" vertical="center" wrapText="1"/>
    </xf>
    <xf numFmtId="176" fontId="22" fillId="21" borderId="1" applyAlignment="1" pivotButton="0" quotePrefix="0" xfId="0">
      <alignment horizontal="center" vertical="center" wrapText="1"/>
    </xf>
    <xf numFmtId="176" fontId="19" fillId="21" borderId="1" applyAlignment="1" pivotButton="0" quotePrefix="0" xfId="0">
      <alignment horizontal="center" vertical="center" wrapText="1"/>
    </xf>
    <xf numFmtId="177" fontId="29" fillId="20" borderId="1" applyAlignment="1" pivotButton="0" quotePrefix="0" xfId="0">
      <alignment horizontal="center" vertical="center" wrapText="1"/>
    </xf>
    <xf numFmtId="178" fontId="30" fillId="20" borderId="1" applyAlignment="1" pivotButton="0" quotePrefix="0" xfId="0">
      <alignment horizontal="center" vertical="center" wrapText="1"/>
    </xf>
    <xf numFmtId="172" fontId="33" fillId="24" borderId="17" applyAlignment="1" pivotButton="0" quotePrefix="0" xfId="0">
      <alignment horizontal="center" vertical="center" wrapText="1"/>
    </xf>
    <xf numFmtId="172" fontId="34" fillId="23" borderId="17" applyAlignment="1" pivotButton="0" quotePrefix="0" xfId="0">
      <alignment horizontal="center" vertical="center" wrapText="1"/>
    </xf>
    <xf numFmtId="173" fontId="36" fillId="21" borderId="17" applyAlignment="1" pivotButton="0" quotePrefix="0" xfId="0">
      <alignment horizontal="center" vertical="center" wrapText="1"/>
    </xf>
    <xf numFmtId="174" fontId="37" fillId="0" borderId="17" applyAlignment="1" pivotButton="0" quotePrefix="0" xfId="0">
      <alignment horizontal="center" vertical="center" wrapText="1"/>
    </xf>
    <xf numFmtId="176" fontId="25" fillId="23" borderId="1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173" fontId="18" fillId="21" borderId="19" applyAlignment="1" pivotButton="0" quotePrefix="0" xfId="0">
      <alignment horizontal="center" vertical="center" wrapText="1"/>
    </xf>
    <xf numFmtId="0" fontId="0" fillId="0" borderId="29" pivotButton="0" quotePrefix="0" xfId="0"/>
    <xf numFmtId="0" fontId="16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2" fillId="0" borderId="31" applyAlignment="1" pivotButton="0" quotePrefix="0" xfId="0">
      <alignment horizontal="center" vertical="center" wrapText="1"/>
    </xf>
    <xf numFmtId="171" fontId="34" fillId="25" borderId="30" applyAlignment="1" pivotButton="0" quotePrefix="0" xfId="0">
      <alignment horizontal="center" vertical="center" wrapText="1"/>
    </xf>
    <xf numFmtId="170" fontId="34" fillId="25" borderId="30" applyAlignment="1" pivotButton="0" quotePrefix="0" xfId="0">
      <alignment horizontal="center" vertical="center" wrapText="1"/>
    </xf>
    <xf numFmtId="172" fontId="34" fillId="25" borderId="30" applyAlignment="1" pivotButton="0" quotePrefix="0" xfId="0">
      <alignment horizontal="center" vertical="center" wrapText="1"/>
    </xf>
    <xf numFmtId="2" fontId="34" fillId="25" borderId="30" applyAlignment="1" pivotButton="0" quotePrefix="0" xfId="0">
      <alignment horizontal="center" vertical="center" wrapText="1"/>
    </xf>
    <xf numFmtId="171" fontId="36" fillId="25" borderId="30" applyAlignment="1" pivotButton="0" quotePrefix="0" xfId="0">
      <alignment horizontal="center" vertical="center" wrapText="1"/>
    </xf>
    <xf numFmtId="0" fontId="21" fillId="26" borderId="30" applyAlignment="1" pivotButton="0" quotePrefix="0" xfId="0">
      <alignment horizontal="center" vertical="center" wrapText="1"/>
    </xf>
    <xf numFmtId="0" fontId="31" fillId="27" borderId="0" applyAlignment="1" pivotButton="0" quotePrefix="0" xfId="0">
      <alignment vertical="center"/>
    </xf>
    <xf numFmtId="0" fontId="22" fillId="25" borderId="30" applyAlignment="1" pivotButton="0" quotePrefix="0" xfId="0">
      <alignment horizontal="left" vertical="center" wrapText="1"/>
    </xf>
    <xf numFmtId="172" fontId="33" fillId="28" borderId="30" applyAlignment="1" pivotButton="0" quotePrefix="0" xfId="0">
      <alignment horizontal="center" vertical="center" wrapText="1"/>
    </xf>
    <xf numFmtId="171" fontId="33" fillId="28" borderId="30" applyAlignment="1" pivotButton="0" quotePrefix="0" xfId="0">
      <alignment horizontal="center" vertical="center" wrapText="1"/>
    </xf>
    <xf numFmtId="171" fontId="38" fillId="25" borderId="30" applyAlignment="1" pivotButton="0" quotePrefix="0" xfId="0">
      <alignment horizontal="center" vertical="center" wrapText="1"/>
    </xf>
    <xf numFmtId="174" fontId="38" fillId="25" borderId="30" applyAlignment="1" pivotButton="0" quotePrefix="0" xfId="0">
      <alignment horizontal="center" vertical="center" wrapText="1"/>
    </xf>
    <xf numFmtId="173" fontId="39" fillId="29" borderId="30" applyAlignment="1" pivotButton="0" quotePrefix="0" xfId="0">
      <alignment horizontal="center" vertical="center" wrapText="1"/>
    </xf>
    <xf numFmtId="179" fontId="38" fillId="25" borderId="30" applyAlignment="1" pivotButton="0" quotePrefix="0" xfId="0">
      <alignment horizontal="center" vertical="center" wrapText="1"/>
    </xf>
    <xf numFmtId="0" fontId="22" fillId="29" borderId="3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top" wrapText="1"/>
    </xf>
    <xf numFmtId="0" fontId="16" fillId="0" borderId="0" pivotButton="0" quotePrefix="0" xfId="0"/>
    <xf numFmtId="0" fontId="17" fillId="0" borderId="0" pivotButton="0" quotePrefix="0" xfId="0"/>
    <xf numFmtId="171" fontId="41" fillId="28" borderId="30" applyAlignment="1" pivotButton="0" quotePrefix="0" xfId="0">
      <alignment horizontal="center" vertical="center" wrapText="1"/>
    </xf>
    <xf numFmtId="171" fontId="24" fillId="27" borderId="30" applyAlignment="1" pivotButton="0" quotePrefix="0" xfId="0">
      <alignment horizontal="center" vertical="center" wrapText="1"/>
    </xf>
    <xf numFmtId="176" fontId="19" fillId="25" borderId="30" applyAlignment="1" pivotButton="0" quotePrefix="0" xfId="0">
      <alignment horizontal="center" vertical="center" wrapText="1"/>
    </xf>
    <xf numFmtId="184" fontId="30" fillId="25" borderId="30" applyAlignment="1" pivotButton="0" quotePrefix="0" xfId="0">
      <alignment horizontal="center" vertical="center" wrapText="1"/>
    </xf>
    <xf numFmtId="171" fontId="37" fillId="29" borderId="30" applyAlignment="1" pivotButton="0" quotePrefix="0" xfId="0">
      <alignment horizontal="center" vertical="center" wrapText="1"/>
    </xf>
    <xf numFmtId="171" fontId="24" fillId="29" borderId="30" applyAlignment="1" pivotButton="0" quotePrefix="0" xfId="0">
      <alignment horizontal="center" vertical="center" wrapText="1"/>
    </xf>
    <xf numFmtId="170" fontId="33" fillId="24" borderId="17" applyAlignment="1" pivotButton="0" quotePrefix="0" xfId="0">
      <alignment horizontal="center" vertical="center" wrapText="1"/>
    </xf>
    <xf numFmtId="176" fontId="40" fillId="24" borderId="1" applyAlignment="1" pivotButton="0" quotePrefix="0" xfId="0">
      <alignment horizontal="center" vertical="center" wrapText="1"/>
    </xf>
  </cellXfs>
  <cellStyles count="7">
    <cellStyle name="Звичайний" xfId="0" builtinId="0"/>
    <cellStyle name="Comma" xfId="1"/>
    <cellStyle name="Comma [0]" xfId="2"/>
    <cellStyle name="Currency" xfId="3"/>
    <cellStyle name="Currency [0]" xfId="4"/>
    <cellStyle name="Normal" xfId="5"/>
    <cellStyle name="Percent" xfId="6"/>
  </cellStyles>
  <dxfs count="2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44546A"/>
      <rgbColor rgb="FFC0C0C0"/>
      <rgbColor rgb="FF777777"/>
      <rgbColor rgb="FF9999FF"/>
      <rgbColor rgb="FF993366"/>
      <rgbColor rgb="FFFFF2CC"/>
      <rgbColor rgb="FFE7EEF6"/>
      <rgbColor rgb="FF660066"/>
      <rgbColor rgb="FFFF8080"/>
      <rgbColor rgb="FF1F4E79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E2F0D9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55A11"/>
      <rgbColor rgb="FF3E657B"/>
      <rgbColor rgb="FF969696"/>
      <rgbColor rgb="FF1F3864"/>
      <rgbColor rgb="FF339966"/>
      <rgbColor rgb="FF003300"/>
      <rgbColor rgb="FF454545"/>
      <rgbColor rgb="FF993300"/>
      <rgbColor rgb="FF993366"/>
      <rgbColor rgb="FF203864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style="71" min="1" max="1"/>
    <col width="17" customWidth="1" style="71" min="2" max="2"/>
    <col width="17" customWidth="1" style="71" min="3" max="3"/>
    <col width="17" customWidth="1" style="71" min="4" max="4"/>
    <col width="17" customWidth="1" style="71" min="5" max="5"/>
    <col width="17" customWidth="1" style="71" min="6" max="6"/>
    <col width="17" customWidth="1" style="71" min="7" max="7"/>
    <col width="17" customWidth="1" style="71" min="8" max="8"/>
  </cols>
  <sheetData>
    <row r="1" ht="26" customHeight="1" s="71">
      <c r="A1" s="172" t="inlineStr">
        <is>
          <t>What the landed cost in Ukraine is made of · ₴ per pack</t>
        </is>
      </c>
    </row>
    <row r="2" ht="30" customHeight="1" s="71">
      <c r="A2" s="154" t="inlineStr">
        <is>
          <t>SIAS purchase + delivery + import VAT + financing = landed cost. Delivery = freight, broker, terminal and certification of the batch, per pack. Customs duty 0 %.</t>
        </is>
      </c>
    </row>
    <row r="4">
      <c r="A4" s="173" t="inlineStr">
        <is>
          <t>33 PALLETS · FULL TRUCK</t>
        </is>
      </c>
    </row>
    <row r="5" ht="44" customHeight="1" s="71">
      <c r="A5" s="161" t="inlineStr"/>
      <c r="B5" s="161" t="inlineStr">
        <is>
          <t>SIAS purchase
pack price × rate</t>
        </is>
      </c>
      <c r="C5" s="161" t="inlineStr">
        <is>
          <t>Delivery
freight, broker, terminal</t>
        </is>
      </c>
      <c r="D5" s="161" t="inlineStr">
        <is>
          <t>Import VAT
20 % on goods and freight</t>
        </is>
      </c>
      <c r="E5" s="161" t="inlineStr">
        <is>
          <t>Financing
2.5 % of the sum</t>
        </is>
      </c>
      <c r="F5" s="161" t="inlineStr">
        <is>
          <t>Landed cost, ₴ (sum of blocks)</t>
        </is>
      </c>
      <c r="G5" s="161" t="inlineStr">
        <is>
          <t>Landed cost, €</t>
        </is>
      </c>
      <c r="H5" s="161" t="inlineStr">
        <is>
          <t>Check vs model sheet</t>
        </is>
      </c>
    </row>
    <row r="6" ht="34" customHeight="1" s="71">
      <c r="A6" s="163" t="inlineStr">
        <is>
          <t>BEFORE · 4 SKUs
(Vegetable, Spicy, Beef, Chicken)</t>
        </is>
      </c>
      <c r="B6" s="174" t="n">
        <v>33.28</v>
      </c>
      <c r="C6" s="174" t="n">
        <v>3.668446389496718</v>
      </c>
      <c r="D6" s="174" t="n">
        <v>7.127527352297594</v>
      </c>
      <c r="E6" s="174" t="n">
        <v>1.101899343544858</v>
      </c>
      <c r="F6" s="175">
        <f>SUM(B6:E6)</f>
        <v>45.17787308533917</v>
      </c>
      <c r="G6" s="176">
        <f>F6/'33 pallets'!F14</f>
        <v>0.8823803336980307</v>
      </c>
      <c r="H6" s="177">
        <f>ROUND(F6-'33 pallets'!C4,4)</f>
        <v>0</v>
      </c>
    </row>
    <row r="7" ht="34" customHeight="1" s="71">
      <c r="A7" s="163" t="inlineStr">
        <is>
          <t>BEFORE · 2 SKUs
(Gouda, Carbonara)</t>
        </is>
      </c>
      <c r="B7" s="174" t="n">
        <v>38.40000000000001</v>
      </c>
      <c r="C7" s="174" t="n">
        <v>4.232822757111598</v>
      </c>
      <c r="D7" s="174" t="n">
        <v>8.22407002188184</v>
      </c>
      <c r="E7" s="174" t="n">
        <v>1.271422319474836</v>
      </c>
      <c r="F7" s="175">
        <f>SUM(B7:E7)</f>
        <v>52.12831509846829</v>
      </c>
      <c r="G7" s="176">
        <f>F7/'33 pallets'!F14</f>
        <v>1.0181311542669587</v>
      </c>
      <c r="H7" s="177">
        <f>ROUND(F7-'33 pallets'!C6,4)</f>
        <v>0</v>
      </c>
    </row>
    <row r="8" ht="34" customHeight="1" s="71">
      <c r="A8" s="170" t="inlineStr">
        <is>
          <t>AFTER · SIAS request
(all 6 SKUs)</t>
        </is>
      </c>
      <c r="B8" s="178">
        <f>'33 pallets'!B19*'33 pallets'!F14</f>
        <v>27.648000000000003</v>
      </c>
      <c r="C8" s="178">
        <f>('33 pallets'!E16+'33 pallets'!F16+'33 pallets'!G16)/('33 pallets'!C18*'33 pallets'!D18)*'33 pallets'!F14</f>
        <v>3.907878787878788</v>
      </c>
      <c r="D8" s="178">
        <f>('33 pallets'!B19+'33 pallets'!E16*'33 pallets'!B18/('33 pallets'!C18*'33 pallets'!D18))*(1+'33 pallets'!D16)*'33 pallets'!B16*'33 pallets'!F14</f>
        <v>6.031903030303031</v>
      </c>
      <c r="E8" s="178">
        <f>(B8+C8+D8+('33 pallets'!B19+'33 pallets'!E16*'33 pallets'!B18/('33 pallets'!C18*'33 pallets'!D18))*'33 pallets'!D16*'33 pallets'!F14)*'33 pallets'!C16</f>
        <v>0.9396945454545457</v>
      </c>
      <c r="F8" s="179">
        <f>SUM(B8:E8)</f>
        <v>38.52747636363637</v>
      </c>
      <c r="G8" s="176">
        <f>F8/'33 pallets'!F14</f>
        <v>0.7524897727272728</v>
      </c>
      <c r="H8" s="177">
        <f>ROUND(F8-'33 pallets'!C8,4)</f>
        <v>0</v>
      </c>
    </row>
    <row r="10">
      <c r="A10" s="173" t="inlineStr">
        <is>
          <t>6 PALLETS</t>
        </is>
      </c>
    </row>
    <row r="11" ht="44" customHeight="1" s="71">
      <c r="A11" s="161" t="inlineStr"/>
      <c r="B11" s="161" t="inlineStr">
        <is>
          <t>SIAS purchase
pack price × rate</t>
        </is>
      </c>
      <c r="C11" s="161" t="inlineStr">
        <is>
          <t>Delivery
freight, broker, terminal</t>
        </is>
      </c>
      <c r="D11" s="161" t="inlineStr">
        <is>
          <t>Import VAT
20 % on goods and freight</t>
        </is>
      </c>
      <c r="E11" s="161" t="inlineStr">
        <is>
          <t>Financing
2.5 % of the sum</t>
        </is>
      </c>
      <c r="F11" s="161" t="inlineStr">
        <is>
          <t>Landed cost, ₴ (sum of blocks)</t>
        </is>
      </c>
      <c r="G11" s="161" t="inlineStr">
        <is>
          <t>Landed cost, €</t>
        </is>
      </c>
      <c r="H11" s="161" t="inlineStr">
        <is>
          <t>Check vs model sheet</t>
        </is>
      </c>
    </row>
    <row r="12" ht="34" customHeight="1" s="71">
      <c r="A12" s="163" t="inlineStr">
        <is>
          <t>BEFORE · 4 SKUs
(Vegetable, Spicy, Beef, Chicken)</t>
        </is>
      </c>
      <c r="B12" s="174" t="n">
        <v>33.28</v>
      </c>
      <c r="C12" s="174" t="n">
        <v>14.86439024390244</v>
      </c>
      <c r="D12" s="174" t="n">
        <v>8.502634146341462</v>
      </c>
      <c r="E12" s="174" t="n">
        <v>1.416175609756098</v>
      </c>
      <c r="F12" s="175">
        <f>SUM(B12:E12)</f>
        <v>58.0632</v>
      </c>
      <c r="G12" s="176">
        <f>F12/'6 pallets'!F14</f>
        <v>1.134046875</v>
      </c>
      <c r="H12" s="177">
        <f>ROUND(F12-'6 pallets'!C4,4)</f>
        <v>0</v>
      </c>
    </row>
    <row r="13" ht="34" customHeight="1" s="71">
      <c r="A13" s="163" t="inlineStr">
        <is>
          <t>BEFORE · 2 SKUs
(Gouda, Carbonara)</t>
        </is>
      </c>
      <c r="B13" s="174" t="n">
        <v>38.40000000000001</v>
      </c>
      <c r="C13" s="174" t="n">
        <v>17.15121951219512</v>
      </c>
      <c r="D13" s="174" t="n">
        <v>9.810731707317075</v>
      </c>
      <c r="E13" s="174" t="n">
        <v>1.634048780487805</v>
      </c>
      <c r="F13" s="175">
        <f>SUM(B13:E13)</f>
        <v>66.99600000000001</v>
      </c>
      <c r="G13" s="176">
        <f>F13/'6 pallets'!F14</f>
        <v>1.308515625</v>
      </c>
      <c r="H13" s="177">
        <f>ROUND(F13-'6 pallets'!C6,4)</f>
        <v>0</v>
      </c>
    </row>
    <row r="14" ht="34" customHeight="1" s="71">
      <c r="A14" s="170" t="inlineStr">
        <is>
          <t>AFTER · SIAS request
(all 6 SKUs)</t>
        </is>
      </c>
      <c r="B14" s="178">
        <f>'6 pallets'!B20*'6 pallets'!F14</f>
        <v>16.384</v>
      </c>
      <c r="C14" s="178">
        <f>('6 pallets'!E16+'6 pallets'!F16+'6 pallets'!G16)/('6 pallets'!C18*'6 pallets'!D18)*'6 pallets'!F14</f>
        <v>15.626666666666669</v>
      </c>
      <c r="D14" s="178">
        <f>('6 pallets'!B20+'6 pallets'!E16*'6 pallets'!B18/('6 pallets'!C18*'6 pallets'!D18))*(1+'6 pallets'!D16)*'6 pallets'!B16*'6 pallets'!F14</f>
        <v>5.218133333333333</v>
      </c>
      <c r="E14" s="178">
        <f>(B14+C14+D14+('6 pallets'!B20+'6 pallets'!E16*'6 pallets'!B18/('6 pallets'!C18*'6 pallets'!D18))*'6 pallets'!D16*'6 pallets'!F14)*'6 pallets'!C16</f>
        <v>0.93072</v>
      </c>
      <c r="F14" s="179">
        <f>SUM(B14:E14)</f>
        <v>38.15952</v>
      </c>
      <c r="G14" s="176">
        <f>F14/'6 pallets'!F14</f>
        <v>0.745303125</v>
      </c>
      <c r="H14" s="177">
        <f>ROUND(F14-'6 pallets'!C8,4)</f>
        <v>0</v>
      </c>
    </row>
    <row r="16" ht="28" customHeight="1" s="71">
      <c r="A16" s="171" t="inlineStr">
        <is>
          <t>"Before": per our cost file (logistics allocated by value). "After": at the requested price, logistics spread evenly per pack. The smaller the batch, the higher the delivery cost per pack.</t>
        </is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5"/>
  <sheetViews>
    <sheetView showGridLines="0" workbookViewId="0">
      <selection activeCell="C6" sqref="C6"/>
    </sheetView>
  </sheetViews>
  <sheetFormatPr baseColWidth="8" defaultRowHeight="14.4"/>
  <cols>
    <col width="38" customWidth="1" style="71" min="1" max="1"/>
    <col width="17" customWidth="1" style="71" min="2" max="2"/>
    <col width="23.88671875" customWidth="1" style="71" min="3" max="3"/>
    <col width="17" customWidth="1" style="71" min="4" max="8"/>
    <col width="2" customWidth="1" style="71" min="9" max="9"/>
  </cols>
  <sheetData>
    <row r="1">
      <c r="A1" s="134" t="inlineStr">
        <is>
          <t>SIAS · from purchase price to shelf price, one line · 6 pallets</t>
        </is>
      </c>
    </row>
    <row r="2" ht="26.4" customHeight="1" s="71">
      <c r="A2" s="125" t="inlineStr">
        <is>
          <t>REQUEST TO SIAS, €/pack</t>
        </is>
      </c>
      <c r="B2" s="135">
        <f>B20</f>
        <v>0.32</v>
      </c>
      <c r="C2" s="63" t="n"/>
      <c r="D2" s="129" t="str">
        <f>"now €"&amp;B5&amp;" (4 SKUs) / €"&amp;B7&amp;" (2 SKUs)"</f>
        <v>now €0.65 (4 SKUs) / €0.75 (2 SKUs)</v>
      </c>
      <c r="E2" s="63" t="n"/>
      <c r="F2" s="128" t="str">
        <f>"reduction −"&amp;ROUND((1-B20/B5)*100,0)&amp;" % / −"&amp;ROUND((1-B20/B7)*100,0)&amp;" %"</f>
        <v>reduction −51 % / −57 %</v>
      </c>
      <c r="G2" s="63" t="n"/>
      <c r="H2" s="129" t="inlineStr">
        <is>
          <t>one price for all 6 SKUs</t>
        </is>
      </c>
    </row>
    <row r="3" ht="36" customHeight="1" s="71">
      <c r="A3" s="99" t="inlineStr">
        <is>
          <t>Scenario</t>
        </is>
      </c>
      <c r="B3" s="99" t="inlineStr">
        <is>
          <t>SIAS purchase
per pack</t>
        </is>
      </c>
      <c r="C3" s="99" t="inlineStr">
        <is>
          <t>Landed cost in Ukraine
product + costs in Ukraine</t>
        </is>
      </c>
      <c r="D3" s="99" t="inlineStr">
        <is>
          <t>Partner price
cost ÷ (1 − bonus − our share)</t>
        </is>
      </c>
      <c r="E3" s="99" t="str">
        <f>"Chain bonus"&amp;CHAR(10)&amp;ROUND(D14*100,0)&amp;" % of partner price"</f>
        <v>Chain bonus
35 % of partner price</v>
      </c>
      <c r="F3" s="99" t="str">
        <f>"Left for us"&amp;CHAR(10)&amp;"costs &amp; margin"</f>
        <v>Left for us
costs &amp; margin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$B$24*F14</f>
        <v>58.063199999999995</v>
      </c>
      <c r="D4" s="101">
        <f>C4/(1-D14-C14)</f>
        <v>129.0293333333333</v>
      </c>
      <c r="E4" s="102">
        <f>D4*D14</f>
        <v>45.16026666666666</v>
      </c>
      <c r="F4" s="102">
        <f>D4-C4-E4</f>
        <v>25.80586666666666</v>
      </c>
      <c r="G4" s="102">
        <f>D4*(E14-1)</f>
        <v>51.61173333333331</v>
      </c>
      <c r="H4" s="103">
        <f>D4*E14</f>
        <v>180.64106666666663</v>
      </c>
    </row>
    <row r="5" ht="19.95" customHeight="1" s="71">
      <c r="A5" s="136" t="n"/>
      <c r="B5" s="137" t="n">
        <v>0.65</v>
      </c>
      <c r="C5" s="138">
        <f>C4/F14</f>
        <v>1.134046875</v>
      </c>
      <c r="D5" s="139">
        <f>D4/F14</f>
        <v>2.520104166666666</v>
      </c>
      <c r="E5" s="139">
        <f>E4/F14</f>
        <v>0.8820364583333331</v>
      </c>
      <c r="F5" s="139">
        <f>F4/F14</f>
        <v>0.5040208333333331</v>
      </c>
      <c r="G5" s="139">
        <f>G4/F14</f>
        <v>1.0080416666666663</v>
      </c>
      <c r="H5" s="139">
        <f>H4/F14</f>
        <v>3.5281458333333324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$B$25*F14</f>
        <v>66.99600000000001</v>
      </c>
      <c r="D6" s="109">
        <f>C6/(1-D14-C14)</f>
        <v>148.88000000000002</v>
      </c>
      <c r="E6" s="110">
        <f>D6*D14</f>
        <v>52.108000000000004</v>
      </c>
      <c r="F6" s="110">
        <f>D6-C6-E6</f>
        <v>29.77600000000001</v>
      </c>
      <c r="G6" s="110">
        <f>D6*(E14-1)</f>
        <v>59.552</v>
      </c>
      <c r="H6" s="111">
        <f>D6*E14</f>
        <v>208.43200000000002</v>
      </c>
    </row>
    <row r="7" ht="19.95" customHeight="1" s="71">
      <c r="A7" s="136" t="n"/>
      <c r="B7" s="137" t="n">
        <v>0.75</v>
      </c>
      <c r="C7" s="138">
        <f>C6/F14</f>
        <v>1.308515625</v>
      </c>
      <c r="D7" s="140">
        <f>D6/F14</f>
        <v>2.9078125000000004</v>
      </c>
      <c r="E7" s="140">
        <f>E6/F14</f>
        <v>1.017734375</v>
      </c>
      <c r="F7" s="140">
        <f>F6/F14</f>
        <v>0.5815625000000002</v>
      </c>
      <c r="G7" s="140">
        <f>G6/F14</f>
        <v>1.163125</v>
      </c>
      <c r="H7" s="140">
        <f>H6/F14</f>
        <v>4.0709375</v>
      </c>
    </row>
    <row r="8" ht="25.95" customHeight="1" s="71">
      <c r="A8" s="114" t="inlineStr">
        <is>
          <t>AFTER · SIAS request
(all 6 SKUs)</t>
        </is>
      </c>
      <c r="B8" s="115">
        <f>B9*F14</f>
        <v>16.384</v>
      </c>
      <c r="C8" s="115">
        <f>B22</f>
        <v>38.15951999999999</v>
      </c>
      <c r="D8" s="115">
        <f>C8/(1-D14-C14)</f>
        <v>84.79893333333332</v>
      </c>
      <c r="E8" s="116">
        <f>D8*D14</f>
        <v>29.67962666666666</v>
      </c>
      <c r="F8" s="116">
        <f>D8-C8-E8</f>
        <v>16.95978666666667</v>
      </c>
      <c r="G8" s="116">
        <f>D8*(E14-1)</f>
        <v>33.919573333333325</v>
      </c>
      <c r="H8" s="117">
        <f>D8*E14</f>
        <v>118.71850666666664</v>
      </c>
    </row>
    <row r="9" ht="19.95" customHeight="1" s="71">
      <c r="A9" s="136" t="n"/>
      <c r="B9" s="141">
        <f>B20</f>
        <v>0.32</v>
      </c>
      <c r="C9" s="142">
        <f>C8/F14</f>
        <v>0.7453031249999998</v>
      </c>
      <c r="D9" s="142">
        <f>D8/F14</f>
        <v>1.6562291666666664</v>
      </c>
      <c r="E9" s="142">
        <f>E8/F14</f>
        <v>0.5796802083333332</v>
      </c>
      <c r="F9" s="142">
        <f>F8/F14</f>
        <v>0.33124583333333335</v>
      </c>
      <c r="G9" s="142">
        <f>G8/F14</f>
        <v>0.6624916666666665</v>
      </c>
      <c r="H9" s="142">
        <f>H8/F14</f>
        <v>2.318720833333333</v>
      </c>
    </row>
    <row r="10" ht="24" customHeight="1" s="71">
      <c r="A10" s="121" t="inlineStr">
        <is>
          <t>CHANGE: AFTER − BEFORE (4 SKUs)</t>
        </is>
      </c>
      <c r="B10" s="143">
        <f>B8-B4</f>
        <v>-16.896</v>
      </c>
      <c r="C10" s="143">
        <f>C8-C4</f>
        <v>-19.90368</v>
      </c>
      <c r="D10" s="143">
        <f>D8-D4</f>
        <v>-44.23039999999999</v>
      </c>
      <c r="E10" s="143">
        <f>E8-E4</f>
        <v>-15.480639999999998</v>
      </c>
      <c r="F10" s="143">
        <f>F8-F4</f>
        <v>-8.84607999999999</v>
      </c>
      <c r="G10" s="143">
        <f>G8-G4</f>
        <v>-17.692159999999987</v>
      </c>
      <c r="H10" s="143">
        <f>H8-H4</f>
        <v>-61.92255999999999</v>
      </c>
    </row>
    <row r="11" ht="18" customHeight="1" s="71">
      <c r="A11" s="136" t="n"/>
      <c r="B11" s="144">
        <f>B9-B5</f>
        <v>-0.33</v>
      </c>
      <c r="C11" s="144">
        <f>C9-C5</f>
        <v>-0.38874375000000005</v>
      </c>
      <c r="D11" s="144">
        <f>D9-D5</f>
        <v>-0.8638749999999997</v>
      </c>
      <c r="E11" s="144">
        <f>E9-E5</f>
        <v>-0.3023562499999999</v>
      </c>
      <c r="F11" s="144">
        <f>F9-F5</f>
        <v>-0.1727749999999998</v>
      </c>
      <c r="G11" s="144">
        <f>G9-G5</f>
        <v>-0.3455499999999998</v>
      </c>
      <c r="H11" s="144">
        <f>H9-H5</f>
        <v>-1.2094249999999995</v>
      </c>
    </row>
    <row r="12" ht="15" customHeight="1" s="71" thickBot="1">
      <c r="A12" s="90" t="inlineStr">
        <is>
          <t>INPUTS — yellow cells can be changed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26" customHeight="1" s="71">
      <c r="B13" s="45" t="inlineStr">
        <is>
          <t>Shelf price, ₴</t>
        </is>
      </c>
      <c r="C13" s="45" t="inlineStr">
        <is>
          <t>Our share of partner price</t>
        </is>
      </c>
      <c r="D13" s="45" t="inlineStr">
        <is>
          <t>Chain bonus</t>
        </is>
      </c>
      <c r="E13" s="45" t="inlineStr">
        <is>
          <t>Shelf multiplier</t>
        </is>
      </c>
      <c r="F13" s="45" t="inlineStr">
        <is>
          <t>Rate ₴/€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5" t="n">
        <v>0.35</v>
      </c>
      <c r="E14" s="180" t="n">
        <v>1.4</v>
      </c>
      <c r="F14" s="53" t="n">
        <v>51.2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2600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6</v>
      </c>
      <c r="D18" s="52" t="n">
        <v>1600</v>
      </c>
    </row>
    <row r="19"/>
    <row r="20">
      <c r="A20" s="54" t="inlineStr">
        <is>
          <t>Request to SIAS, €/pack (rounded down to the euro cent)</t>
        </is>
      </c>
      <c r="B20" s="147">
        <f>ROUNDDOWN(((B14/E14*(1-D14-C14))/F14/(1+C16)-(E16+F16+G16+E16*B18*(D16+B16*(1+D16)))/(C18*D18))/((1+D16)*(1+B16)),2)</f>
        <v>0.32</v>
      </c>
    </row>
    <row r="21">
      <c r="A21" s="54" t="inlineStr">
        <is>
          <t>Maximum purchase price before rounding, €/pack</t>
        </is>
      </c>
      <c r="B21" s="148">
        <f>((B14/E14*(1-D14-C14))/F14/(1+C16)-(E16+F16+G16+E16*B18*(D16+B16*(1+D16)))/(C18*D18))/((1+D16)*(1+B16))</f>
        <v>0.3265407229965157</v>
      </c>
    </row>
    <row r="22" ht="30" customHeight="1" s="71">
      <c r="A22" s="54" t="inlineStr">
        <is>
          <t>Landed cost in Ukraine at the request, ₴/pack</t>
        </is>
      </c>
      <c r="B22" s="57">
        <f>(B20*F14+(E16+F16+G16)/(C18*D18)*F14+(B20+E16*B18/(C18*D18))*D16*F14+(B20+E16*B18/(C18*D18))*(1+D16)*B16*F14)*(1+C16)</f>
        <v>38.15951999999999</v>
      </c>
    </row>
    <row r="23"/>
    <row r="24" ht="30" customHeight="1" s="71">
      <c r="A24" s="54" t="inlineStr">
        <is>
          <t>Landed cost today, 4 SKUs (Vegetable, Spicy, Beef, Chicken), €/pack</t>
        </is>
      </c>
      <c r="B24" s="181" t="n">
        <v>1.134046875</v>
      </c>
    </row>
    <row r="25" ht="30" customHeight="1" s="71">
      <c r="A25" s="54" t="inlineStr">
        <is>
          <t>Landed cost today, 2 SKUs (Gouda, Carbonara), €/pack</t>
        </is>
      </c>
      <c r="B25" s="181" t="n">
        <v>1.308515625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23A5E"/>
    <outlinePr summaryBelow="1" summaryRight="1"/>
    <pageSetUpPr fitToPage="1"/>
  </sheetPr>
  <dimension ref="A1:H24"/>
  <sheetViews>
    <sheetView showGridLines="0" tabSelected="1" workbookViewId="0">
      <selection activeCell="B8" sqref="B8"/>
    </sheetView>
  </sheetViews>
  <sheetFormatPr baseColWidth="8" defaultRowHeight="14.4"/>
  <cols>
    <col width="38" customWidth="1" style="71" min="1" max="1"/>
    <col width="17" customWidth="1" style="71" min="2" max="8"/>
    <col width="2" customWidth="1" style="71" min="9" max="9"/>
  </cols>
  <sheetData>
    <row r="1">
      <c r="A1" s="150" t="inlineStr">
        <is>
          <t>SIAS · from purchase price to shelf price, one line · 33 pallets (Full Truck)</t>
        </is>
      </c>
    </row>
    <row r="2" ht="26.4" customHeight="1" s="71">
      <c r="A2" s="92" t="inlineStr">
        <is>
          <t>REQUEST TO SIAS, €/pack</t>
        </is>
      </c>
      <c r="B2" s="151">
        <f>B19</f>
        <v>0.54</v>
      </c>
      <c r="C2" s="152" t="n"/>
      <c r="D2" s="98" t="str">
        <f>"now €"&amp;B5&amp;" (4 SKUs) / €"&amp;B7&amp;" (2 SKUs)"</f>
        <v>now €0.65 (4 SKUs) / €0.75 (2 SKUs)</v>
      </c>
      <c r="E2" s="152" t="n"/>
      <c r="F2" s="97" t="str">
        <f>"reduction −"&amp;ROUND((1-B19/B5)*100,0)&amp;" % / −"&amp;ROUND((1-B19/B7)*100,0)&amp;" %"</f>
        <v>reduction −17 % / −28 %</v>
      </c>
      <c r="G2" s="152" t="n"/>
      <c r="H2" s="98" t="inlineStr">
        <is>
          <t>one price for all 6 SKUs</t>
        </is>
      </c>
    </row>
    <row r="3" ht="54" customHeight="1" s="71">
      <c r="A3" s="99" t="inlineStr">
        <is>
          <t>Scenario</t>
        </is>
      </c>
      <c r="B3" s="99" t="inlineStr">
        <is>
          <t>SIAS purchase
per pack</t>
        </is>
      </c>
      <c r="C3" s="99" t="inlineStr">
        <is>
          <t>Landed cost in Ukraine
product + costs in Ukraine</t>
        </is>
      </c>
      <c r="D3" s="99" t="inlineStr">
        <is>
          <t>Partner price
cost ÷ (1 − bonus − our share)</t>
        </is>
      </c>
      <c r="E3" s="99" t="str">
        <f>"Chain bonus"&amp;CHAR(10)&amp;ROUND(D14*100,0)&amp;" % of partner price"</f>
        <v>Chain bonus
35 % of partner price</v>
      </c>
      <c r="F3" s="99" t="str">
        <f>"Left for us"&amp;CHAR(10)&amp;"costs &amp; margin"</f>
        <v>Left for us
costs &amp; margin</v>
      </c>
      <c r="G3" s="99" t="inlineStr">
        <is>
          <t>Store markup
+40 % on partner price</t>
        </is>
      </c>
      <c r="H3" s="99" t="inlineStr">
        <is>
          <t>SHELF PRICE incl. VAT
partner price × 1.40</t>
        </is>
      </c>
    </row>
    <row r="4" ht="25.95" customHeight="1" s="71">
      <c r="A4" s="100" t="inlineStr">
        <is>
          <t>BEFORE · Vegetable, Spicy, Beef, Chicken
(4 SKUs)</t>
        </is>
      </c>
      <c r="B4" s="101">
        <f>B5*F14</f>
        <v>33.28</v>
      </c>
      <c r="C4" s="101">
        <f>$B$23*F14</f>
        <v>45.17787308533919</v>
      </c>
      <c r="D4" s="101">
        <f>C4/(1-D14-C14)</f>
        <v>100.39527352297598</v>
      </c>
      <c r="E4" s="102">
        <f>D4*D14</f>
        <v>35.13834573304159</v>
      </c>
      <c r="F4" s="102">
        <f>D4-C4-E4</f>
        <v>20.0790547045952</v>
      </c>
      <c r="G4" s="102">
        <f>D4*(E14-1)</f>
        <v>40.15810940919039</v>
      </c>
      <c r="H4" s="103">
        <f>D4*E14</f>
        <v>140.55338293216636</v>
      </c>
    </row>
    <row r="5">
      <c r="A5" s="136" t="n"/>
      <c r="B5" s="137" t="n">
        <v>0.65</v>
      </c>
      <c r="C5" s="138">
        <f>C4/F14</f>
        <v>0.882380333698031</v>
      </c>
      <c r="D5" s="139">
        <f>D4/F14</f>
        <v>1.9608451859956246</v>
      </c>
      <c r="E5" s="139">
        <f>E4/F14</f>
        <v>0.6862958150984685</v>
      </c>
      <c r="F5" s="139">
        <f>F4/F14</f>
        <v>0.392169037199125</v>
      </c>
      <c r="G5" s="139">
        <f>G4/F14</f>
        <v>0.7843380743982498</v>
      </c>
      <c r="H5" s="139">
        <f>H4/F14</f>
        <v>2.745183260393874</v>
      </c>
    </row>
    <row r="6" ht="25.95" customHeight="1" s="71">
      <c r="A6" s="108" t="inlineStr">
        <is>
          <t>BEFORE · Gouda Cheese, Carbonara Spicy
(2 SKUs)</t>
        </is>
      </c>
      <c r="B6" s="109">
        <f>B7*F14</f>
        <v>38.400000000000006</v>
      </c>
      <c r="C6" s="109">
        <f>$B$24*F14</f>
        <v>52.12831509846825</v>
      </c>
      <c r="D6" s="109">
        <f>C6/(1-D14-C14)</f>
        <v>115.84070021881833</v>
      </c>
      <c r="E6" s="110">
        <f>D6*D14</f>
        <v>40.544245076586414</v>
      </c>
      <c r="F6" s="110">
        <f>D6-C6-E6</f>
        <v>23.168140043763664</v>
      </c>
      <c r="G6" s="110">
        <f>D6*(E14-1)</f>
        <v>46.33628008752732</v>
      </c>
      <c r="H6" s="111">
        <f>D6*E14</f>
        <v>162.17698030634565</v>
      </c>
    </row>
    <row r="7" ht="19.95" customHeight="1" s="71">
      <c r="A7" s="136" t="n"/>
      <c r="B7" s="137" t="n">
        <v>0.75</v>
      </c>
      <c r="C7" s="138">
        <f>C6/F14</f>
        <v>1.018131154266958</v>
      </c>
      <c r="D7" s="140">
        <f>D6/F14</f>
        <v>2.2625136761487954</v>
      </c>
      <c r="E7" s="140">
        <f>E6/F14</f>
        <v>0.7918797866520784</v>
      </c>
      <c r="F7" s="140">
        <f>F6/F14</f>
        <v>0.45250273522975903</v>
      </c>
      <c r="G7" s="140">
        <f>G6/F14</f>
        <v>0.905005470459518</v>
      </c>
      <c r="H7" s="140">
        <f>H6/F14</f>
        <v>3.1675191466083135</v>
      </c>
    </row>
    <row r="8" ht="25.95" customHeight="1" s="71">
      <c r="A8" s="114" t="inlineStr">
        <is>
          <t>AFTER · SIAS request
(all 6 SKUs)</t>
        </is>
      </c>
      <c r="B8" s="115">
        <f>B9*F14</f>
        <v>27.648000000000003</v>
      </c>
      <c r="C8" s="115">
        <f>B21</f>
        <v>38.52747636363637</v>
      </c>
      <c r="D8" s="115">
        <f>C8/(1-D14-C14)</f>
        <v>85.61661414141415</v>
      </c>
      <c r="E8" s="116">
        <f>D8*D14</f>
        <v>29.96581494949495</v>
      </c>
      <c r="F8" s="116">
        <f>D8-C8-E8</f>
        <v>17.12332282828283</v>
      </c>
      <c r="G8" s="116">
        <f>D8*(E14-1)</f>
        <v>34.246645656565654</v>
      </c>
      <c r="H8" s="117">
        <f>D8*E14</f>
        <v>119.8632597979798</v>
      </c>
    </row>
    <row r="9" ht="19.95" customHeight="1" s="71">
      <c r="A9" s="136" t="n"/>
      <c r="B9" s="141">
        <f>B19</f>
        <v>0.54</v>
      </c>
      <c r="C9" s="142">
        <f>C8/F14</f>
        <v>0.7524897727272728</v>
      </c>
      <c r="D9" s="142">
        <f>D8/F14</f>
        <v>1.672199494949495</v>
      </c>
      <c r="E9" s="142">
        <f>E8/F14</f>
        <v>0.5852698232323231</v>
      </c>
      <c r="F9" s="142">
        <f>F8/F14</f>
        <v>0.334439898989899</v>
      </c>
      <c r="G9" s="142">
        <f>G8/F14</f>
        <v>0.6688797979797979</v>
      </c>
      <c r="H9" s="142">
        <f>H8/F14</f>
        <v>2.3410792929292925</v>
      </c>
    </row>
    <row r="10" ht="24" customHeight="1" s="71">
      <c r="A10" s="121" t="inlineStr">
        <is>
          <t>CHANGE: AFTER − BEFORE (4 SKUs)</t>
        </is>
      </c>
      <c r="B10" s="143">
        <f>B8-B4</f>
        <v>-5.631999999999998</v>
      </c>
      <c r="C10" s="143">
        <f>C8-C4</f>
        <v>-6.650396721702826</v>
      </c>
      <c r="D10" s="143">
        <f>D8-D4</f>
        <v>-14.778659381561837</v>
      </c>
      <c r="E10" s="143">
        <f>E8-E4</f>
        <v>-5.172530783546641</v>
      </c>
      <c r="F10" s="143">
        <f>F8-F4</f>
        <v>-2.9557318763123703</v>
      </c>
      <c r="G10" s="143">
        <f>G8-G4</f>
        <v>-5.911463752624734</v>
      </c>
      <c r="H10" s="143">
        <f>H8-H4</f>
        <v>-20.690123134186564</v>
      </c>
    </row>
    <row r="11" ht="18" customHeight="1" s="71">
      <c r="A11" s="136" t="n"/>
      <c r="B11" s="144">
        <f>B9-B5</f>
        <v>-0.10999999999999999</v>
      </c>
      <c r="C11" s="144">
        <f>C9-C5</f>
        <v>-0.12989056097075824</v>
      </c>
      <c r="D11" s="144">
        <f>D9-D5</f>
        <v>-0.2886456910461297</v>
      </c>
      <c r="E11" s="144">
        <f>E9-E5</f>
        <v>-0.10102599186614536</v>
      </c>
      <c r="F11" s="144">
        <f>F9-F5</f>
        <v>-0.05772913820922598</v>
      </c>
      <c r="G11" s="144">
        <f>G9-G5</f>
        <v>-0.11545827641845186</v>
      </c>
      <c r="H11" s="144">
        <f>H9-H5</f>
        <v>-0.40410396746458144</v>
      </c>
    </row>
    <row r="12" ht="15" customHeight="1" s="71" thickBot="1">
      <c r="A12" s="90" t="inlineStr">
        <is>
          <t>INPUTS — yellow cells can be changed</t>
        </is>
      </c>
      <c r="B12" s="91" t="n"/>
      <c r="C12" s="91" t="n"/>
      <c r="D12" s="91" t="n"/>
      <c r="E12" s="91" t="n"/>
      <c r="F12" s="91" t="n"/>
      <c r="G12" s="91" t="n"/>
      <c r="H12" s="91" t="n"/>
    </row>
    <row r="13" ht="26" customHeight="1" s="71">
      <c r="B13" s="45" t="inlineStr">
        <is>
          <t>Shelf price, ₴</t>
        </is>
      </c>
      <c r="C13" s="45" t="inlineStr">
        <is>
          <t>Our share of partner price</t>
        </is>
      </c>
      <c r="D13" s="45" t="inlineStr">
        <is>
          <t>Chain bonus</t>
        </is>
      </c>
      <c r="E13" s="45" t="inlineStr">
        <is>
          <t>Shelf multiplier</t>
        </is>
      </c>
      <c r="F13" s="45" t="inlineStr">
        <is>
          <t>Rate ₴/€</t>
        </is>
      </c>
    </row>
    <row r="14" ht="22.05" customHeight="1" s="71">
      <c r="A14" s="46" t="inlineStr">
        <is>
          <t>Target and model terms</t>
        </is>
      </c>
      <c r="B14" s="47" t="n">
        <v>120</v>
      </c>
      <c r="C14" s="145" t="n">
        <v>0.2</v>
      </c>
      <c r="D14" s="145" t="n">
        <v>0.35</v>
      </c>
      <c r="E14" s="180" t="n">
        <v>1.4</v>
      </c>
      <c r="F14" s="53" t="n">
        <v>51.2</v>
      </c>
    </row>
    <row r="15">
      <c r="B15" s="45" t="inlineStr">
        <is>
          <t>Import VAT</t>
        </is>
      </c>
      <c r="C15" s="45" t="inlineStr">
        <is>
          <t>Financing</t>
        </is>
      </c>
      <c r="D15" s="45" t="inlineStr">
        <is>
          <t>Customs duty</t>
        </is>
      </c>
      <c r="E15" s="45" t="inlineStr">
        <is>
          <t>Batch freight, €</t>
        </is>
      </c>
      <c r="F15" s="45" t="inlineStr">
        <is>
          <t>Broker, €</t>
        </is>
      </c>
      <c r="G15" s="45" t="inlineStr">
        <is>
          <t>Other, €</t>
        </is>
      </c>
    </row>
    <row r="16">
      <c r="B16" s="145" t="n">
        <v>0.2</v>
      </c>
      <c r="C16" s="145" t="n">
        <v>0.025</v>
      </c>
      <c r="D16" s="145" t="n">
        <v>0</v>
      </c>
      <c r="E16" s="52" t="n">
        <v>3700</v>
      </c>
      <c r="F16" s="52" t="n">
        <v>288</v>
      </c>
      <c r="G16" s="52" t="n">
        <v>42</v>
      </c>
    </row>
    <row r="17" ht="20.4" customHeight="1" s="71">
      <c r="B17" s="45" t="inlineStr">
        <is>
          <t>Freight share in customs value</t>
        </is>
      </c>
      <c r="C17" s="45" t="inlineStr">
        <is>
          <t>Pallets in batch</t>
        </is>
      </c>
      <c r="D17" s="45" t="inlineStr">
        <is>
          <t>Packs per pallet</t>
        </is>
      </c>
    </row>
    <row r="18">
      <c r="B18" s="53" t="n">
        <v>0.7</v>
      </c>
      <c r="C18" s="52" t="n">
        <v>33</v>
      </c>
      <c r="D18" s="52" t="n">
        <v>1600</v>
      </c>
    </row>
    <row r="19">
      <c r="A19" s="54" t="inlineStr">
        <is>
          <t>Request to SIAS, €/pack (rounded down to the euro cent)</t>
        </is>
      </c>
      <c r="B19" s="147">
        <f>ROUNDDOWN(((B14/E14*(1-D14-C14))/F14/(1+C16)-(E16+F16+G16+E16*B18*(D16+B16*(1+D16)))/(C18*D18))/((1+D16)*(1+B16)),2)</f>
        <v>0.54</v>
      </c>
    </row>
    <row r="20">
      <c r="A20" s="54" t="inlineStr">
        <is>
          <t>Maximum purchase price before rounding, €/pack</t>
        </is>
      </c>
      <c r="B20" s="148">
        <f>((B14/E14*(1-D14-C14))/F14/(1+C16)-(E16+F16+G16+E16*B18*(D16+B16*(1+D16)))/(C18*D18))/((1+D16)*(1+B16))</f>
        <v>0.5406979199662126</v>
      </c>
    </row>
    <row r="21" ht="30" customHeight="1" s="71">
      <c r="A21" s="54" t="inlineStr">
        <is>
          <t>Landed cost in Ukraine at the request, ₴/pack</t>
        </is>
      </c>
      <c r="B21" s="57">
        <f>(B19*F14+(E16+F16+G16)/(C18*D18)*F14+(B19+E16*B18/(C18*D18))*D16*F14+(B19+E16*B18/(C18*D18))*(1+D16)*B16*F14)*(1+C16)</f>
        <v>38.52747636363637</v>
      </c>
    </row>
    <row r="22"/>
    <row r="23" ht="30" customHeight="1" s="71">
      <c r="A23" s="54" t="inlineStr">
        <is>
          <t>Landed cost today, 4 SKUs (Vegetable, Spicy, Beef, Chicken), €/pack</t>
        </is>
      </c>
      <c r="B23" s="181" t="n">
        <v>0.882380333698031</v>
      </c>
    </row>
    <row r="24" ht="30" customHeight="1" s="71">
      <c r="A24" s="54" t="inlineStr">
        <is>
          <t>Landed cost today, 2 SKUs (Gouda, Carbonara), €/pack</t>
        </is>
      </c>
      <c r="B24" s="181" t="n">
        <v>1.018131154266958</v>
      </c>
    </row>
  </sheetData>
  <mergeCells count="9">
    <mergeCell ref="A12:H12"/>
    <mergeCell ref="F2:G2"/>
    <mergeCell ref="A8:A9"/>
    <mergeCell ref="B2:C2"/>
    <mergeCell ref="D2:E2"/>
    <mergeCell ref="A4:A5"/>
    <mergeCell ref="A1:H1"/>
    <mergeCell ref="A10:A11"/>
    <mergeCell ref="A6:A7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SIAS financial model</dc:title>
  <dcterms:created xmlns:dcterms="http://purl.org/dc/terms/" xmlns:xsi="http://www.w3.org/2001/XMLSchema-instance" xsi:type="dcterms:W3CDTF">2026-10-07T10:19:31Z</dcterms:created>
  <dcterms:modified xmlns:dcterms="http://purl.org/dc/terms/" xmlns:xsi="http://www.w3.org/2001/XMLSchema-instance" xsi:type="dcterms:W3CDTF">2026-10-16T13:10:31Z</dcterms:modified>
  <cp:lastModifiedBy/>
</cp:coreProperties>
</file>