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Landed cost blocks" sheetId="1" state="visible" r:id="rId1"/>
    <sheet xmlns:r="http://schemas.openxmlformats.org/officeDocument/2006/relationships" name="6 pallets" sheetId="2" state="visible" r:id="rId2"/>
    <sheet xmlns:r="http://schemas.openxmlformats.org/officeDocument/2006/relationships" name="33 palle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1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+0%;-0%;0%"/>
    <numFmt numFmtId="180" formatCode="_(* #,##0.00_);_(* \(#,##0.00\);_(* \-??_);_(@_)"/>
    <numFmt numFmtId="181" formatCode="_(* #,##0_);_(* \(#,##0\);_(* \-_);_(@_)"/>
    <numFmt numFmtId="182" formatCode="_(\$* #,##0.00_);_(\$* \(#,##0.00\);_(\$* \-??_);_(@_)"/>
    <numFmt numFmtId="183" formatCode="_(\$* #,##0_);_(\$* \(#,##0\);_(\$* \-_);_(@_)"/>
    <numFmt numFmtId="184" formatCode="0.00;-0.00;&quot;OK&quot;"/>
  </numFmts>
  <fonts count="42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  <font>
      <name val="Arial"/>
      <color rgb="FF172B46"/>
      <sz val="10"/>
    </font>
    <font>
      <name val="Arial"/>
      <b val="1"/>
      <color rgb="FF172B46"/>
      <sz val="12"/>
    </font>
    <font>
      <name val="Arial"/>
      <color rgb="FF0000FF"/>
      <sz val="10"/>
    </font>
    <font>
      <name val="Arial"/>
      <color rgb="FF0000FF"/>
      <sz val="11"/>
    </font>
  </fonts>
  <fills count="3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  <fill>
      <patternFill patternType="solid">
        <fgColor rgb="00F2F5F9"/>
      </patternFill>
    </fill>
    <fill>
      <patternFill patternType="solid">
        <fgColor rgb="003E5A85"/>
      </patternFill>
    </fill>
    <fill>
      <patternFill patternType="solid">
        <fgColor rgb="00E7EDF5"/>
      </patternFill>
    </fill>
    <fill>
      <patternFill patternType="solid">
        <fgColor rgb="00FFF4D2"/>
      </patternFill>
    </fill>
    <fill>
      <patternFill patternType="solid">
        <fgColor rgb="00FCE3A6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  <border/>
  </borders>
  <cellStyleXfs count="7">
    <xf numFmtId="0" fontId="11" fillId="19" borderId="10"/>
    <xf numFmtId="180" fontId="1" fillId="19" borderId="10"/>
    <xf numFmtId="181" fontId="1" fillId="19" borderId="10"/>
    <xf numFmtId="182" fontId="1" fillId="19" borderId="10"/>
    <xf numFmtId="183" fontId="1" fillId="19" borderId="10"/>
    <xf numFmtId="0" fontId="11" fillId="19" borderId="10"/>
    <xf numFmtId="9" fontId="1" fillId="19" borderId="10"/>
  </cellStyleXfs>
  <cellXfs count="182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38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  <xf numFmtId="0" fontId="16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32" fillId="0" borderId="31" applyAlignment="1" pivotButton="0" quotePrefix="0" xfId="0">
      <alignment horizontal="center" vertical="center" wrapText="1"/>
    </xf>
    <xf numFmtId="171" fontId="34" fillId="25" borderId="30" applyAlignment="1" pivotButton="0" quotePrefix="0" xfId="0">
      <alignment horizontal="center" vertical="center" wrapText="1"/>
    </xf>
    <xf numFmtId="170" fontId="34" fillId="25" borderId="30" applyAlignment="1" pivotButton="0" quotePrefix="0" xfId="0">
      <alignment horizontal="center" vertical="center" wrapText="1"/>
    </xf>
    <xf numFmtId="172" fontId="34" fillId="25" borderId="30" applyAlignment="1" pivotButton="0" quotePrefix="0" xfId="0">
      <alignment horizontal="center" vertical="center" wrapText="1"/>
    </xf>
    <xf numFmtId="2" fontId="34" fillId="25" borderId="30" applyAlignment="1" pivotButton="0" quotePrefix="0" xfId="0">
      <alignment horizontal="center" vertical="center" wrapText="1"/>
    </xf>
    <xf numFmtId="171" fontId="36" fillId="25" borderId="30" applyAlignment="1" pivotButton="0" quotePrefix="0" xfId="0">
      <alignment horizontal="center" vertical="center" wrapText="1"/>
    </xf>
    <xf numFmtId="0" fontId="21" fillId="26" borderId="30" applyAlignment="1" pivotButton="0" quotePrefix="0" xfId="0">
      <alignment horizontal="center" vertical="center" wrapText="1"/>
    </xf>
    <xf numFmtId="0" fontId="31" fillId="27" borderId="0" applyAlignment="1" pivotButton="0" quotePrefix="0" xfId="0">
      <alignment vertical="center"/>
    </xf>
    <xf numFmtId="0" fontId="22" fillId="25" borderId="30" applyAlignment="1" pivotButton="0" quotePrefix="0" xfId="0">
      <alignment horizontal="left" vertical="center" wrapText="1"/>
    </xf>
    <xf numFmtId="172" fontId="33" fillId="28" borderId="30" applyAlignment="1" pivotButton="0" quotePrefix="0" xfId="0">
      <alignment horizontal="center" vertical="center" wrapText="1"/>
    </xf>
    <xf numFmtId="171" fontId="33" fillId="28" borderId="30" applyAlignment="1" pivotButton="0" quotePrefix="0" xfId="0">
      <alignment horizontal="center" vertical="center" wrapText="1"/>
    </xf>
    <xf numFmtId="171" fontId="38" fillId="25" borderId="30" applyAlignment="1" pivotButton="0" quotePrefix="0" xfId="0">
      <alignment horizontal="center" vertical="center" wrapText="1"/>
    </xf>
    <xf numFmtId="174" fontId="38" fillId="25" borderId="30" applyAlignment="1" pivotButton="0" quotePrefix="0" xfId="0">
      <alignment horizontal="center" vertical="center" wrapText="1"/>
    </xf>
    <xf numFmtId="173" fontId="39" fillId="29" borderId="30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  <xf numFmtId="0" fontId="22" fillId="29" borderId="30" applyAlignment="1" pivotButton="0" quotePrefix="0" xfId="0">
      <alignment horizontal="left" vertical="center" wrapText="1"/>
    </xf>
    <xf numFmtId="0" fontId="30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171" fontId="41" fillId="28" borderId="30" applyAlignment="1" pivotButton="0" quotePrefix="0" xfId="0">
      <alignment horizontal="center" vertical="center" wrapText="1"/>
    </xf>
    <xf numFmtId="171" fontId="24" fillId="27" borderId="30" applyAlignment="1" pivotButton="0" quotePrefix="0" xfId="0">
      <alignment horizontal="center" vertical="center" wrapText="1"/>
    </xf>
    <xf numFmtId="176" fontId="19" fillId="25" borderId="30" applyAlignment="1" pivotButton="0" quotePrefix="0" xfId="0">
      <alignment horizontal="center" vertical="center" wrapText="1"/>
    </xf>
    <xf numFmtId="184" fontId="30" fillId="25" borderId="30" applyAlignment="1" pivotButton="0" quotePrefix="0" xfId="0">
      <alignment horizontal="center" vertical="center" wrapText="1"/>
    </xf>
    <xf numFmtId="171" fontId="37" fillId="29" borderId="30" applyAlignment="1" pivotButton="0" quotePrefix="0" xfId="0">
      <alignment horizontal="center" vertical="center" wrapText="1"/>
    </xf>
    <xf numFmtId="171" fontId="24" fillId="29" borderId="30" applyAlignment="1" pivotButton="0" quotePrefix="0" xfId="0">
      <alignment horizontal="center" vertical="center" wrapText="1"/>
    </xf>
    <xf numFmtId="170" fontId="33" fillId="24" borderId="17" applyAlignment="1" pivotButton="0" quotePrefix="0" xfId="0">
      <alignment horizontal="center" vertical="center" wrapText="1"/>
    </xf>
    <xf numFmtId="176" fontId="40" fillId="24" borderId="1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38" customWidth="1" style="71" min="1" max="1"/>
    <col width="17" customWidth="1" style="71" min="2" max="2"/>
    <col width="17" customWidth="1" style="71" min="3" max="3"/>
    <col width="17" customWidth="1" style="71" min="4" max="4"/>
    <col width="17" customWidth="1" style="71" min="5" max="5"/>
    <col width="17" customWidth="1" style="71" min="6" max="6"/>
    <col width="17" customWidth="1" style="71" min="7" max="7"/>
    <col width="17" customWidth="1" style="71" min="8" max="8"/>
  </cols>
  <sheetData>
    <row r="1" ht="26" customHeight="1" s="71">
      <c r="A1" s="172" t="inlineStr">
        <is>
          <t>What the landed cost in Ukraine is made of · ₴ per pack</t>
        </is>
      </c>
    </row>
    <row r="2" ht="30" customHeight="1" s="71">
      <c r="A2" s="154" t="inlineStr">
        <is>
          <t>SIAS purchase + delivery + import VAT + financing = landed cost. Delivery = freight, broker, terminal and certification of the batch, per pack. Customs duty 0 %.</t>
        </is>
      </c>
    </row>
    <row r="4">
      <c r="A4" s="173" t="inlineStr">
        <is>
          <t>33 PALLETS · FULL TRUCK</t>
        </is>
      </c>
    </row>
    <row r="5" ht="44" customHeight="1" s="71">
      <c r="A5" s="161" t="inlineStr"/>
      <c r="B5" s="161" t="inlineStr">
        <is>
          <t>SIAS purchase
pack price × rate</t>
        </is>
      </c>
      <c r="C5" s="161" t="inlineStr">
        <is>
          <t>Delivery
freight, broker, terminal</t>
        </is>
      </c>
      <c r="D5" s="161" t="inlineStr">
        <is>
          <t>Import VAT
20 % on goods and freight</t>
        </is>
      </c>
      <c r="E5" s="161" t="inlineStr">
        <is>
          <t>Financing
2.5 % of the sum</t>
        </is>
      </c>
      <c r="F5" s="161" t="inlineStr">
        <is>
          <t>Landed cost, ₴ (sum of blocks)</t>
        </is>
      </c>
      <c r="G5" s="161" t="inlineStr">
        <is>
          <t>Landed cost, €</t>
        </is>
      </c>
      <c r="H5" s="161" t="inlineStr">
        <is>
          <t>Check vs model sheet</t>
        </is>
      </c>
    </row>
    <row r="6" ht="34" customHeight="1" s="71">
      <c r="A6" s="163" t="inlineStr">
        <is>
          <t>BEFORE · 4 SKUs
(Vegetable, Spicy, Beef, Chicken)</t>
        </is>
      </c>
      <c r="B6" s="174" t="n">
        <v>33.28</v>
      </c>
      <c r="C6" s="174" t="n">
        <v>3.668446389496718</v>
      </c>
      <c r="D6" s="174" t="n">
        <v>7.127527352297594</v>
      </c>
      <c r="E6" s="174" t="n">
        <v>1.101899343544858</v>
      </c>
      <c r="F6" s="175">
        <f>SUM(B6:E6)</f>
        <v>45.17787308533917</v>
      </c>
      <c r="G6" s="176">
        <f>F6/'33 pallets'!F14</f>
        <v>0.8823803336980307</v>
      </c>
      <c r="H6" s="177">
        <f>ROUND(F6-'33 pallets'!C4,4)</f>
        <v>0</v>
      </c>
    </row>
    <row r="7" ht="34" customHeight="1" s="71">
      <c r="A7" s="163" t="inlineStr">
        <is>
          <t>BEFORE · 2 SKUs
(Gouda, Carbonara)</t>
        </is>
      </c>
      <c r="B7" s="174" t="n">
        <v>38.40000000000001</v>
      </c>
      <c r="C7" s="174" t="n">
        <v>4.232822757111598</v>
      </c>
      <c r="D7" s="174" t="n">
        <v>8.22407002188184</v>
      </c>
      <c r="E7" s="174" t="n">
        <v>1.271422319474836</v>
      </c>
      <c r="F7" s="175">
        <f>SUM(B7:E7)</f>
        <v>52.12831509846829</v>
      </c>
      <c r="G7" s="176">
        <f>F7/'33 pallets'!F14</f>
        <v>1.0181311542669587</v>
      </c>
      <c r="H7" s="177">
        <f>ROUND(F7-'33 pallets'!C6,4)</f>
        <v>0</v>
      </c>
    </row>
    <row r="8" ht="34" customHeight="1" s="71">
      <c r="A8" s="170" t="inlineStr">
        <is>
          <t>AFTER · SIAS request
(all 6 SKUs)</t>
        </is>
      </c>
      <c r="B8" s="178">
        <f>'33 pallets'!B19*'33 pallets'!F14</f>
        <v>27.648000000000003</v>
      </c>
      <c r="C8" s="178">
        <f>('33 pallets'!E16+'33 pallets'!F16+'33 pallets'!G16)/('33 pallets'!C18*'33 pallets'!D18)*'33 pallets'!F14</f>
        <v>3.907878787878788</v>
      </c>
      <c r="D8" s="178">
        <f>('33 pallets'!B19+'33 pallets'!E16*'33 pallets'!B18/('33 pallets'!C18*'33 pallets'!D18))*(1+'33 pallets'!D16)*'33 pallets'!B16*'33 pallets'!F14</f>
        <v>6.031903030303031</v>
      </c>
      <c r="E8" s="178">
        <f>(B8+C8+D8+('33 pallets'!B19+'33 pallets'!E16*'33 pallets'!B18/('33 pallets'!C18*'33 pallets'!D18))*'33 pallets'!D16*'33 pallets'!F14)*'33 pallets'!C16</f>
        <v>0.9396945454545457</v>
      </c>
      <c r="F8" s="179">
        <f>SUM(B8:E8)</f>
        <v>38.52747636363637</v>
      </c>
      <c r="G8" s="176">
        <f>F8/'33 pallets'!F14</f>
        <v>0.7524897727272728</v>
      </c>
      <c r="H8" s="177">
        <f>ROUND(F8-'33 pallets'!C8,4)</f>
        <v>0</v>
      </c>
    </row>
    <row r="10">
      <c r="A10" s="173" t="inlineStr">
        <is>
          <t>6 PALLETS</t>
        </is>
      </c>
    </row>
    <row r="11" ht="44" customHeight="1" s="71">
      <c r="A11" s="161" t="inlineStr"/>
      <c r="B11" s="161" t="inlineStr">
        <is>
          <t>SIAS purchase
pack price × rate</t>
        </is>
      </c>
      <c r="C11" s="161" t="inlineStr">
        <is>
          <t>Delivery
freight, broker, terminal</t>
        </is>
      </c>
      <c r="D11" s="161" t="inlineStr">
        <is>
          <t>Import VAT
20 % on goods and freight</t>
        </is>
      </c>
      <c r="E11" s="161" t="inlineStr">
        <is>
          <t>Financing
2.5 % of the sum</t>
        </is>
      </c>
      <c r="F11" s="161" t="inlineStr">
        <is>
          <t>Landed cost, ₴ (sum of blocks)</t>
        </is>
      </c>
      <c r="G11" s="161" t="inlineStr">
        <is>
          <t>Landed cost, €</t>
        </is>
      </c>
      <c r="H11" s="161" t="inlineStr">
        <is>
          <t>Check vs model sheet</t>
        </is>
      </c>
    </row>
    <row r="12" ht="34" customHeight="1" s="71">
      <c r="A12" s="163" t="inlineStr">
        <is>
          <t>BEFORE · 4 SKUs
(Vegetable, Spicy, Beef, Chicken)</t>
        </is>
      </c>
      <c r="B12" s="174" t="n">
        <v>33.28</v>
      </c>
      <c r="C12" s="174" t="n">
        <v>14.86439024390244</v>
      </c>
      <c r="D12" s="174" t="n">
        <v>8.502634146341462</v>
      </c>
      <c r="E12" s="174" t="n">
        <v>1.416175609756098</v>
      </c>
      <c r="F12" s="175">
        <f>SUM(B12:E12)</f>
        <v>58.0632</v>
      </c>
      <c r="G12" s="176">
        <f>F12/'6 pallets'!F14</f>
        <v>1.134046875</v>
      </c>
      <c r="H12" s="177">
        <f>ROUND(F12-'6 pallets'!C4,4)</f>
        <v>0</v>
      </c>
    </row>
    <row r="13" ht="34" customHeight="1" s="71">
      <c r="A13" s="163" t="inlineStr">
        <is>
          <t>BEFORE · 2 SKUs
(Gouda, Carbonara)</t>
        </is>
      </c>
      <c r="B13" s="174" t="n">
        <v>38.40000000000001</v>
      </c>
      <c r="C13" s="174" t="n">
        <v>17.15121951219512</v>
      </c>
      <c r="D13" s="174" t="n">
        <v>9.810731707317075</v>
      </c>
      <c r="E13" s="174" t="n">
        <v>1.634048780487805</v>
      </c>
      <c r="F13" s="175">
        <f>SUM(B13:E13)</f>
        <v>66.99600000000001</v>
      </c>
      <c r="G13" s="176">
        <f>F13/'6 pallets'!F14</f>
        <v>1.308515625</v>
      </c>
      <c r="H13" s="177">
        <f>ROUND(F13-'6 pallets'!C6,4)</f>
        <v>0</v>
      </c>
    </row>
    <row r="14" ht="34" customHeight="1" s="71">
      <c r="A14" s="170" t="inlineStr">
        <is>
          <t>AFTER · SIAS request
(all 6 SKUs)</t>
        </is>
      </c>
      <c r="B14" s="178">
        <f>'6 pallets'!B20*'6 pallets'!F14</f>
        <v>16.384</v>
      </c>
      <c r="C14" s="178">
        <f>('6 pallets'!E16+'6 pallets'!F16+'6 pallets'!G16)/('6 pallets'!C18*'6 pallets'!D18)*'6 pallets'!F14</f>
        <v>15.626666666666669</v>
      </c>
      <c r="D14" s="178">
        <f>('6 pallets'!B20+'6 pallets'!E16*'6 pallets'!B18/('6 pallets'!C18*'6 pallets'!D18))*(1+'6 pallets'!D16)*'6 pallets'!B16*'6 pallets'!F14</f>
        <v>5.218133333333333</v>
      </c>
      <c r="E14" s="178">
        <f>(B14+C14+D14+('6 pallets'!B20+'6 pallets'!E16*'6 pallets'!B18/('6 pallets'!C18*'6 pallets'!D18))*'6 pallets'!D16*'6 pallets'!F14)*'6 pallets'!C16</f>
        <v>0.93072</v>
      </c>
      <c r="F14" s="179">
        <f>SUM(B14:E14)</f>
        <v>38.15952</v>
      </c>
      <c r="G14" s="176">
        <f>F14/'6 pallets'!F14</f>
        <v>0.745303125</v>
      </c>
      <c r="H14" s="177">
        <f>ROUND(F14-'6 pallets'!C8,4)</f>
        <v>0</v>
      </c>
    </row>
    <row r="16" ht="28" customHeight="1" s="71">
      <c r="A16" s="171" t="inlineStr">
        <is>
          <t>"Before": per our cost file (logistics allocated by value). "After": at the requested price, logistics spread evenly per pack. The smaller the batch, the higher the delivery cost per pack.</t>
        </is>
      </c>
    </row>
  </sheetData>
  <mergeCells count="3">
    <mergeCell ref="A16:H16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H25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2" customWidth="1" style="71" min="9" max="9"/>
  </cols>
  <sheetData>
    <row r="1">
      <c r="A1" s="134" t="inlineStr">
        <is>
          <t>SIAS · from purchase price to shelf price, one line · 6 pallets</t>
        </is>
      </c>
    </row>
    <row r="2" ht="26.4" customHeight="1" s="71">
      <c r="A2" s="125" t="inlineStr">
        <is>
          <t>REQUEST TO SIAS, €/pack</t>
        </is>
      </c>
      <c r="B2" s="135">
        <f>B20</f>
        <v>0.32</v>
      </c>
      <c r="C2" s="63" t="n"/>
      <c r="D2" s="129" t="str">
        <f>"now €"&amp;B5&amp;" (4 SKUs) / €"&amp;B7&amp;" (2 SKUs)"</f>
        <v>now €0.65 (4 SKUs) / €0.75 (2 SKUs)</v>
      </c>
      <c r="E2" s="63" t="n"/>
      <c r="F2" s="128" t="str">
        <f>"reduction −"&amp;ROUND((1-B20/B5)*100,0)&amp;" % / −"&amp;ROUND((1-B20/B7)*100,0)&amp;" %"</f>
        <v>reduction −51 % / −57 %</v>
      </c>
      <c r="G2" s="63" t="n"/>
      <c r="H2" s="129" t="inlineStr">
        <is>
          <t>one price for all 6 SKUs</t>
        </is>
      </c>
    </row>
    <row r="3" ht="36" customHeight="1" s="71">
      <c r="A3" s="99" t="inlineStr">
        <is>
          <t>Scenario</t>
        </is>
      </c>
      <c r="B3" s="99" t="inlineStr">
        <is>
          <t>SIAS purchase
per pack</t>
        </is>
      </c>
      <c r="C3" s="99" t="inlineStr">
        <is>
          <t>Landed cost in Ukraine
product + costs in Ukraine</t>
        </is>
      </c>
      <c r="D3" s="99" t="inlineStr">
        <is>
          <t>Partner price
cost ÷ (1 − bonus − our share)</t>
        </is>
      </c>
      <c r="E3" s="99" t="str">
        <f>"Chain bonus"&amp;CHAR(10)&amp;ROUND(D14*100,0)&amp;" % of partner price"</f>
        <v>Chain bonus
35 % of partner price</v>
      </c>
      <c r="F3" s="99" t="str">
        <f>"Left for us"&amp;CHAR(10)&amp;"costs &amp; margin"</f>
        <v>Left for us
costs &amp; margin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$B$24*F14</f>
        <v>58.063199999999995</v>
      </c>
      <c r="D4" s="101">
        <f>C4/(1-D14-C14)</f>
        <v>129.0293333333333</v>
      </c>
      <c r="E4" s="102">
        <f>D4*D14</f>
        <v>45.16026666666666</v>
      </c>
      <c r="F4" s="102">
        <f>D4-C4-E4</f>
        <v>25.80586666666666</v>
      </c>
      <c r="G4" s="102">
        <f>D4*(E14-1)</f>
        <v>51.61173333333331</v>
      </c>
      <c r="H4" s="103">
        <f>D4*E14</f>
        <v>180.64106666666663</v>
      </c>
    </row>
    <row r="5" ht="19.95" customHeight="1" s="71">
      <c r="A5" s="136" t="n"/>
      <c r="B5" s="137" t="n">
        <v>0.65</v>
      </c>
      <c r="C5" s="138">
        <f>C4/F14</f>
        <v>1.134046875</v>
      </c>
      <c r="D5" s="139">
        <f>D4/F14</f>
        <v>2.520104166666666</v>
      </c>
      <c r="E5" s="139">
        <f>E4/F14</f>
        <v>0.8820364583333331</v>
      </c>
      <c r="F5" s="139">
        <f>F4/F14</f>
        <v>0.5040208333333331</v>
      </c>
      <c r="G5" s="139">
        <f>G4/F14</f>
        <v>1.0080416666666663</v>
      </c>
      <c r="H5" s="139">
        <f>H4/F14</f>
        <v>3.5281458333333324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$B$25*F14</f>
        <v>66.99600000000001</v>
      </c>
      <c r="D6" s="109">
        <f>C6/(1-D14-C14)</f>
        <v>148.88000000000002</v>
      </c>
      <c r="E6" s="110">
        <f>D6*D14</f>
        <v>52.108000000000004</v>
      </c>
      <c r="F6" s="110">
        <f>D6-C6-E6</f>
        <v>29.77600000000001</v>
      </c>
      <c r="G6" s="110">
        <f>D6*(E14-1)</f>
        <v>59.552</v>
      </c>
      <c r="H6" s="111">
        <f>D6*E14</f>
        <v>208.43200000000002</v>
      </c>
    </row>
    <row r="7" ht="19.95" customHeight="1" s="71">
      <c r="A7" s="136" t="n"/>
      <c r="B7" s="137" t="n">
        <v>0.75</v>
      </c>
      <c r="C7" s="138">
        <f>C6/F14</f>
        <v>1.308515625</v>
      </c>
      <c r="D7" s="140">
        <f>D6/F14</f>
        <v>2.9078125000000004</v>
      </c>
      <c r="E7" s="140">
        <f>E6/F14</f>
        <v>1.017734375</v>
      </c>
      <c r="F7" s="140">
        <f>F6/F14</f>
        <v>0.5815625000000002</v>
      </c>
      <c r="G7" s="140">
        <f>G6/F14</f>
        <v>1.163125</v>
      </c>
      <c r="H7" s="140">
        <f>H6/F14</f>
        <v>4.0709375</v>
      </c>
    </row>
    <row r="8" ht="25.95" customHeight="1" s="71">
      <c r="A8" s="114" t="inlineStr">
        <is>
          <t>AFTER · SIAS request
(all 6 SKUs)</t>
        </is>
      </c>
      <c r="B8" s="115">
        <f>B9*F14</f>
        <v>16.384</v>
      </c>
      <c r="C8" s="115">
        <f>B22</f>
        <v>38.15951999999999</v>
      </c>
      <c r="D8" s="115">
        <f>C8/(1-D14-C14)</f>
        <v>84.79893333333332</v>
      </c>
      <c r="E8" s="116">
        <f>D8*D14</f>
        <v>29.67962666666666</v>
      </c>
      <c r="F8" s="116">
        <f>D8-C8-E8</f>
        <v>16.95978666666667</v>
      </c>
      <c r="G8" s="116">
        <f>D8*(E14-1)</f>
        <v>33.919573333333325</v>
      </c>
      <c r="H8" s="117">
        <f>D8*E14</f>
        <v>118.71850666666664</v>
      </c>
    </row>
    <row r="9" ht="19.95" customHeight="1" s="71">
      <c r="A9" s="136" t="n"/>
      <c r="B9" s="141">
        <f>B20</f>
        <v>0.32</v>
      </c>
      <c r="C9" s="142">
        <f>C8/F14</f>
        <v>0.7453031249999998</v>
      </c>
      <c r="D9" s="142">
        <f>D8/F14</f>
        <v>1.6562291666666664</v>
      </c>
      <c r="E9" s="142">
        <f>E8/F14</f>
        <v>0.5796802083333332</v>
      </c>
      <c r="F9" s="142">
        <f>F8/F14</f>
        <v>0.33124583333333335</v>
      </c>
      <c r="G9" s="142">
        <f>G8/F14</f>
        <v>0.6624916666666665</v>
      </c>
      <c r="H9" s="142">
        <f>H8/F14</f>
        <v>2.318720833333333</v>
      </c>
    </row>
    <row r="10" ht="24" customHeight="1" s="71">
      <c r="A10" s="121" t="inlineStr">
        <is>
          <t>CHANGE: AFTER − BEFORE (4 SKUs)</t>
        </is>
      </c>
      <c r="B10" s="143">
        <f>B8-B4</f>
        <v>-16.896</v>
      </c>
      <c r="C10" s="143">
        <f>C8-C4</f>
        <v>-19.90368</v>
      </c>
      <c r="D10" s="143">
        <f>D8-D4</f>
        <v>-44.23039999999999</v>
      </c>
      <c r="E10" s="143">
        <f>E8-E4</f>
        <v>-15.480639999999998</v>
      </c>
      <c r="F10" s="143">
        <f>F8-F4</f>
        <v>-8.84607999999999</v>
      </c>
      <c r="G10" s="143">
        <f>G8-G4</f>
        <v>-17.692159999999987</v>
      </c>
      <c r="H10" s="143">
        <f>H8-H4</f>
        <v>-61.92255999999999</v>
      </c>
    </row>
    <row r="11" ht="18" customHeight="1" s="71">
      <c r="A11" s="136" t="n"/>
      <c r="B11" s="144">
        <f>B9-B5</f>
        <v>-0.33</v>
      </c>
      <c r="C11" s="144">
        <f>C9-C5</f>
        <v>-0.38874375000000005</v>
      </c>
      <c r="D11" s="144">
        <f>D9-D5</f>
        <v>-0.8638749999999997</v>
      </c>
      <c r="E11" s="144">
        <f>E9-E5</f>
        <v>-0.3023562499999999</v>
      </c>
      <c r="F11" s="144">
        <f>F9-F5</f>
        <v>-0.1727749999999998</v>
      </c>
      <c r="G11" s="144">
        <f>G9-G5</f>
        <v>-0.3455499999999998</v>
      </c>
      <c r="H11" s="144">
        <f>H9-H5</f>
        <v>-1.2094249999999995</v>
      </c>
    </row>
    <row r="12" ht="15" customHeight="1" s="71" thickBot="1">
      <c r="A12" s="90" t="inlineStr">
        <is>
          <t>INPUTS — yellow cells can be changed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26" customHeight="1" s="71">
      <c r="B13" s="45" t="inlineStr">
        <is>
          <t>Shelf price, ₴</t>
        </is>
      </c>
      <c r="C13" s="45" t="inlineStr">
        <is>
          <t>Our share of partner price</t>
        </is>
      </c>
      <c r="D13" s="45" t="inlineStr">
        <is>
          <t>Chain bonus</t>
        </is>
      </c>
      <c r="E13" s="45" t="inlineStr">
        <is>
          <t>Shelf multiplier</t>
        </is>
      </c>
      <c r="F13" s="45" t="inlineStr">
        <is>
          <t>Rate ₴/€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5" t="n">
        <v>0.35</v>
      </c>
      <c r="E14" s="180" t="n">
        <v>1.4</v>
      </c>
      <c r="F14" s="53" t="n">
        <v>51.2</v>
      </c>
    </row>
    <row r="15" hidden="1" s="71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 hidden="1" s="71">
      <c r="B16" s="145" t="n">
        <v>0.2</v>
      </c>
      <c r="C16" s="145" t="n">
        <v>0.025</v>
      </c>
      <c r="D16" s="145" t="n">
        <v>0</v>
      </c>
      <c r="E16" s="52" t="n">
        <v>2600</v>
      </c>
      <c r="F16" s="52" t="n">
        <v>288</v>
      </c>
      <c r="G16" s="52" t="n">
        <v>42</v>
      </c>
    </row>
    <row r="17" hidden="1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 hidden="1" s="71">
      <c r="B18" s="53" t="n">
        <v>0.7</v>
      </c>
      <c r="C18" s="52" t="n">
        <v>6</v>
      </c>
      <c r="D18" s="52" t="n">
        <v>1600</v>
      </c>
    </row>
    <row r="19"/>
    <row r="20">
      <c r="A20" s="54" t="inlineStr">
        <is>
          <t>Request to SIAS, €/pack (rounded down to the euro cent)</t>
        </is>
      </c>
      <c r="B20" s="147">
        <f>ROUNDDOWN(((B14/E14*(1-D14-C14))/F14/(1+C16)-(E16+F16+G16+E16*B18*(D16+B16*(1+D16)))/(C18*D18))/((1+D16)*(1+B16)),2)</f>
        <v>0.32</v>
      </c>
    </row>
    <row r="21">
      <c r="A21" s="54" t="inlineStr">
        <is>
          <t>Maximum purchase price before rounding, €/pack</t>
        </is>
      </c>
      <c r="B21" s="148">
        <f>((B14/E14*(1-D14-C14))/F14/(1+C16)-(E16+F16+G16+E16*B18*(D16+B16*(1+D16)))/(C18*D18))/((1+D16)*(1+B16))</f>
        <v>0.3265407229965157</v>
      </c>
    </row>
    <row r="22" ht="30" customHeight="1" s="71">
      <c r="A22" s="54" t="inlineStr">
        <is>
          <t>Landed cost in Ukraine at the request, ₴/pack</t>
        </is>
      </c>
      <c r="B22" s="57">
        <f>(B20*F14+(E16+F16+G16)/(C18*D18)*F14+(B20+E16*B18/(C18*D18))*D16*F14+(B20+E16*B18/(C18*D18))*(1+D16)*B16*F14)*(1+C16)</f>
        <v>38.15951999999999</v>
      </c>
    </row>
    <row r="23"/>
    <row r="24" ht="30" customHeight="1" s="71">
      <c r="A24" s="54" t="inlineStr">
        <is>
          <t>Landed cost today, 4 SKUs (Vegetable, Spicy, Beef, Chicken), €/pack</t>
        </is>
      </c>
      <c r="B24" s="181" t="n">
        <v>1.134046875</v>
      </c>
    </row>
    <row r="25" ht="30" customHeight="1" s="71">
      <c r="A25" s="54" t="inlineStr">
        <is>
          <t>Landed cost today, 2 SKUs (Gouda, Carbonara), €/pack</t>
        </is>
      </c>
      <c r="B25" s="181" t="n">
        <v>1.308515625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H24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2" customWidth="1" style="71" min="9" max="9"/>
  </cols>
  <sheetData>
    <row r="1">
      <c r="A1" s="150" t="inlineStr">
        <is>
          <t>SIAS · from purchase price to shelf price, one line · 33 pallets (Full Truck)</t>
        </is>
      </c>
    </row>
    <row r="2" ht="26.4" customHeight="1" s="71">
      <c r="A2" s="92" t="inlineStr">
        <is>
          <t>REQUEST TO SIAS, €/pack</t>
        </is>
      </c>
      <c r="B2" s="151">
        <f>B19</f>
        <v>0.54</v>
      </c>
      <c r="C2" s="152" t="n"/>
      <c r="D2" s="98" t="str">
        <f>"now €"&amp;B5&amp;" (4 SKUs) / €"&amp;B7&amp;" (2 SKUs)"</f>
        <v>now €0.65 (4 SKUs) / €0.75 (2 SKUs)</v>
      </c>
      <c r="E2" s="152" t="n"/>
      <c r="F2" s="97" t="str">
        <f>"reduction −"&amp;ROUND((1-B19/B5)*100,0)&amp;" % / −"&amp;ROUND((1-B19/B7)*100,0)&amp;" %"</f>
        <v>reduction −17 % / −28 %</v>
      </c>
      <c r="G2" s="152" t="n"/>
      <c r="H2" s="98" t="inlineStr">
        <is>
          <t>one price for all 6 SKUs</t>
        </is>
      </c>
    </row>
    <row r="3" ht="54" customHeight="1" s="71">
      <c r="A3" s="99" t="inlineStr">
        <is>
          <t>Scenario</t>
        </is>
      </c>
      <c r="B3" s="99" t="inlineStr">
        <is>
          <t>SIAS purchase
per pack</t>
        </is>
      </c>
      <c r="C3" s="99" t="inlineStr">
        <is>
          <t>Landed cost in Ukraine
product + costs in Ukraine</t>
        </is>
      </c>
      <c r="D3" s="99" t="inlineStr">
        <is>
          <t>Partner price
cost ÷ (1 − bonus − our share)</t>
        </is>
      </c>
      <c r="E3" s="99" t="str">
        <f>"Chain bonus"&amp;CHAR(10)&amp;ROUND(D14*100,0)&amp;" % of partner price"</f>
        <v>Chain bonus
35 % of partner price</v>
      </c>
      <c r="F3" s="99" t="str">
        <f>"Left for us"&amp;CHAR(10)&amp;"costs &amp; margin"</f>
        <v>Left for us
costs &amp; margin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$B$23*F14</f>
        <v>45.17787308533919</v>
      </c>
      <c r="D4" s="101">
        <f>C4/(1-D14-C14)</f>
        <v>100.39527352297598</v>
      </c>
      <c r="E4" s="102">
        <f>D4*D14</f>
        <v>35.13834573304159</v>
      </c>
      <c r="F4" s="102">
        <f>D4-C4-E4</f>
        <v>20.0790547045952</v>
      </c>
      <c r="G4" s="102">
        <f>D4*(E14-1)</f>
        <v>40.15810940919039</v>
      </c>
      <c r="H4" s="103">
        <f>D4*E14</f>
        <v>140.55338293216636</v>
      </c>
    </row>
    <row r="5">
      <c r="A5" s="136" t="n"/>
      <c r="B5" s="137" t="n">
        <v>0.65</v>
      </c>
      <c r="C5" s="138">
        <f>C4/F14</f>
        <v>0.882380333698031</v>
      </c>
      <c r="D5" s="139">
        <f>D4/F14</f>
        <v>1.9608451859956246</v>
      </c>
      <c r="E5" s="139">
        <f>E4/F14</f>
        <v>0.6862958150984685</v>
      </c>
      <c r="F5" s="139">
        <f>F4/F14</f>
        <v>0.392169037199125</v>
      </c>
      <c r="G5" s="139">
        <f>G4/F14</f>
        <v>0.7843380743982498</v>
      </c>
      <c r="H5" s="139">
        <f>H4/F14</f>
        <v>2.745183260393874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$B$24*F14</f>
        <v>52.12831509846825</v>
      </c>
      <c r="D6" s="109">
        <f>C6/(1-D14-C14)</f>
        <v>115.84070021881833</v>
      </c>
      <c r="E6" s="110">
        <f>D6*D14</f>
        <v>40.544245076586414</v>
      </c>
      <c r="F6" s="110">
        <f>D6-C6-E6</f>
        <v>23.168140043763664</v>
      </c>
      <c r="G6" s="110">
        <f>D6*(E14-1)</f>
        <v>46.33628008752732</v>
      </c>
      <c r="H6" s="111">
        <f>D6*E14</f>
        <v>162.17698030634565</v>
      </c>
    </row>
    <row r="7" ht="19.95" customHeight="1" s="71">
      <c r="A7" s="136" t="n"/>
      <c r="B7" s="137" t="n">
        <v>0.75</v>
      </c>
      <c r="C7" s="138">
        <f>C6/F14</f>
        <v>1.018131154266958</v>
      </c>
      <c r="D7" s="140">
        <f>D6/F14</f>
        <v>2.2625136761487954</v>
      </c>
      <c r="E7" s="140">
        <f>E6/F14</f>
        <v>0.7918797866520784</v>
      </c>
      <c r="F7" s="140">
        <f>F6/F14</f>
        <v>0.45250273522975903</v>
      </c>
      <c r="G7" s="140">
        <f>G6/F14</f>
        <v>0.905005470459518</v>
      </c>
      <c r="H7" s="140">
        <f>H6/F14</f>
        <v>3.1675191466083135</v>
      </c>
    </row>
    <row r="8" ht="25.95" customHeight="1" s="71">
      <c r="A8" s="114" t="inlineStr">
        <is>
          <t>AFTER · SIAS request
(all 6 SKUs)</t>
        </is>
      </c>
      <c r="B8" s="115">
        <f>B9*F14</f>
        <v>27.648000000000003</v>
      </c>
      <c r="C8" s="115">
        <f>B21</f>
        <v>38.52747636363637</v>
      </c>
      <c r="D8" s="115">
        <f>C8/(1-D14-C14)</f>
        <v>85.61661414141415</v>
      </c>
      <c r="E8" s="116">
        <f>D8*D14</f>
        <v>29.96581494949495</v>
      </c>
      <c r="F8" s="116">
        <f>D8-C8-E8</f>
        <v>17.12332282828283</v>
      </c>
      <c r="G8" s="116">
        <f>D8*(E14-1)</f>
        <v>34.246645656565654</v>
      </c>
      <c r="H8" s="117">
        <f>D8*E14</f>
        <v>119.8632597979798</v>
      </c>
    </row>
    <row r="9" ht="19.95" customHeight="1" s="71">
      <c r="A9" s="136" t="n"/>
      <c r="B9" s="141">
        <f>B19</f>
        <v>0.54</v>
      </c>
      <c r="C9" s="142">
        <f>C8/F14</f>
        <v>0.7524897727272728</v>
      </c>
      <c r="D9" s="142">
        <f>D8/F14</f>
        <v>1.672199494949495</v>
      </c>
      <c r="E9" s="142">
        <f>E8/F14</f>
        <v>0.5852698232323231</v>
      </c>
      <c r="F9" s="142">
        <f>F8/F14</f>
        <v>0.334439898989899</v>
      </c>
      <c r="G9" s="142">
        <f>G8/F14</f>
        <v>0.6688797979797979</v>
      </c>
      <c r="H9" s="142">
        <f>H8/F14</f>
        <v>2.3410792929292925</v>
      </c>
    </row>
    <row r="10" ht="24" customHeight="1" s="71">
      <c r="A10" s="121" t="inlineStr">
        <is>
          <t>CHANGE: AFTER − BEFORE (4 SKUs)</t>
        </is>
      </c>
      <c r="B10" s="143">
        <f>B8-B4</f>
        <v>-5.631999999999998</v>
      </c>
      <c r="C10" s="143">
        <f>C8-C4</f>
        <v>-6.650396721702826</v>
      </c>
      <c r="D10" s="143">
        <f>D8-D4</f>
        <v>-14.778659381561837</v>
      </c>
      <c r="E10" s="143">
        <f>E8-E4</f>
        <v>-5.172530783546641</v>
      </c>
      <c r="F10" s="143">
        <f>F8-F4</f>
        <v>-2.9557318763123703</v>
      </c>
      <c r="G10" s="143">
        <f>G8-G4</f>
        <v>-5.911463752624734</v>
      </c>
      <c r="H10" s="143">
        <f>H8-H4</f>
        <v>-20.690123134186564</v>
      </c>
    </row>
    <row r="11" ht="18" customHeight="1" s="71">
      <c r="A11" s="136" t="n"/>
      <c r="B11" s="144">
        <f>B9-B5</f>
        <v>-0.10999999999999999</v>
      </c>
      <c r="C11" s="144">
        <f>C9-C5</f>
        <v>-0.12989056097075824</v>
      </c>
      <c r="D11" s="144">
        <f>D9-D5</f>
        <v>-0.2886456910461297</v>
      </c>
      <c r="E11" s="144">
        <f>E9-E5</f>
        <v>-0.10102599186614536</v>
      </c>
      <c r="F11" s="144">
        <f>F9-F5</f>
        <v>-0.05772913820922598</v>
      </c>
      <c r="G11" s="144">
        <f>G9-G5</f>
        <v>-0.11545827641845186</v>
      </c>
      <c r="H11" s="144">
        <f>H9-H5</f>
        <v>-0.40410396746458144</v>
      </c>
    </row>
    <row r="12" ht="15" customHeight="1" s="71" thickBot="1">
      <c r="A12" s="90" t="inlineStr">
        <is>
          <t>INPUTS — yellow cells can be changed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26" customHeight="1" s="71">
      <c r="B13" s="45" t="inlineStr">
        <is>
          <t>Shelf price, ₴</t>
        </is>
      </c>
      <c r="C13" s="45" t="inlineStr">
        <is>
          <t>Our share of partner price</t>
        </is>
      </c>
      <c r="D13" s="45" t="inlineStr">
        <is>
          <t>Chain bonus</t>
        </is>
      </c>
      <c r="E13" s="45" t="inlineStr">
        <is>
          <t>Shelf multiplier</t>
        </is>
      </c>
      <c r="F13" s="45" t="inlineStr">
        <is>
          <t>Rate ₴/€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5" t="n">
        <v>0.35</v>
      </c>
      <c r="E14" s="180" t="n">
        <v>1.4</v>
      </c>
      <c r="F14" s="53" t="n">
        <v>51.2</v>
      </c>
    </row>
    <row r="15" hidden="1" s="71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 hidden="1" s="71">
      <c r="B16" s="145" t="n">
        <v>0.2</v>
      </c>
      <c r="C16" s="145" t="n">
        <v>0.025</v>
      </c>
      <c r="D16" s="145" t="n">
        <v>0</v>
      </c>
      <c r="E16" s="52" t="n">
        <v>3700</v>
      </c>
      <c r="F16" s="52" t="n">
        <v>288</v>
      </c>
      <c r="G16" s="52" t="n">
        <v>42</v>
      </c>
    </row>
    <row r="17" hidden="1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 hidden="1" s="71">
      <c r="B18" s="53" t="n">
        <v>0.7</v>
      </c>
      <c r="C18" s="52" t="n">
        <v>33</v>
      </c>
      <c r="D18" s="52" t="n">
        <v>1600</v>
      </c>
    </row>
    <row r="19">
      <c r="A19" s="54" t="inlineStr">
        <is>
          <t>Request to SIAS, €/pack (rounded down to the euro cent)</t>
        </is>
      </c>
      <c r="B19" s="147">
        <f>ROUNDDOWN(((B14/E14*(1-D14-C14))/F14/(1+C16)-(E16+F16+G16+E16*B18*(D16+B16*(1+D16)))/(C18*D18))/((1+D16)*(1+B16)),2)</f>
        <v>0.54</v>
      </c>
    </row>
    <row r="20">
      <c r="A20" s="54" t="inlineStr">
        <is>
          <t>Maximum purchase price before rounding, €/pack</t>
        </is>
      </c>
      <c r="B20" s="148">
        <f>((B14/E14*(1-D14-C14))/F14/(1+C16)-(E16+F16+G16+E16*B18*(D16+B16*(1+D16)))/(C18*D18))/((1+D16)*(1+B16))</f>
        <v>0.5406979199662126</v>
      </c>
    </row>
    <row r="21" ht="30" customHeight="1" s="71">
      <c r="A21" s="54" t="inlineStr">
        <is>
          <t>Landed cost in Ukraine at the request, ₴/pack</t>
        </is>
      </c>
      <c r="B21" s="57">
        <f>(B19*F14+(E16+F16+G16)/(C18*D18)*F14+(B19+E16*B18/(C18*D18))*D16*F14+(B19+E16*B18/(C18*D18))*(1+D16)*B16*F14)*(1+C16)</f>
        <v>38.52747636363637</v>
      </c>
    </row>
    <row r="22"/>
    <row r="23" ht="30" customHeight="1" s="71">
      <c r="A23" s="54" t="inlineStr">
        <is>
          <t>Landed cost today, 4 SKUs (Vegetable, Spicy, Beef, Chicken), €/pack</t>
        </is>
      </c>
      <c r="B23" s="181" t="n">
        <v>0.882380333698031</v>
      </c>
    </row>
    <row r="24" ht="30" customHeight="1" s="71">
      <c r="A24" s="54" t="inlineStr">
        <is>
          <t>Landed cost today, 2 SKUs (Gouda, Carbonara), €/pack</t>
        </is>
      </c>
      <c r="B24" s="181" t="n">
        <v>1.018131154266958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SIAS financial model</dc:title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2026-10-16T13:21:54Z</dcterms:modified>
  <cp:lastModifiedBy/>
</cp:coreProperties>
</file>