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W:\Проектные задачи\Лапша -  Свод\SIAS\"/>
    </mc:Choice>
  </mc:AlternateContent>
  <xr:revisionPtr revIDLastSave="0" documentId="13_ncr:1_{4B45CFD3-5C38-414D-8829-8CDE319DF32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Финмодель 6 паллет" sheetId="1" r:id="rId1"/>
    <sheet name="Финмодель 33 паллет" sheetId="2" r:id="rId2"/>
    <sheet name="Цена 120 грн — 6 паллет" sheetId="3" r:id="rId3"/>
    <sheet name="Цена 120 грн — 33 паллет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4" l="1"/>
  <c r="E14" i="4"/>
  <c r="D14" i="4"/>
  <c r="C7" i="4"/>
  <c r="C6" i="4"/>
  <c r="D6" i="4" s="1"/>
  <c r="B6" i="4"/>
  <c r="C5" i="4"/>
  <c r="C4" i="4"/>
  <c r="D4" i="4" s="1"/>
  <c r="B4" i="4"/>
  <c r="D2" i="4"/>
  <c r="F14" i="3"/>
  <c r="E14" i="3"/>
  <c r="D14" i="3"/>
  <c r="C7" i="3"/>
  <c r="C6" i="3"/>
  <c r="D6" i="3" s="1"/>
  <c r="B6" i="3"/>
  <c r="C5" i="3"/>
  <c r="C4" i="3"/>
  <c r="D4" i="3" s="1"/>
  <c r="B4" i="3"/>
  <c r="D2" i="3"/>
  <c r="K36" i="1"/>
  <c r="J36" i="1"/>
  <c r="I36" i="1"/>
  <c r="H36" i="1"/>
  <c r="G36" i="1"/>
  <c r="F36" i="1"/>
  <c r="K35" i="1"/>
  <c r="J35" i="1"/>
  <c r="I35" i="1"/>
  <c r="H35" i="1"/>
  <c r="G35" i="1"/>
  <c r="F35" i="1"/>
  <c r="K28" i="1"/>
  <c r="J28" i="1"/>
  <c r="I28" i="1"/>
  <c r="H28" i="1"/>
  <c r="G28" i="1"/>
  <c r="F28" i="1"/>
  <c r="K27" i="1"/>
  <c r="J27" i="1"/>
  <c r="I27" i="1"/>
  <c r="H27" i="1"/>
  <c r="G27" i="1"/>
  <c r="F27" i="1"/>
  <c r="K26" i="1"/>
  <c r="J26" i="1"/>
  <c r="I26" i="1"/>
  <c r="H26" i="1"/>
  <c r="G26" i="1"/>
  <c r="F26" i="1"/>
  <c r="K23" i="1"/>
  <c r="J23" i="1"/>
  <c r="I23" i="1"/>
  <c r="H23" i="1"/>
  <c r="G23" i="1"/>
  <c r="F23" i="1"/>
  <c r="K22" i="1"/>
  <c r="J22" i="1"/>
  <c r="I22" i="1"/>
  <c r="H22" i="1"/>
  <c r="G22" i="1"/>
  <c r="F22" i="1"/>
  <c r="K21" i="1"/>
  <c r="J21" i="1"/>
  <c r="I21" i="1"/>
  <c r="H21" i="1"/>
  <c r="G21" i="1"/>
  <c r="F21" i="1"/>
  <c r="D8" i="1"/>
  <c r="K36" i="2"/>
  <c r="J36" i="2"/>
  <c r="I36" i="2"/>
  <c r="H36" i="2"/>
  <c r="G36" i="2"/>
  <c r="F36" i="2"/>
  <c r="K35" i="2"/>
  <c r="J35" i="2"/>
  <c r="I35" i="2"/>
  <c r="H35" i="2"/>
  <c r="G35" i="2"/>
  <c r="F35" i="2"/>
  <c r="K28" i="2"/>
  <c r="J28" i="2"/>
  <c r="I28" i="2"/>
  <c r="H28" i="2"/>
  <c r="G28" i="2"/>
  <c r="F28" i="2"/>
  <c r="K27" i="2"/>
  <c r="J27" i="2"/>
  <c r="I27" i="2"/>
  <c r="H27" i="2"/>
  <c r="G27" i="2"/>
  <c r="F27" i="2"/>
  <c r="K26" i="2"/>
  <c r="J26" i="2"/>
  <c r="I26" i="2"/>
  <c r="H26" i="2"/>
  <c r="G26" i="2"/>
  <c r="F26" i="2"/>
  <c r="K23" i="2"/>
  <c r="J23" i="2"/>
  <c r="I23" i="2"/>
  <c r="H23" i="2"/>
  <c r="G23" i="2"/>
  <c r="F23" i="2"/>
  <c r="K22" i="2"/>
  <c r="J22" i="2"/>
  <c r="I22" i="2"/>
  <c r="H22" i="2"/>
  <c r="G22" i="2"/>
  <c r="F22" i="2"/>
  <c r="K21" i="2"/>
  <c r="J21" i="2"/>
  <c r="I21" i="2"/>
  <c r="H21" i="2"/>
  <c r="G21" i="2"/>
  <c r="F21" i="2"/>
  <c r="D8" i="2"/>
  <c r="K29" i="2" l="1"/>
  <c r="J29" i="2"/>
  <c r="I29" i="2"/>
  <c r="H29" i="2"/>
  <c r="G29" i="2"/>
  <c r="F29" i="2"/>
  <c r="F16" i="2"/>
  <c r="F15" i="2"/>
  <c r="F14" i="2"/>
  <c r="F13" i="2"/>
  <c r="F12" i="2"/>
  <c r="F11" i="2"/>
  <c r="K29" i="1"/>
  <c r="J29" i="1"/>
  <c r="I29" i="1"/>
  <c r="H29" i="1"/>
  <c r="G29" i="1"/>
  <c r="F29" i="1"/>
  <c r="F16" i="1"/>
  <c r="F15" i="1"/>
  <c r="F14" i="1"/>
  <c r="F13" i="1"/>
  <c r="F12" i="1"/>
  <c r="F11" i="1"/>
  <c r="D5" i="3"/>
  <c r="H4" i="3"/>
  <c r="H5" i="3" s="1"/>
  <c r="G4" i="3"/>
  <c r="G5" i="3" s="1"/>
  <c r="E4" i="3"/>
  <c r="D7" i="3"/>
  <c r="H6" i="3"/>
  <c r="H7" i="3" s="1"/>
  <c r="G6" i="3"/>
  <c r="G7" i="3" s="1"/>
  <c r="E6" i="3"/>
  <c r="B21" i="3"/>
  <c r="B20" i="3"/>
  <c r="D5" i="4"/>
  <c r="H4" i="4"/>
  <c r="H5" i="4" s="1"/>
  <c r="G4" i="4"/>
  <c r="G5" i="4" s="1"/>
  <c r="E4" i="4"/>
  <c r="D7" i="4"/>
  <c r="H6" i="4"/>
  <c r="H7" i="4" s="1"/>
  <c r="G6" i="4"/>
  <c r="G7" i="4" s="1"/>
  <c r="E6" i="4"/>
  <c r="B20" i="4"/>
  <c r="B19" i="4"/>
  <c r="B21" i="4" l="1"/>
  <c r="C8" i="4" s="1"/>
  <c r="B9" i="4"/>
  <c r="F2" i="4"/>
  <c r="B2" i="4"/>
  <c r="E7" i="4"/>
  <c r="F6" i="4"/>
  <c r="F7" i="4" s="1"/>
  <c r="E5" i="4"/>
  <c r="F4" i="4"/>
  <c r="F5" i="4" s="1"/>
  <c r="B22" i="3"/>
  <c r="C8" i="3" s="1"/>
  <c r="B9" i="3"/>
  <c r="F2" i="3"/>
  <c r="B2" i="3"/>
  <c r="E7" i="3"/>
  <c r="F6" i="3"/>
  <c r="F7" i="3" s="1"/>
  <c r="E5" i="3"/>
  <c r="F4" i="3"/>
  <c r="F5" i="3" s="1"/>
  <c r="F24" i="1"/>
  <c r="AE11" i="1"/>
  <c r="Z11" i="1"/>
  <c r="U11" i="1"/>
  <c r="P11" i="1"/>
  <c r="L11" i="1"/>
  <c r="G11" i="1"/>
  <c r="G24" i="1"/>
  <c r="AE12" i="1"/>
  <c r="Z12" i="1"/>
  <c r="U12" i="1"/>
  <c r="P12" i="1"/>
  <c r="L12" i="1"/>
  <c r="G12" i="1"/>
  <c r="H24" i="1"/>
  <c r="AE13" i="1"/>
  <c r="Z13" i="1"/>
  <c r="U13" i="1"/>
  <c r="P13" i="1"/>
  <c r="L13" i="1"/>
  <c r="G13" i="1"/>
  <c r="I24" i="1"/>
  <c r="AE14" i="1"/>
  <c r="Z14" i="1"/>
  <c r="U14" i="1"/>
  <c r="P14" i="1"/>
  <c r="L14" i="1"/>
  <c r="G14" i="1"/>
  <c r="J24" i="1"/>
  <c r="AE15" i="1"/>
  <c r="Z15" i="1"/>
  <c r="U15" i="1"/>
  <c r="P15" i="1"/>
  <c r="L15" i="1"/>
  <c r="G15" i="1"/>
  <c r="K24" i="1"/>
  <c r="AE16" i="1"/>
  <c r="Z16" i="1"/>
  <c r="U16" i="1"/>
  <c r="P16" i="1"/>
  <c r="L16" i="1"/>
  <c r="G16" i="1"/>
  <c r="F24" i="2"/>
  <c r="AE11" i="2"/>
  <c r="Z11" i="2"/>
  <c r="U11" i="2"/>
  <c r="P11" i="2"/>
  <c r="L11" i="2"/>
  <c r="G11" i="2"/>
  <c r="G24" i="2"/>
  <c r="AE12" i="2"/>
  <c r="Z12" i="2"/>
  <c r="U12" i="2"/>
  <c r="P12" i="2"/>
  <c r="L12" i="2"/>
  <c r="G12" i="2"/>
  <c r="H24" i="2"/>
  <c r="AE13" i="2"/>
  <c r="Z13" i="2"/>
  <c r="U13" i="2"/>
  <c r="P13" i="2"/>
  <c r="L13" i="2"/>
  <c r="G13" i="2"/>
  <c r="I24" i="2"/>
  <c r="AE14" i="2"/>
  <c r="Z14" i="2"/>
  <c r="U14" i="2"/>
  <c r="P14" i="2"/>
  <c r="L14" i="2"/>
  <c r="G14" i="2"/>
  <c r="J24" i="2"/>
  <c r="AE15" i="2"/>
  <c r="Z15" i="2"/>
  <c r="U15" i="2"/>
  <c r="P15" i="2"/>
  <c r="L15" i="2"/>
  <c r="G15" i="2"/>
  <c r="K24" i="2"/>
  <c r="AE16" i="2"/>
  <c r="Z16" i="2"/>
  <c r="U16" i="2"/>
  <c r="P16" i="2"/>
  <c r="L16" i="2"/>
  <c r="G16" i="2"/>
  <c r="K30" i="2" l="1"/>
  <c r="N16" i="2"/>
  <c r="K16" i="2"/>
  <c r="K37" i="2" s="1"/>
  <c r="H16" i="2"/>
  <c r="K38" i="2"/>
  <c r="M16" i="2"/>
  <c r="K39" i="2" s="1"/>
  <c r="T16" i="2"/>
  <c r="Q16" i="2"/>
  <c r="R16" i="2" s="1"/>
  <c r="S16" i="2" s="1"/>
  <c r="Y16" i="2"/>
  <c r="V16" i="2"/>
  <c r="W16" i="2" s="1"/>
  <c r="X16" i="2" s="1"/>
  <c r="AD16" i="2"/>
  <c r="AA16" i="2"/>
  <c r="AB16" i="2" s="1"/>
  <c r="AC16" i="2" s="1"/>
  <c r="AI16" i="2"/>
  <c r="AF16" i="2"/>
  <c r="AG16" i="2" s="1"/>
  <c r="AH16" i="2" s="1"/>
  <c r="J30" i="2"/>
  <c r="N15" i="2"/>
  <c r="K15" i="2"/>
  <c r="J37" i="2" s="1"/>
  <c r="H15" i="2"/>
  <c r="J38" i="2"/>
  <c r="M15" i="2"/>
  <c r="J39" i="2" s="1"/>
  <c r="T15" i="2"/>
  <c r="Q15" i="2"/>
  <c r="R15" i="2" s="1"/>
  <c r="S15" i="2" s="1"/>
  <c r="Y15" i="2"/>
  <c r="V15" i="2"/>
  <c r="W15" i="2" s="1"/>
  <c r="X15" i="2" s="1"/>
  <c r="AD15" i="2"/>
  <c r="AA15" i="2"/>
  <c r="AB15" i="2" s="1"/>
  <c r="AC15" i="2" s="1"/>
  <c r="AI15" i="2"/>
  <c r="AF15" i="2"/>
  <c r="AG15" i="2" s="1"/>
  <c r="AH15" i="2" s="1"/>
  <c r="I30" i="2"/>
  <c r="N14" i="2"/>
  <c r="K14" i="2"/>
  <c r="I37" i="2" s="1"/>
  <c r="H14" i="2"/>
  <c r="I38" i="2"/>
  <c r="M14" i="2"/>
  <c r="I39" i="2" s="1"/>
  <c r="T14" i="2"/>
  <c r="Q14" i="2"/>
  <c r="R14" i="2" s="1"/>
  <c r="S14" i="2" s="1"/>
  <c r="Y14" i="2"/>
  <c r="V14" i="2"/>
  <c r="W14" i="2" s="1"/>
  <c r="X14" i="2" s="1"/>
  <c r="AD14" i="2"/>
  <c r="AA14" i="2"/>
  <c r="AB14" i="2" s="1"/>
  <c r="AC14" i="2" s="1"/>
  <c r="AI14" i="2"/>
  <c r="AF14" i="2"/>
  <c r="AG14" i="2" s="1"/>
  <c r="AH14" i="2" s="1"/>
  <c r="H30" i="2"/>
  <c r="N13" i="2"/>
  <c r="K13" i="2"/>
  <c r="H37" i="2" s="1"/>
  <c r="H13" i="2"/>
  <c r="H38" i="2"/>
  <c r="M13" i="2"/>
  <c r="H39" i="2" s="1"/>
  <c r="T13" i="2"/>
  <c r="Q13" i="2"/>
  <c r="R13" i="2" s="1"/>
  <c r="S13" i="2" s="1"/>
  <c r="Y13" i="2"/>
  <c r="V13" i="2"/>
  <c r="W13" i="2" s="1"/>
  <c r="X13" i="2" s="1"/>
  <c r="AD13" i="2"/>
  <c r="AA13" i="2"/>
  <c r="AB13" i="2" s="1"/>
  <c r="AC13" i="2" s="1"/>
  <c r="AI13" i="2"/>
  <c r="AF13" i="2"/>
  <c r="AG13" i="2" s="1"/>
  <c r="AH13" i="2" s="1"/>
  <c r="G30" i="2"/>
  <c r="N12" i="2"/>
  <c r="K12" i="2"/>
  <c r="G37" i="2" s="1"/>
  <c r="H12" i="2"/>
  <c r="G38" i="2"/>
  <c r="M12" i="2"/>
  <c r="G39" i="2" s="1"/>
  <c r="T12" i="2"/>
  <c r="Q12" i="2"/>
  <c r="R12" i="2" s="1"/>
  <c r="S12" i="2" s="1"/>
  <c r="Y12" i="2"/>
  <c r="V12" i="2"/>
  <c r="W12" i="2" s="1"/>
  <c r="X12" i="2" s="1"/>
  <c r="AD12" i="2"/>
  <c r="AA12" i="2"/>
  <c r="AB12" i="2" s="1"/>
  <c r="AC12" i="2" s="1"/>
  <c r="AI12" i="2"/>
  <c r="AF12" i="2"/>
  <c r="AG12" i="2" s="1"/>
  <c r="AH12" i="2" s="1"/>
  <c r="F30" i="2"/>
  <c r="N11" i="2"/>
  <c r="K11" i="2"/>
  <c r="F37" i="2" s="1"/>
  <c r="H11" i="2"/>
  <c r="F38" i="2"/>
  <c r="M11" i="2"/>
  <c r="F39" i="2" s="1"/>
  <c r="T11" i="2"/>
  <c r="Q11" i="2"/>
  <c r="R11" i="2" s="1"/>
  <c r="S11" i="2" s="1"/>
  <c r="Y11" i="2"/>
  <c r="V11" i="2"/>
  <c r="W11" i="2" s="1"/>
  <c r="X11" i="2" s="1"/>
  <c r="AD11" i="2"/>
  <c r="AA11" i="2"/>
  <c r="AB11" i="2" s="1"/>
  <c r="AC11" i="2" s="1"/>
  <c r="AI11" i="2"/>
  <c r="AF11" i="2"/>
  <c r="AG11" i="2" s="1"/>
  <c r="AH11" i="2" s="1"/>
  <c r="K30" i="1"/>
  <c r="N16" i="1"/>
  <c r="K16" i="1"/>
  <c r="K37" i="1" s="1"/>
  <c r="H16" i="1"/>
  <c r="K38" i="1"/>
  <c r="M16" i="1"/>
  <c r="K39" i="1" s="1"/>
  <c r="T16" i="1"/>
  <c r="Q16" i="1"/>
  <c r="R16" i="1" s="1"/>
  <c r="S16" i="1" s="1"/>
  <c r="Y16" i="1"/>
  <c r="V16" i="1"/>
  <c r="W16" i="1" s="1"/>
  <c r="X16" i="1" s="1"/>
  <c r="AD16" i="1"/>
  <c r="AA16" i="1"/>
  <c r="AB16" i="1" s="1"/>
  <c r="AC16" i="1" s="1"/>
  <c r="AI16" i="1"/>
  <c r="AF16" i="1"/>
  <c r="AG16" i="1" s="1"/>
  <c r="AH16" i="1" s="1"/>
  <c r="J30" i="1"/>
  <c r="N15" i="1"/>
  <c r="K15" i="1"/>
  <c r="J37" i="1" s="1"/>
  <c r="H15" i="1"/>
  <c r="J38" i="1"/>
  <c r="M15" i="1"/>
  <c r="J39" i="1" s="1"/>
  <c r="T15" i="1"/>
  <c r="Q15" i="1"/>
  <c r="R15" i="1" s="1"/>
  <c r="S15" i="1" s="1"/>
  <c r="Y15" i="1"/>
  <c r="V15" i="1"/>
  <c r="W15" i="1" s="1"/>
  <c r="X15" i="1" s="1"/>
  <c r="AD15" i="1"/>
  <c r="AA15" i="1"/>
  <c r="AB15" i="1" s="1"/>
  <c r="AC15" i="1" s="1"/>
  <c r="AI15" i="1"/>
  <c r="AF15" i="1"/>
  <c r="AG15" i="1" s="1"/>
  <c r="AH15" i="1" s="1"/>
  <c r="I30" i="1"/>
  <c r="N14" i="1"/>
  <c r="K14" i="1"/>
  <c r="I37" i="1" s="1"/>
  <c r="H14" i="1"/>
  <c r="I38" i="1"/>
  <c r="M14" i="1"/>
  <c r="I39" i="1" s="1"/>
  <c r="T14" i="1"/>
  <c r="Q14" i="1"/>
  <c r="R14" i="1" s="1"/>
  <c r="S14" i="1" s="1"/>
  <c r="Y14" i="1"/>
  <c r="V14" i="1"/>
  <c r="W14" i="1" s="1"/>
  <c r="X14" i="1" s="1"/>
  <c r="AD14" i="1"/>
  <c r="AA14" i="1"/>
  <c r="AB14" i="1" s="1"/>
  <c r="AC14" i="1" s="1"/>
  <c r="AI14" i="1"/>
  <c r="AF14" i="1"/>
  <c r="AG14" i="1" s="1"/>
  <c r="AH14" i="1" s="1"/>
  <c r="H30" i="1"/>
  <c r="N13" i="1"/>
  <c r="K13" i="1"/>
  <c r="H37" i="1" s="1"/>
  <c r="H13" i="1"/>
  <c r="H38" i="1"/>
  <c r="M13" i="1"/>
  <c r="H39" i="1" s="1"/>
  <c r="T13" i="1"/>
  <c r="Q13" i="1"/>
  <c r="R13" i="1" s="1"/>
  <c r="S13" i="1" s="1"/>
  <c r="Y13" i="1"/>
  <c r="V13" i="1"/>
  <c r="W13" i="1" s="1"/>
  <c r="X13" i="1" s="1"/>
  <c r="AD13" i="1"/>
  <c r="AA13" i="1"/>
  <c r="AB13" i="1" s="1"/>
  <c r="AC13" i="1" s="1"/>
  <c r="AI13" i="1"/>
  <c r="AF13" i="1"/>
  <c r="AG13" i="1" s="1"/>
  <c r="AH13" i="1" s="1"/>
  <c r="G30" i="1"/>
  <c r="N12" i="1"/>
  <c r="K12" i="1"/>
  <c r="G37" i="1" s="1"/>
  <c r="H12" i="1"/>
  <c r="G38" i="1"/>
  <c r="M12" i="1"/>
  <c r="G39" i="1" s="1"/>
  <c r="T12" i="1"/>
  <c r="Q12" i="1"/>
  <c r="R12" i="1" s="1"/>
  <c r="S12" i="1" s="1"/>
  <c r="Y12" i="1"/>
  <c r="V12" i="1"/>
  <c r="W12" i="1" s="1"/>
  <c r="X12" i="1" s="1"/>
  <c r="AD12" i="1"/>
  <c r="AA12" i="1"/>
  <c r="AB12" i="1" s="1"/>
  <c r="AC12" i="1" s="1"/>
  <c r="AI12" i="1"/>
  <c r="AF12" i="1"/>
  <c r="AG12" i="1" s="1"/>
  <c r="AH12" i="1" s="1"/>
  <c r="F30" i="1"/>
  <c r="N11" i="1"/>
  <c r="K11" i="1"/>
  <c r="F37" i="1" s="1"/>
  <c r="H11" i="1"/>
  <c r="F38" i="1"/>
  <c r="M11" i="1"/>
  <c r="F39" i="1" s="1"/>
  <c r="T11" i="1"/>
  <c r="Q11" i="1"/>
  <c r="R11" i="1" s="1"/>
  <c r="S11" i="1" s="1"/>
  <c r="Y11" i="1"/>
  <c r="V11" i="1"/>
  <c r="W11" i="1" s="1"/>
  <c r="X11" i="1" s="1"/>
  <c r="AD11" i="1"/>
  <c r="AA11" i="1"/>
  <c r="AB11" i="1" s="1"/>
  <c r="AC11" i="1" s="1"/>
  <c r="AI11" i="1"/>
  <c r="AF11" i="1"/>
  <c r="AG11" i="1" s="1"/>
  <c r="AH11" i="1" s="1"/>
  <c r="B11" i="3"/>
  <c r="B8" i="3"/>
  <c r="B10" i="3" s="1"/>
  <c r="C10" i="3"/>
  <c r="C9" i="3"/>
  <c r="C11" i="3" s="1"/>
  <c r="D8" i="3"/>
  <c r="B11" i="4"/>
  <c r="B8" i="4"/>
  <c r="B10" i="4" s="1"/>
  <c r="C10" i="4"/>
  <c r="C9" i="4"/>
  <c r="C11" i="4" s="1"/>
  <c r="D8" i="4"/>
  <c r="D10" i="4" l="1"/>
  <c r="D9" i="4"/>
  <c r="D11" i="4" s="1"/>
  <c r="H8" i="4"/>
  <c r="G8" i="4"/>
  <c r="E8" i="4"/>
  <c r="D10" i="3"/>
  <c r="D9" i="3"/>
  <c r="D11" i="3" s="1"/>
  <c r="H8" i="3"/>
  <c r="G8" i="3"/>
  <c r="E8" i="3"/>
  <c r="F32" i="1"/>
  <c r="I11" i="1"/>
  <c r="F31" i="1"/>
  <c r="O11" i="1"/>
  <c r="G32" i="1"/>
  <c r="I12" i="1"/>
  <c r="G31" i="1"/>
  <c r="O12" i="1"/>
  <c r="H32" i="1"/>
  <c r="I13" i="1"/>
  <c r="H31" i="1"/>
  <c r="O13" i="1"/>
  <c r="I32" i="1"/>
  <c r="I14" i="1"/>
  <c r="I31" i="1"/>
  <c r="O14" i="1"/>
  <c r="J32" i="1"/>
  <c r="I15" i="1"/>
  <c r="J31" i="1"/>
  <c r="O15" i="1"/>
  <c r="K32" i="1"/>
  <c r="I16" i="1"/>
  <c r="K31" i="1"/>
  <c r="O16" i="1"/>
  <c r="F32" i="2"/>
  <c r="I11" i="2"/>
  <c r="F31" i="2"/>
  <c r="O11" i="2"/>
  <c r="G32" i="2"/>
  <c r="I12" i="2"/>
  <c r="G31" i="2"/>
  <c r="O12" i="2"/>
  <c r="H32" i="2"/>
  <c r="I13" i="2"/>
  <c r="H31" i="2"/>
  <c r="O13" i="2"/>
  <c r="I32" i="2"/>
  <c r="I14" i="2"/>
  <c r="I31" i="2"/>
  <c r="O14" i="2"/>
  <c r="J32" i="2"/>
  <c r="I15" i="2"/>
  <c r="J31" i="2"/>
  <c r="O15" i="2"/>
  <c r="K32" i="2"/>
  <c r="I16" i="2"/>
  <c r="K31" i="2"/>
  <c r="O16" i="2"/>
  <c r="K33" i="2" l="1"/>
  <c r="J16" i="2"/>
  <c r="K34" i="2" s="1"/>
  <c r="J33" i="2"/>
  <c r="J15" i="2"/>
  <c r="J34" i="2" s="1"/>
  <c r="I33" i="2"/>
  <c r="J14" i="2"/>
  <c r="I34" i="2" s="1"/>
  <c r="H33" i="2"/>
  <c r="J13" i="2"/>
  <c r="H34" i="2" s="1"/>
  <c r="G33" i="2"/>
  <c r="J12" i="2"/>
  <c r="G34" i="2" s="1"/>
  <c r="F33" i="2"/>
  <c r="J11" i="2"/>
  <c r="F34" i="2" s="1"/>
  <c r="K33" i="1"/>
  <c r="J16" i="1"/>
  <c r="K34" i="1" s="1"/>
  <c r="J33" i="1"/>
  <c r="J15" i="1"/>
  <c r="J34" i="1" s="1"/>
  <c r="I33" i="1"/>
  <c r="J14" i="1"/>
  <c r="I34" i="1" s="1"/>
  <c r="H33" i="1"/>
  <c r="J13" i="1"/>
  <c r="H34" i="1" s="1"/>
  <c r="G33" i="1"/>
  <c r="J12" i="1"/>
  <c r="G34" i="1" s="1"/>
  <c r="F33" i="1"/>
  <c r="J11" i="1"/>
  <c r="F34" i="1" s="1"/>
  <c r="E10" i="3"/>
  <c r="E9" i="3"/>
  <c r="E11" i="3" s="1"/>
  <c r="F8" i="3"/>
  <c r="G10" i="3"/>
  <c r="G9" i="3"/>
  <c r="G11" i="3" s="1"/>
  <c r="H10" i="3"/>
  <c r="H9" i="3"/>
  <c r="H11" i="3" s="1"/>
  <c r="E10" i="4"/>
  <c r="E9" i="4"/>
  <c r="E11" i="4" s="1"/>
  <c r="F8" i="4"/>
  <c r="G10" i="4"/>
  <c r="G9" i="4"/>
  <c r="G11" i="4" s="1"/>
  <c r="H10" i="4"/>
  <c r="H9" i="4"/>
  <c r="H11" i="4" s="1"/>
  <c r="F10" i="4" l="1"/>
  <c r="F9" i="4"/>
  <c r="F11" i="4" s="1"/>
  <c r="F10" i="3"/>
  <c r="F9" i="3"/>
  <c r="F11" i="3" s="1"/>
</calcChain>
</file>

<file path=xl/sharedStrings.xml><?xml version="1.0" encoding="utf-8"?>
<sst xmlns="http://schemas.openxmlformats.org/spreadsheetml/2006/main" count="288" uniqueCount="127">
  <si>
    <t>Рамен. Ціна партнеру та полиця — 33 палет / Full Truck</t>
  </si>
  <si>
    <t>Сценарій поставки</t>
  </si>
  <si>
    <t>33 палети</t>
  </si>
  <si>
    <t>Готова СС із Self-Cost_Sias: AJ30:AJ35. Склад СС збережено.</t>
  </si>
  <si>
    <t>Курс, грн/EUR</t>
  </si>
  <si>
    <t>Курс 51,20 грн/EUR — із Self-Cost_Sias.</t>
  </si>
  <si>
    <t>Бонуси мережі, %</t>
  </si>
  <si>
    <t>Бонус 25%; полиця = ціна партнера × 1,40.</t>
  </si>
  <si>
    <t>Цільова маржа, %</t>
  </si>
  <si>
    <t>35% = (ціна партнеру − собівартість − бонус) / повна ціна партнеру.</t>
  </si>
  <si>
    <t>Націнка мережі (x)</t>
  </si>
  <si>
    <t>Прибуток після бонусу = ціна партнеру − собівартість − бонус мережі.</t>
  </si>
  <si>
    <t>Ціна партнера</t>
  </si>
  <si>
    <t>вже з ПДВ</t>
  </si>
  <si>
    <t>ПДВ як у прикладі: СС збережено повністю; ціна вже з ПДВ. Множення на 1,20 немає.</t>
  </si>
  <si>
    <t>Частка ціни для собівартості</t>
  </si>
  <si>
    <t>100% − бонус − маржа. За поточних умов: 100% − 25% − 35% = 40%.</t>
  </si>
  <si>
    <t>ТОВАР</t>
  </si>
  <si>
    <t>СОБІВАРТІСТЬ</t>
  </si>
  <si>
    <t>ЦІНА ПАРТНЕРУ ТА ПРИБУТОК</t>
  </si>
  <si>
    <t>ПОЛИЦЯ</t>
  </si>
  <si>
    <t>МОДЕЛЬ: НУЛЬОВА МАРЖА</t>
  </si>
  <si>
    <t>ПРИБУТОК З ОДНІЄЇ УПАКОВКИ</t>
  </si>
  <si>
    <t>№</t>
  </si>
  <si>
    <t>Група</t>
  </si>
  <si>
    <t>Позиція</t>
  </si>
  <si>
    <t>Вага, г</t>
  </si>
  <si>
    <t>СС, EUR/уп.</t>
  </si>
  <si>
    <t>1. СС, грн/уп.</t>
  </si>
  <si>
    <t>2. Ціна партнеру з ПДВ</t>
  </si>
  <si>
    <t>3. Бонус мережі, грн</t>
  </si>
  <si>
    <t>4. Прибуток після бонусу, грн</t>
  </si>
  <si>
    <t>5. Маржа за прикладом</t>
  </si>
  <si>
    <t>6. Полиця з ПДВ, грн</t>
  </si>
  <si>
    <t>Мін. ціна партнеру</t>
  </si>
  <si>
    <t>Мін. полиця</t>
  </si>
  <si>
    <t>Валовий прибуток за прикладом, до бонусу, грн/уп.</t>
  </si>
  <si>
    <t>Прибуток після бонусу за прикладом, грн/уп.</t>
  </si>
  <si>
    <t>Ціна партнеру з ПДВ, грн</t>
  </si>
  <si>
    <t>Бонус мережі, грн</t>
  </si>
  <si>
    <t>Прибуток після бонусу, грн</t>
  </si>
  <si>
    <t>Перевірка маржі</t>
  </si>
  <si>
    <t>Полиця з ПДВ, грн</t>
  </si>
  <si>
    <t>SIAS — рамен у пакеті</t>
  </si>
  <si>
    <t>Gouda Cheese 123 г</t>
  </si>
  <si>
    <t>Carbonara Spicy 131 г</t>
  </si>
  <si>
    <t>Vegetable Flavor 113 г</t>
  </si>
  <si>
    <t>Spicy Flavor 112.5 г</t>
  </si>
  <si>
    <t>Beef Flavor 113 г</t>
  </si>
  <si>
    <t>Chicken Flavor 113 г</t>
  </si>
  <si>
    <t>Кожен крок формування ціни — за вашим прикладом</t>
  </si>
  <si>
    <t>Що рахуємо</t>
  </si>
  <si>
    <t>Дія</t>
  </si>
  <si>
    <t>Собівартість в Україні, EUR/уп.</t>
  </si>
  <si>
    <t>Із Self-Cost</t>
  </si>
  <si>
    <t>Умова в D3</t>
  </si>
  <si>
    <t>Собівартість в Україні, грн/уп.</t>
  </si>
  <si>
    <t>Крок 1 × крок 2</t>
  </si>
  <si>
    <t>Повна ціна партнеру, %</t>
  </si>
  <si>
    <t>База для всіх відсотків</t>
  </si>
  <si>
    <t>Бонус мережі, %</t>
  </si>
  <si>
    <t>Умова в D4</t>
  </si>
  <si>
    <t>Частка ціни після бонусу, %</t>
  </si>
  <si>
    <t>Крок 4 − крок 5</t>
  </si>
  <si>
    <t>Наша цільова маржа, %</t>
  </si>
  <si>
    <t>Умова в D5</t>
  </si>
  <si>
    <t>Частка ціни для собівартості, %</t>
  </si>
  <si>
    <t>Крок 6 − крок 7</t>
  </si>
  <si>
    <t>Ціна партнеру з ПДВ, грн/уп.</t>
  </si>
  <si>
    <t>Крок 3 ÷ крок 8</t>
  </si>
  <si>
    <t>Валовий прибуток до бонусу, грн/уп.</t>
  </si>
  <si>
    <t>Крок 9 − крок 3</t>
  </si>
  <si>
    <t>Бонус мережі, грн/уп.</t>
  </si>
  <si>
    <t>Крок 9 × крок 5</t>
  </si>
  <si>
    <t>Нам залишається після собівартості та бонусу, грн/уп.</t>
  </si>
  <si>
    <t>Крок 10 − крок 11</t>
  </si>
  <si>
    <t>Перевірка нашої маржі після бонусу, %</t>
  </si>
  <si>
    <t>Крок 12 ÷ крок 9</t>
  </si>
  <si>
    <t>Націнка ритейлера для полиці, %</t>
  </si>
  <si>
    <t>Множник D6 − 1</t>
  </si>
  <si>
    <t>Множник ритейлера</t>
  </si>
  <si>
    <t>1 + крок 14</t>
  </si>
  <si>
    <t>Ціна на полиці з ПДВ, грн/уп.</t>
  </si>
  <si>
    <t>Крок 9 × крок 15</t>
  </si>
  <si>
    <t>Ціна партнеру при нульовому нашому прибутку, грн/уп.</t>
  </si>
  <si>
    <t>Крок 3 ÷ крок 6</t>
  </si>
  <si>
    <t>Полиця при нульовому нашому прибутку, грн/уп.</t>
  </si>
  <si>
    <t>Крок 17 × крок 15</t>
  </si>
  <si>
    <t>Рамен. Ціна партнеру та полиця — 6 палет</t>
  </si>
  <si>
    <t>6 палет</t>
  </si>
  <si>
    <t>Готова СС із Self-Cost_Sias: AJ6:AJ11. Склад СС збережено.</t>
  </si>
  <si>
    <t>SIAS · от цены закупки до полки одной линией · 6 паллет</t>
  </si>
  <si>
    <t>ЗАПРОС ДЛЯ SIAS, €/пачку</t>
  </si>
  <si>
    <t>одна цена на 6 SKU</t>
  </si>
  <si>
    <t>Вариант</t>
  </si>
  <si>
    <t>Закупка SIAS
за пачку</t>
  </si>
  <si>
    <t>Себестоимость в Украине
товар + расходы в Украине</t>
  </si>
  <si>
    <t>Цена партнёру
СС ÷ (1 − бонус − маржа)</t>
  </si>
  <si>
    <t>Бонус сети
25 % цены партнёру</t>
  </si>
  <si>
    <t>Наша прибыль
30 % цены партнёру</t>
  </si>
  <si>
    <t>Наценка магазина
+40 % к цене партнёру</t>
  </si>
  <si>
    <t>ПОЛКА с НДС
цена партнёру × 1,40</t>
  </si>
  <si>
    <t>ДО · Vegetable, Spicy, Beef, Chicken
(4 SKU)</t>
  </si>
  <si>
    <t>ДО · Gouda Cheese, Carbonara Spicy
(2 SKU)</t>
  </si>
  <si>
    <t>ПОСЛЕ · запрос SIAS
(все 6 SKU)</t>
  </si>
  <si>
    <t>ИЗМЕНЕНИЕ: ПОСЛЕ − ДО (4 SKU)</t>
  </si>
  <si>
    <t>ИСХОДНЫЕ ДАННЫЕ — жёлтое можно менять, зелёное из вкладки «Финмодель 6 паллет»</t>
  </si>
  <si>
    <t>Полка, ₴</t>
  </si>
  <si>
    <t>Наша маржа</t>
  </si>
  <si>
    <t>Бонус сети</t>
  </si>
  <si>
    <t>Множитель полки</t>
  </si>
  <si>
    <t>Курс ₴/€</t>
  </si>
  <si>
    <t>Цель расчёта и условия модели</t>
  </si>
  <si>
    <t>Импортный ПДВ</t>
  </si>
  <si>
    <t>Финансирование</t>
  </si>
  <si>
    <t>Пошлина</t>
  </si>
  <si>
    <t>Перевозка партии, €</t>
  </si>
  <si>
    <t>Брокер, €</t>
  </si>
  <si>
    <t>Прочие, €</t>
  </si>
  <si>
    <t>Доля фрахта в таможне</t>
  </si>
  <si>
    <t>Паллет в партии</t>
  </si>
  <si>
    <t>Пачек на паллете</t>
  </si>
  <si>
    <t>Запрос SIAS, €/уп. (вниз до евроцента)</t>
  </si>
  <si>
    <t>Предельная закупка до округления, €/уп.</t>
  </si>
  <si>
    <t>Себестоимость в Украине при запросе, ₴/уп.</t>
  </si>
  <si>
    <t>SIAS · от цены закупки до полки одной линией · 33 паллеты (Full Truck)</t>
  </si>
  <si>
    <t>ИСХОДНЫЕ ДАННЫЕ — жёлтое можно менять, зелёное из вкладки «Финмодель 33 паллет»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</si>
</sst>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_-* #,##0.00&quot; ₴&quot;_-;\-* #,##0.00&quot; ₴&quot;_-;_-* \-??&quot; ₴&quot;_-;_-@_-"/>
    <numFmt numFmtId="165" formatCode="_-* #,##0.00\ [$₴-422]_-;\-* #,##0.00\ [$₴-422]_-;_-* \-??\ [$₴-422]_-;_-@_-"/>
    <numFmt numFmtId="166" formatCode="0.0000&quot; €&quot;"/>
    <numFmt numFmtId="167" formatCode="0.0"/>
    <numFmt numFmtId="168" formatCode="0.000000"/>
    <numFmt numFmtId="169" formatCode="0.0000"/>
    <numFmt numFmtId="170" formatCode="0.00&quot;×&quot;"/>
    <numFmt numFmtId="171" formatCode="#,##0.00&quot; ₴&quot;"/>
    <numFmt numFmtId="172" formatCode="&quot;€&quot;0.00"/>
    <numFmt numFmtId="173" formatCode="0.0%"/>
    <numFmt numFmtId="176" formatCode="&quot;МАРЖА &quot;0%"/>
    <numFmt numFmtId="178" formatCode="&quot;€&quot;0.0000"/>
    <numFmt numFmtId="181" formatCode="_(* #,##0.00_);_(* \(#,##0.00\);_(* \-??_);_(@_)"/>
    <numFmt numFmtId="182" formatCode="_(* #,##0_);_(* \(#,##0\);_(* \-_);_(@_)"/>
    <numFmt numFmtId="183" formatCode="_(\$* #,##0.00_);_(\$* \(#,##0.00\);_(\$* \-??_);_(@_)"/>
    <numFmt numFmtId="184" formatCode="_(\$* #,##0_);_(\$* \(#,##0\);_(\$* \-_);_(@_)"/>
    <numFmt numFmtId="185" formatCode="&quot;€&quot;0.000"/>
    <numFmt numFmtId="186" formatCode="\+#,##0.00&quot; ₴&quot;;\-#,##0.00&quot; ₴&quot;"/>
    <numFmt numFmtId="187" formatCode="\+&quot;€&quot;0.000;\-&quot;€&quot;0.000"/>
  </numFmts>
  <fonts count="38" x14ac:knownFonts="1">
    <font>
      <sz val="11"/>
      <color theme="1"/>
      <name val="Calibri"/>
    </font>
    <font>
      <sz val="10"/>
      <name val="Arial"/>
    </font>
    <font>
      <b/>
      <sz val="14"/>
      <color rgb="FF1F3864"/>
      <name val="Arial"/>
    </font>
    <font>
      <b/>
      <sz val="10"/>
      <name val="Arial"/>
    </font>
    <font>
      <b/>
      <sz val="10"/>
      <color rgb="FF1F4E79"/>
      <name val="Arial"/>
    </font>
    <font>
      <b/>
      <sz val="11"/>
      <color rgb="FF203864"/>
      <name val="Arial"/>
    </font>
    <font>
      <b/>
      <sz val="11"/>
      <color theme="1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b/>
      <sz val="8"/>
      <color rgb="FFFFFFFF"/>
      <name val="Arial"/>
    </font>
    <font>
      <sz val="11"/>
      <color rgb="FF222222"/>
      <name val="Arial"/>
    </font>
    <font>
      <sz val="11"/>
      <color theme="1"/>
      <name val="Calibri"/>
    </font>
    <font>
      <b/>
      <sz val="10"/>
      <color rgb="FF454545"/>
      <name val="Arial"/>
    </font>
    <font>
      <b/>
      <sz val="14"/>
      <color rgb="FF1F3864"/>
      <name val="Arial"/>
    </font>
    <font>
      <sz val="11"/>
      <color rgb="FF203864"/>
      <name val="Arial"/>
    </font>
    <font>
      <b/>
      <sz val="14"/>
      <color rgb="FF203864"/>
      <name val="Arial"/>
    </font>
    <font>
      <b/>
      <sz val="16"/>
      <color rgb="FF172B46"/>
      <name val="Arial"/>
    </font>
    <font>
      <b/>
      <sz val="11"/>
      <color rgb="FF223A5E"/>
      <name val="Arial"/>
    </font>
    <font>
      <b/>
      <sz val="20"/>
      <color rgb="FF172B46"/>
      <name val="Arial"/>
    </font>
    <font>
      <sz val="10"/>
      <color rgb="FF5E6D7E"/>
      <name val="Arial"/>
    </font>
    <font>
      <b/>
      <sz val="10"/>
      <color rgb="FFB53A3A"/>
      <name val="Arial"/>
    </font>
    <font>
      <b/>
      <sz val="9"/>
      <color rgb="FFFFFFFF"/>
      <name val="Arial"/>
    </font>
    <font>
      <b/>
      <sz val="10"/>
      <color rgb="FF172B46"/>
      <name val="Arial"/>
    </font>
    <font>
      <b/>
      <sz val="10"/>
      <color rgb="FF0000FF"/>
      <name val="Arial"/>
    </font>
    <font>
      <b/>
      <sz val="13"/>
      <color rgb="FF172B46"/>
      <name val="Arial"/>
    </font>
    <font>
      <sz val="10"/>
      <color rgb="FF008000"/>
      <name val="Arial"/>
    </font>
    <font>
      <sz val="13"/>
      <color rgb="FF172B46"/>
      <name val="Arial"/>
    </font>
    <font>
      <b/>
      <sz val="15"/>
      <color rgb="FF172B46"/>
      <name val="Arial"/>
    </font>
    <font>
      <b/>
      <sz val="10"/>
      <color rgb="FF223A5E"/>
      <name val="Arial"/>
    </font>
    <font>
      <b/>
      <sz val="11"/>
      <color rgb="FFB53A3A"/>
      <name val="Arial"/>
    </font>
    <font>
      <sz val="9"/>
      <color rgb="FF5E6D7E"/>
      <name val="Arial"/>
    </font>
    <font>
      <b/>
      <sz val="9"/>
      <color rgb="FF223A5E"/>
      <name val="Arial"/>
    </font>
    <font>
      <b/>
      <sz val="8"/>
      <color rgb="FF5E6D7E"/>
      <name val="Arial"/>
    </font>
    <font>
      <b/>
      <sz val="11"/>
      <color rgb="FF0000FF"/>
      <name val="Arial"/>
    </font>
    <font>
      <b/>
      <sz val="11"/>
      <color rgb="FF008000"/>
      <name val="Arial"/>
    </font>
    <font>
      <b/>
      <sz val="9"/>
      <color rgb="FF5E6D7E"/>
      <name val="Arial"/>
    </font>
    <font>
      <b/>
      <sz val="11"/>
      <color rgb="FF172B46"/>
      <name val="Arial"/>
    </font>
    <font>
      <sz val="11"/>
      <color rgb="FF172B46"/>
      <name val="Arial"/>
    </font>
  </fonts>
  <fills count="2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7EEF6"/>
      </patternFill>
    </fill>
    <fill>
      <patternFill patternType="solid">
        <fgColor rgb="FF44546A"/>
      </patternFill>
    </fill>
    <fill>
      <patternFill patternType="solid">
        <fgColor rgb="FF203864"/>
      </patternFill>
    </fill>
    <fill>
      <patternFill patternType="solid">
        <fgColor rgb="FF2F75B5"/>
      </patternFill>
    </fill>
    <fill>
      <patternFill patternType="solid">
        <fgColor rgb="FF3E657B"/>
      </patternFill>
    </fill>
    <fill>
      <patternFill patternType="solid">
        <fgColor rgb="FF777777"/>
      </patternFill>
    </fill>
    <fill>
      <patternFill patternType="solid">
        <fgColor rgb="FFD6E4F0"/>
      </patternFill>
    </fill>
    <fill>
      <patternFill patternType="solid">
        <fgColor rgb="FFF0F0F0"/>
      </patternFill>
    </fill>
    <fill>
      <patternFill patternType="solid">
        <fgColor rgb="FFE2F0D9"/>
      </patternFill>
    </fill>
    <fill>
      <patternFill patternType="solid">
        <fgColor rgb="FF203864"/>
      </patternFill>
    </fill>
    <fill>
      <patternFill patternType="solid">
        <fgColor rgb="FFD6E6F2"/>
      </patternFill>
    </fill>
    <fill>
      <patternFill patternType="solid">
        <fgColor rgb="FFE2F0D9"/>
      </patternFill>
    </fill>
    <fill>
      <patternFill patternType="solid">
        <fgColor rgb="FF2E75B6"/>
      </patternFill>
    </fill>
    <fill>
      <patternFill patternType="solid">
        <fgColor rgb="FFD6E6F2"/>
      </patternFill>
    </fill>
    <fill>
      <patternFill patternType="solid">
        <fgColor rgb="FFE2F0D9"/>
      </patternFill>
    </fill>
    <fill>
      <patternFill patternType="solid">
        <fgColor rgb="FF203864"/>
      </patternFill>
    </fill>
    <fill>
      <patternFill patternType="none"/>
    </fill>
    <fill>
      <patternFill patternType="solid">
        <fgColor rgb="FFE7EDF5"/>
      </patternFill>
    </fill>
    <fill>
      <patternFill patternType="solid">
        <fgColor rgb="FFFCE3A6"/>
      </patternFill>
    </fill>
    <fill>
      <patternFill patternType="solid">
        <fgColor rgb="FF3E5A85"/>
      </patternFill>
    </fill>
    <fill>
      <patternFill patternType="solid">
        <fgColor rgb="FFF2F5F9"/>
      </patternFill>
    </fill>
    <fill>
      <patternFill patternType="solid">
        <fgColor rgb="FFFFF4D2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rgb="FF1F3864"/>
      </bottom>
      <diagonal/>
    </border>
    <border>
      <left style="thin">
        <color rgb="FFB8C7D6"/>
      </left>
      <right style="thin">
        <color rgb="FFB8C7D6"/>
      </right>
      <top style="thin">
        <color rgb="FFB8C7D6"/>
      </top>
      <bottom style="thin">
        <color rgb="FFB8C7D6"/>
      </bottom>
      <diagonal/>
    </border>
    <border>
      <left style="thin">
        <color rgb="FF65798E"/>
      </left>
      <right style="thin">
        <color rgb="FF65798E"/>
      </right>
      <top style="thin">
        <color rgb="FF65798E"/>
      </top>
      <bottom style="thin">
        <color rgb="FF65798E"/>
      </bottom>
      <diagonal/>
    </border>
    <border>
      <left/>
      <right/>
      <top/>
      <bottom/>
      <diagonal/>
    </border>
    <border>
      <left/>
      <right/>
      <top style="thin">
        <color rgb="FF65798E"/>
      </top>
      <bottom style="thin">
        <color rgb="FF65798E"/>
      </bottom>
      <diagonal/>
    </border>
    <border>
      <left/>
      <right style="thin">
        <color rgb="FF65798E"/>
      </right>
      <top style="thin">
        <color rgb="FF65798E"/>
      </top>
      <bottom style="thin">
        <color rgb="FF65798E"/>
      </bottom>
      <diagonal/>
    </border>
    <border>
      <left/>
      <right style="thin">
        <color rgb="FFB8C7D6"/>
      </right>
      <top style="thin">
        <color rgb="FFB8C7D6"/>
      </top>
      <bottom style="thin">
        <color rgb="FFB8C7D6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D5DCE8"/>
      </left>
      <right style="thin">
        <color rgb="FFD5DCE8"/>
      </right>
      <top style="thin">
        <color rgb="FFD5DCE8"/>
      </top>
      <bottom style="thin">
        <color rgb="FFD5DCE8"/>
      </bottom>
      <diagonal/>
    </border>
    <border>
      <left/>
      <right/>
      <top/>
      <bottom style="medium">
        <color rgb="FF223A5E"/>
      </bottom>
      <diagonal/>
    </border>
    <border>
      <left style="thin">
        <color rgb="FFD5DCE8"/>
      </left>
      <right style="thin">
        <color rgb="FFD5DCE8"/>
      </right>
      <top style="thin">
        <color rgb="FFD5DCE8"/>
      </top>
      <bottom/>
      <diagonal/>
    </border>
  </borders>
  <cellStyleXfs count="7">
    <xf numFmtId="0" fontId="0" fillId="19" borderId="10"/>
    <xf numFmtId="181" fontId="1" fillId="19" borderId="10"/>
    <xf numFmtId="182" fontId="1" fillId="19" borderId="10"/>
    <xf numFmtId="183" fontId="1" fillId="19" borderId="10"/>
    <xf numFmtId="184" fontId="1" fillId="19" borderId="10"/>
    <xf numFmtId="0" fontId="11" fillId="19" borderId="10"/>
    <xf numFmtId="9" fontId="1" fillId="19" borderId="10"/>
  </cellStyleXfs>
  <cellXfs count="132">
    <xf numFmtId="0" fontId="0" fillId="0" borderId="0" xfId="0" applyFill="1" applyBorder="1"/>
    <xf numFmtId="0" fontId="8" fillId="5" borderId="1" xfId="5" applyFont="1" applyFill="1" applyBorder="1" applyAlignment="1">
      <alignment horizontal="center" vertical="center" wrapText="1"/>
    </xf>
    <xf numFmtId="0" fontId="7" fillId="8" borderId="1" xfId="5" applyFont="1" applyFill="1" applyBorder="1" applyAlignment="1">
      <alignment horizontal="center" vertical="center" wrapText="1"/>
    </xf>
    <xf numFmtId="0" fontId="7" fillId="6" borderId="1" xfId="5" applyFont="1" applyFill="1" applyBorder="1" applyAlignment="1">
      <alignment horizontal="center" vertical="center" wrapText="1"/>
    </xf>
    <xf numFmtId="0" fontId="7" fillId="5" borderId="1" xfId="5" applyFont="1" applyFill="1" applyBorder="1" applyAlignment="1">
      <alignment horizontal="center" vertical="center" wrapText="1"/>
    </xf>
    <xf numFmtId="0" fontId="7" fillId="7" borderId="1" xfId="5" applyFont="1" applyFill="1" applyBorder="1" applyAlignment="1">
      <alignment horizontal="center" vertical="center" wrapText="1"/>
    </xf>
    <xf numFmtId="0" fontId="9" fillId="4" borderId="1" xfId="5" applyFont="1" applyFill="1" applyBorder="1" applyAlignment="1">
      <alignment horizontal="center" vertical="center" wrapText="1"/>
    </xf>
    <xf numFmtId="0" fontId="1" fillId="0" borderId="1" xfId="5" applyFont="1" applyFill="1" applyBorder="1" applyAlignment="1">
      <alignment horizontal="center" vertical="center" wrapText="1"/>
    </xf>
    <xf numFmtId="164" fontId="10" fillId="3" borderId="1" xfId="5" applyNumberFormat="1" applyFont="1" applyFill="1" applyBorder="1" applyAlignment="1">
      <alignment horizontal="center" vertical="center"/>
    </xf>
    <xf numFmtId="164" fontId="5" fillId="9" borderId="1" xfId="5" applyNumberFormat="1" applyFont="1" applyFill="1" applyBorder="1" applyAlignment="1">
      <alignment horizontal="center" vertical="center"/>
    </xf>
    <xf numFmtId="164" fontId="10" fillId="0" borderId="1" xfId="5" applyNumberFormat="1" applyFont="1" applyFill="1" applyBorder="1" applyAlignment="1">
      <alignment horizontal="center" vertical="center"/>
    </xf>
    <xf numFmtId="164" fontId="5" fillId="0" borderId="1" xfId="5" applyNumberFormat="1" applyFont="1" applyFill="1" applyBorder="1" applyAlignment="1">
      <alignment horizontal="center" vertical="center"/>
    </xf>
    <xf numFmtId="10" fontId="5" fillId="0" borderId="1" xfId="5" applyNumberFormat="1" applyFont="1" applyFill="1" applyBorder="1" applyAlignment="1">
      <alignment horizontal="center" vertical="center"/>
    </xf>
    <xf numFmtId="165" fontId="5" fillId="9" borderId="1" xfId="5" applyNumberFormat="1" applyFont="1" applyFill="1" applyBorder="1" applyAlignment="1">
      <alignment horizontal="center" vertical="center"/>
    </xf>
    <xf numFmtId="165" fontId="10" fillId="10" borderId="1" xfId="5" applyNumberFormat="1" applyFont="1" applyFill="1" applyBorder="1" applyAlignment="1">
      <alignment horizontal="center" vertical="center"/>
    </xf>
    <xf numFmtId="165" fontId="10" fillId="3" borderId="1" xfId="5" applyNumberFormat="1" applyFont="1" applyFill="1" applyBorder="1" applyAlignment="1">
      <alignment horizontal="center" vertical="center"/>
    </xf>
    <xf numFmtId="165" fontId="5" fillId="11" borderId="1" xfId="5" applyNumberFormat="1" applyFont="1" applyFill="1" applyBorder="1" applyAlignment="1">
      <alignment horizontal="center" vertical="center"/>
    </xf>
    <xf numFmtId="2" fontId="4" fillId="2" borderId="3" xfId="5" applyNumberFormat="1" applyFont="1" applyFill="1" applyBorder="1" applyAlignment="1">
      <alignment horizontal="center" vertical="center" wrapText="1"/>
    </xf>
    <xf numFmtId="10" fontId="4" fillId="2" borderId="3" xfId="5" applyNumberFormat="1" applyFont="1" applyFill="1" applyBorder="1" applyAlignment="1">
      <alignment horizontal="center" vertical="center" wrapText="1"/>
    </xf>
    <xf numFmtId="49" fontId="5" fillId="2" borderId="3" xfId="5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2" fillId="0" borderId="0" xfId="5" applyFont="1" applyFill="1" applyBorder="1"/>
    <xf numFmtId="0" fontId="4" fillId="2" borderId="7" xfId="5" applyFont="1" applyFill="1" applyBorder="1" applyAlignment="1">
      <alignment horizontal="center" vertical="center" wrapText="1"/>
    </xf>
    <xf numFmtId="9" fontId="5" fillId="3" borderId="0" xfId="5" applyNumberFormat="1" applyFont="1" applyFill="1" applyBorder="1" applyAlignment="1">
      <alignment horizontal="center" vertical="center"/>
    </xf>
    <xf numFmtId="166" fontId="10" fillId="3" borderId="1" xfId="5" applyNumberFormat="1" applyFont="1" applyFill="1" applyBorder="1" applyAlignment="1">
      <alignment horizontal="center" vertical="center"/>
    </xf>
    <xf numFmtId="167" fontId="1" fillId="0" borderId="1" xfId="5" applyNumberFormat="1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vertical="center"/>
    </xf>
    <xf numFmtId="0" fontId="8" fillId="12" borderId="0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vertical="center"/>
    </xf>
    <xf numFmtId="168" fontId="14" fillId="0" borderId="8" xfId="0" applyNumberFormat="1" applyFont="1" applyFill="1" applyBorder="1" applyAlignment="1">
      <alignment vertical="center"/>
    </xf>
    <xf numFmtId="2" fontId="14" fillId="0" borderId="8" xfId="0" applyNumberFormat="1" applyFont="1" applyFill="1" applyBorder="1" applyAlignment="1">
      <alignment vertical="center"/>
    </xf>
    <xf numFmtId="169" fontId="14" fillId="0" borderId="8" xfId="0" applyNumberFormat="1" applyFont="1" applyFill="1" applyBorder="1" applyAlignment="1">
      <alignment vertical="center"/>
    </xf>
    <xf numFmtId="10" fontId="14" fillId="0" borderId="8" xfId="0" applyNumberFormat="1" applyFont="1" applyFill="1" applyBorder="1" applyAlignment="1">
      <alignment vertical="center"/>
    </xf>
    <xf numFmtId="0" fontId="5" fillId="13" borderId="8" xfId="0" applyFont="1" applyFill="1" applyBorder="1" applyAlignment="1">
      <alignment vertical="center"/>
    </xf>
    <xf numFmtId="169" fontId="5" fillId="13" borderId="8" xfId="0" applyNumberFormat="1" applyFont="1" applyFill="1" applyBorder="1" applyAlignment="1">
      <alignment vertical="center"/>
    </xf>
    <xf numFmtId="0" fontId="5" fillId="14" borderId="8" xfId="0" applyFont="1" applyFill="1" applyBorder="1" applyAlignment="1">
      <alignment vertical="center"/>
    </xf>
    <xf numFmtId="169" fontId="5" fillId="14" borderId="8" xfId="0" applyNumberFormat="1" applyFont="1" applyFill="1" applyBorder="1" applyAlignment="1">
      <alignment vertical="center"/>
    </xf>
    <xf numFmtId="10" fontId="5" fillId="14" borderId="8" xfId="0" applyNumberFormat="1" applyFont="1" applyFill="1" applyBorder="1" applyAlignment="1">
      <alignment vertical="center"/>
    </xf>
    <xf numFmtId="170" fontId="14" fillId="0" borderId="8" xfId="0" applyNumberFormat="1" applyFont="1" applyFill="1" applyBorder="1" applyAlignment="1">
      <alignment vertical="center"/>
    </xf>
    <xf numFmtId="0" fontId="8" fillId="15" borderId="9" xfId="0" applyFont="1" applyFill="1" applyBorder="1" applyAlignment="1">
      <alignment horizontal="center" vertical="center" wrapText="1"/>
    </xf>
    <xf numFmtId="171" fontId="5" fillId="16" borderId="9" xfId="0" applyNumberFormat="1" applyFont="1" applyFill="1" applyBorder="1" applyAlignment="1">
      <alignment vertical="center"/>
    </xf>
    <xf numFmtId="171" fontId="14" fillId="0" borderId="9" xfId="0" applyNumberFormat="1" applyFont="1" applyFill="1" applyBorder="1" applyAlignment="1">
      <alignment vertical="center"/>
    </xf>
    <xf numFmtId="171" fontId="5" fillId="17" borderId="9" xfId="0" applyNumberFormat="1" applyFont="1" applyFill="1" applyBorder="1" applyAlignment="1">
      <alignment vertical="center"/>
    </xf>
    <xf numFmtId="10" fontId="14" fillId="0" borderId="9" xfId="0" applyNumberFormat="1" applyFont="1" applyFill="1" applyBorder="1" applyAlignment="1">
      <alignment vertical="center"/>
    </xf>
    <xf numFmtId="0" fontId="8" fillId="18" borderId="9" xfId="0" applyFont="1" applyFill="1" applyBorder="1" applyAlignment="1">
      <alignment horizontal="center" vertical="center" wrapText="1"/>
    </xf>
    <xf numFmtId="0" fontId="32" fillId="0" borderId="0" xfId="0" applyFont="1" applyFill="1" applyBorder="1" applyAlignment="1">
      <alignment horizontal="center" vertical="center" wrapText="1"/>
    </xf>
    <xf numFmtId="0" fontId="35" fillId="0" borderId="0" xfId="0" applyFont="1" applyFill="1" applyBorder="1" applyAlignment="1">
      <alignment horizontal="left" vertical="center" wrapText="1"/>
    </xf>
    <xf numFmtId="171" fontId="33" fillId="24" borderId="17" xfId="0" applyNumberFormat="1" applyFont="1" applyFill="1" applyBorder="1" applyAlignment="1">
      <alignment horizontal="center" vertical="center" wrapText="1"/>
    </xf>
    <xf numFmtId="173" fontId="33" fillId="24" borderId="17" xfId="0" applyNumberFormat="1" applyFont="1" applyFill="1" applyBorder="1" applyAlignment="1">
      <alignment horizontal="center" vertical="center" wrapText="1"/>
    </xf>
    <xf numFmtId="173" fontId="34" fillId="23" borderId="17" xfId="0" applyNumberFormat="1" applyFont="1" applyFill="1" applyBorder="1" applyAlignment="1">
      <alignment horizontal="center" vertical="center" wrapText="1"/>
    </xf>
    <xf numFmtId="170" fontId="34" fillId="23" borderId="17" xfId="0" applyNumberFormat="1" applyFont="1" applyFill="1" applyBorder="1" applyAlignment="1">
      <alignment horizontal="center" vertical="center" wrapText="1"/>
    </xf>
    <xf numFmtId="2" fontId="34" fillId="23" borderId="17" xfId="0" applyNumberFormat="1" applyFont="1" applyFill="1" applyBorder="1" applyAlignment="1">
      <alignment horizontal="center" vertical="center" wrapText="1"/>
    </xf>
    <xf numFmtId="3" fontId="33" fillId="24" borderId="17" xfId="0" applyNumberFormat="1" applyFont="1" applyFill="1" applyBorder="1" applyAlignment="1">
      <alignment horizontal="center" vertical="center" wrapText="1"/>
    </xf>
    <xf numFmtId="2" fontId="33" fillId="24" borderId="17" xfId="0" applyNumberFormat="1" applyFont="1" applyFill="1" applyBorder="1" applyAlignment="1">
      <alignment horizontal="center" vertical="center" wrapText="1"/>
    </xf>
    <xf numFmtId="0" fontId="30" fillId="0" borderId="0" xfId="0" applyFont="1" applyFill="1" applyBorder="1" applyAlignment="1">
      <alignment horizontal="left" vertical="center" wrapText="1"/>
    </xf>
    <xf numFmtId="172" fontId="36" fillId="21" borderId="17" xfId="0" applyNumberFormat="1" applyFont="1" applyFill="1" applyBorder="1" applyAlignment="1">
      <alignment horizontal="center" vertical="center" wrapText="1"/>
    </xf>
    <xf numFmtId="178" fontId="37" fillId="0" borderId="17" xfId="0" applyNumberFormat="1" applyFont="1" applyFill="1" applyBorder="1" applyAlignment="1">
      <alignment horizontal="center" vertical="center" wrapText="1"/>
    </xf>
    <xf numFmtId="171" fontId="37" fillId="0" borderId="17" xfId="0" applyNumberFormat="1" applyFont="1" applyFill="1" applyBorder="1" applyAlignment="1">
      <alignment horizontal="center" vertical="center" wrapText="1"/>
    </xf>
    <xf numFmtId="176" fontId="8" fillId="18" borderId="9" xfId="0" applyNumberFormat="1" applyFont="1" applyFill="1" applyBorder="1" applyAlignment="1">
      <alignment horizontal="center" vertical="center" wrapText="1"/>
    </xf>
    <xf numFmtId="0" fontId="0" fillId="0" borderId="11" xfId="0" applyFill="1" applyBorder="1"/>
    <xf numFmtId="0" fontId="0" fillId="0" borderId="12" xfId="0" applyFill="1" applyBorder="1"/>
    <xf numFmtId="176" fontId="8" fillId="15" borderId="9" xfId="0" applyNumberFormat="1" applyFont="1" applyFill="1" applyBorder="1" applyAlignment="1">
      <alignment horizontal="center" vertical="center" wrapText="1"/>
    </xf>
    <xf numFmtId="0" fontId="3" fillId="0" borderId="1" xfId="5" applyFont="1" applyFill="1" applyBorder="1" applyAlignment="1">
      <alignment horizontal="left" vertical="center" wrapText="1"/>
    </xf>
    <xf numFmtId="0" fontId="0" fillId="0" borderId="5" xfId="0" applyFill="1" applyBorder="1"/>
    <xf numFmtId="0" fontId="14" fillId="0" borderId="8" xfId="0" applyFont="1" applyFill="1" applyBorder="1" applyAlignment="1">
      <alignment vertical="center"/>
    </xf>
    <xf numFmtId="0" fontId="0" fillId="0" borderId="13" xfId="0" applyFill="1" applyBorder="1"/>
    <xf numFmtId="0" fontId="5" fillId="14" borderId="8" xfId="0" applyFont="1" applyFill="1" applyBorder="1" applyAlignment="1">
      <alignment vertical="center" wrapText="1"/>
    </xf>
    <xf numFmtId="0" fontId="14" fillId="0" borderId="8" xfId="0" applyFont="1" applyFill="1" applyBorder="1" applyAlignment="1">
      <alignment vertical="center" wrapText="1"/>
    </xf>
    <xf numFmtId="0" fontId="12" fillId="0" borderId="1" xfId="5" applyFont="1" applyFill="1" applyBorder="1" applyAlignment="1">
      <alignment horizontal="left" vertical="center" wrapText="1"/>
    </xf>
    <xf numFmtId="0" fontId="0" fillId="0" borderId="4" xfId="0" applyFill="1" applyBorder="1"/>
    <xf numFmtId="0" fontId="8" fillId="12" borderId="10" xfId="0" applyFont="1" applyFill="1" applyAlignment="1">
      <alignment horizontal="center" vertical="center" wrapText="1"/>
    </xf>
    <xf numFmtId="0" fontId="0" fillId="0" borderId="0" xfId="0" applyFill="1" applyBorder="1"/>
    <xf numFmtId="0" fontId="3" fillId="0" borderId="6" xfId="5" applyFont="1" applyFill="1" applyBorder="1" applyAlignment="1">
      <alignment horizontal="left" vertical="center" wrapText="1"/>
    </xf>
    <xf numFmtId="0" fontId="0" fillId="0" borderId="15" xfId="0" applyFill="1" applyBorder="1"/>
    <xf numFmtId="0" fontId="7" fillId="4" borderId="1" xfId="5" applyFont="1" applyFill="1" applyBorder="1" applyAlignment="1">
      <alignment horizontal="center" vertical="center" wrapText="1"/>
    </xf>
    <xf numFmtId="0" fontId="7" fillId="6" borderId="1" xfId="5" applyFont="1" applyFill="1" applyBorder="1" applyAlignment="1">
      <alignment horizontal="center" vertical="center" wrapText="1"/>
    </xf>
    <xf numFmtId="0" fontId="6" fillId="0" borderId="2" xfId="5" applyFont="1" applyFill="1" applyBorder="1" applyAlignment="1">
      <alignment vertical="center"/>
    </xf>
    <xf numFmtId="0" fontId="0" fillId="0" borderId="14" xfId="0" applyFill="1" applyBorder="1"/>
    <xf numFmtId="0" fontId="7" fillId="5" borderId="1" xfId="5" applyFont="1" applyFill="1" applyBorder="1" applyAlignment="1">
      <alignment horizontal="center" vertical="center" wrapText="1"/>
    </xf>
    <xf numFmtId="0" fontId="12" fillId="0" borderId="1" xfId="5" applyFont="1" applyFill="1" applyBorder="1" applyAlignment="1">
      <alignment horizontal="left" vertical="center"/>
    </xf>
    <xf numFmtId="0" fontId="5" fillId="13" borderId="8" xfId="0" applyFont="1" applyFill="1" applyBorder="1" applyAlignment="1">
      <alignment vertical="center"/>
    </xf>
    <xf numFmtId="0" fontId="5" fillId="14" borderId="8" xfId="0" applyFont="1" applyFill="1" applyBorder="1" applyAlignment="1">
      <alignment vertical="center"/>
    </xf>
    <xf numFmtId="0" fontId="5" fillId="13" borderId="8" xfId="0" applyFont="1" applyFill="1" applyBorder="1" applyAlignment="1">
      <alignment vertical="center" wrapText="1"/>
    </xf>
    <xf numFmtId="0" fontId="7" fillId="8" borderId="1" xfId="5" applyFont="1" applyFill="1" applyBorder="1" applyAlignment="1">
      <alignment horizontal="center" vertical="center" wrapText="1"/>
    </xf>
    <xf numFmtId="0" fontId="8" fillId="5" borderId="1" xfId="5" applyFont="1" applyFill="1" applyBorder="1" applyAlignment="1">
      <alignment horizontal="center" vertical="center" wrapText="1"/>
    </xf>
    <xf numFmtId="0" fontId="13" fillId="0" borderId="1" xfId="5" applyFont="1" applyFill="1" applyBorder="1" applyAlignment="1">
      <alignment horizontal="center"/>
    </xf>
    <xf numFmtId="0" fontId="12" fillId="0" borderId="6" xfId="5" applyFont="1" applyFill="1" applyBorder="1" applyAlignment="1">
      <alignment horizontal="left" vertical="center" wrapText="1"/>
    </xf>
    <xf numFmtId="0" fontId="0" fillId="0" borderId="16" xfId="0" applyFill="1" applyBorder="1"/>
    <xf numFmtId="0" fontId="15" fillId="0" borderId="10" xfId="0" applyFont="1" applyFill="1" applyAlignment="1">
      <alignment vertical="center"/>
    </xf>
    <xf numFmtId="0" fontId="16" fillId="0" borderId="0" xfId="0" applyFont="1" applyFill="1" applyBorder="1" applyAlignment="1">
      <alignment horizontal="left" vertical="center" wrapText="1"/>
    </xf>
    <xf numFmtId="0" fontId="31" fillId="0" borderId="18" xfId="0" applyFont="1" applyFill="1" applyBorder="1" applyAlignment="1">
      <alignment horizontal="left" vertical="center" wrapText="1"/>
    </xf>
    <xf numFmtId="0" fontId="0" fillId="0" borderId="18" xfId="0" applyFill="1" applyBorder="1"/>
    <xf numFmtId="0" fontId="17" fillId="20" borderId="19" xfId="0" applyFont="1" applyFill="1" applyBorder="1" applyAlignment="1">
      <alignment horizontal="left" vertical="center" wrapText="1"/>
    </xf>
    <xf numFmtId="172" fontId="18" fillId="21" borderId="19" xfId="0" applyNumberFormat="1" applyFont="1" applyFill="1" applyBorder="1" applyAlignment="1">
      <alignment horizontal="center" vertical="center" wrapText="1"/>
    </xf>
    <xf numFmtId="0" fontId="0" fillId="21" borderId="19" xfId="0" applyFill="1" applyBorder="1"/>
    <xf numFmtId="0" fontId="19" fillId="20" borderId="19" xfId="0" applyFont="1" applyFill="1" applyBorder="1" applyAlignment="1">
      <alignment horizontal="center" vertical="center" wrapText="1"/>
    </xf>
    <xf numFmtId="0" fontId="0" fillId="20" borderId="19" xfId="0" applyFill="1" applyBorder="1"/>
    <xf numFmtId="0" fontId="20" fillId="20" borderId="19" xfId="0" applyFont="1" applyFill="1" applyBorder="1" applyAlignment="1">
      <alignment horizontal="center" vertical="center" wrapText="1"/>
    </xf>
    <xf numFmtId="0" fontId="19" fillId="20" borderId="19" xfId="0" applyFont="1" applyFill="1" applyBorder="1" applyAlignment="1">
      <alignment horizontal="center" vertical="center" wrapText="1"/>
    </xf>
    <xf numFmtId="0" fontId="21" fillId="22" borderId="1" xfId="0" applyFont="1" applyFill="1" applyBorder="1" applyAlignment="1">
      <alignment horizontal="center" vertical="center" wrapText="1"/>
    </xf>
    <xf numFmtId="0" fontId="22" fillId="23" borderId="1" xfId="0" applyFont="1" applyFill="1" applyBorder="1" applyAlignment="1">
      <alignment horizontal="left" vertical="center" wrapText="1"/>
    </xf>
    <xf numFmtId="171" fontId="24" fillId="23" borderId="1" xfId="0" applyNumberFormat="1" applyFont="1" applyFill="1" applyBorder="1" applyAlignment="1">
      <alignment horizontal="center" vertical="center" wrapText="1"/>
    </xf>
    <xf numFmtId="171" fontId="26" fillId="23" borderId="1" xfId="0" applyNumberFormat="1" applyFont="1" applyFill="1" applyBorder="1" applyAlignment="1">
      <alignment horizontal="center" vertical="center" wrapText="1"/>
    </xf>
    <xf numFmtId="171" fontId="27" fillId="23" borderId="1" xfId="0" applyNumberFormat="1" applyFont="1" applyFill="1" applyBorder="1" applyAlignment="1">
      <alignment horizontal="center" vertical="center" wrapText="1"/>
    </xf>
    <xf numFmtId="0" fontId="0" fillId="23" borderId="1" xfId="0" applyFill="1" applyBorder="1"/>
    <xf numFmtId="185" fontId="23" fillId="24" borderId="1" xfId="0" applyNumberFormat="1" applyFont="1" applyFill="1" applyBorder="1" applyAlignment="1">
      <alignment horizontal="center" vertical="center" wrapText="1"/>
    </xf>
    <xf numFmtId="185" fontId="25" fillId="23" borderId="1" xfId="0" applyNumberFormat="1" applyFont="1" applyFill="1" applyBorder="1" applyAlignment="1">
      <alignment horizontal="center" vertical="center" wrapText="1"/>
    </xf>
    <xf numFmtId="185" fontId="19" fillId="23" borderId="1" xfId="0" applyNumberFormat="1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left" vertical="center" wrapText="1"/>
    </xf>
    <xf numFmtId="171" fontId="24" fillId="0" borderId="1" xfId="0" applyNumberFormat="1" applyFont="1" applyFill="1" applyBorder="1" applyAlignment="1">
      <alignment horizontal="center" vertical="center" wrapText="1"/>
    </xf>
    <xf numFmtId="171" fontId="26" fillId="0" borderId="1" xfId="0" applyNumberFormat="1" applyFont="1" applyFill="1" applyBorder="1" applyAlignment="1">
      <alignment horizontal="center" vertical="center" wrapText="1"/>
    </xf>
    <xf numFmtId="171" fontId="27" fillId="2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/>
    <xf numFmtId="185" fontId="19" fillId="0" borderId="1" xfId="0" applyNumberFormat="1" applyFont="1" applyFill="1" applyBorder="1" applyAlignment="1">
      <alignment horizontal="center" vertical="center" wrapText="1"/>
    </xf>
    <xf numFmtId="0" fontId="28" fillId="21" borderId="1" xfId="0" applyFont="1" applyFill="1" applyBorder="1" applyAlignment="1">
      <alignment horizontal="left" vertical="center" wrapText="1"/>
    </xf>
    <xf numFmtId="171" fontId="24" fillId="21" borderId="1" xfId="0" applyNumberFormat="1" applyFont="1" applyFill="1" applyBorder="1" applyAlignment="1">
      <alignment horizontal="center" vertical="center" wrapText="1"/>
    </xf>
    <xf numFmtId="171" fontId="26" fillId="21" borderId="1" xfId="0" applyNumberFormat="1" applyFont="1" applyFill="1" applyBorder="1" applyAlignment="1">
      <alignment horizontal="center" vertical="center" wrapText="1"/>
    </xf>
    <xf numFmtId="171" fontId="27" fillId="21" borderId="1" xfId="0" applyNumberFormat="1" applyFont="1" applyFill="1" applyBorder="1" applyAlignment="1">
      <alignment horizontal="center" vertical="center" wrapText="1"/>
    </xf>
    <xf numFmtId="0" fontId="0" fillId="21" borderId="1" xfId="0" applyFill="1" applyBorder="1"/>
    <xf numFmtId="185" fontId="22" fillId="21" borderId="1" xfId="0" applyNumberFormat="1" applyFont="1" applyFill="1" applyBorder="1" applyAlignment="1">
      <alignment horizontal="center" vertical="center" wrapText="1"/>
    </xf>
    <xf numFmtId="185" fontId="19" fillId="21" borderId="1" xfId="0" applyNumberFormat="1" applyFont="1" applyFill="1" applyBorder="1" applyAlignment="1">
      <alignment horizontal="center" vertical="center" wrapText="1"/>
    </xf>
    <xf numFmtId="0" fontId="28" fillId="20" borderId="1" xfId="0" applyFont="1" applyFill="1" applyBorder="1" applyAlignment="1">
      <alignment horizontal="left" vertical="center" wrapText="1"/>
    </xf>
    <xf numFmtId="186" fontId="29" fillId="20" borderId="1" xfId="0" applyNumberFormat="1" applyFont="1" applyFill="1" applyBorder="1" applyAlignment="1">
      <alignment horizontal="center" vertical="center" wrapText="1"/>
    </xf>
    <xf numFmtId="0" fontId="0" fillId="20" borderId="1" xfId="0" applyFill="1" applyBorder="1"/>
    <xf numFmtId="187" fontId="30" fillId="20" borderId="1" xfId="0" applyNumberFormat="1" applyFont="1" applyFill="1" applyBorder="1" applyAlignment="1">
      <alignment horizontal="center" vertical="center" wrapText="1"/>
    </xf>
    <xf numFmtId="0" fontId="17" fillId="20" borderId="1" xfId="0" applyFont="1" applyFill="1" applyBorder="1" applyAlignment="1">
      <alignment horizontal="left" vertical="center" wrapText="1"/>
    </xf>
    <xf numFmtId="172" fontId="18" fillId="21" borderId="1" xfId="0" applyNumberFormat="1" applyFont="1" applyFill="1" applyBorder="1" applyAlignment="1">
      <alignment horizontal="center" vertical="center" wrapText="1"/>
    </xf>
    <xf numFmtId="0" fontId="19" fillId="20" borderId="1" xfId="0" applyFont="1" applyFill="1" applyBorder="1" applyAlignment="1">
      <alignment horizontal="center" vertical="center" wrapText="1"/>
    </xf>
    <xf numFmtId="0" fontId="20" fillId="20" borderId="1" xfId="0" applyFont="1" applyFill="1" applyBorder="1" applyAlignment="1">
      <alignment horizontal="center" vertical="center" wrapText="1"/>
    </xf>
    <xf numFmtId="0" fontId="19" fillId="20" borderId="1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</cellXfs>
  <cellStyles count="7"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Normal" xfId="5" xr:uid="{00000000-0005-0000-0000-000005000000}"/>
    <cellStyle name="Percent" xfId="6" xr:uid="{00000000-0005-0000-0000-000006000000}"/>
    <cellStyle name="Звичайний" xfId="0" builtinId="0"/>
  </cellStyles>
  <dxfs count="2"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44546A"/>
      <rgbColor rgb="FFC0C0C0"/>
      <rgbColor rgb="FF777777"/>
      <rgbColor rgb="FF9999FF"/>
      <rgbColor rgb="FF993366"/>
      <rgbColor rgb="FFFFF2CC"/>
      <rgbColor rgb="FFE7EEF6"/>
      <rgbColor rgb="FF660066"/>
      <rgbColor rgb="FFFF8080"/>
      <rgbColor rgb="FF1F4E79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E2F0D9"/>
      <rgbColor rgb="FFFFFF99"/>
      <rgbColor rgb="FF99CCFF"/>
      <rgbColor rgb="FFFF99CC"/>
      <rgbColor rgb="FFCC99FF"/>
      <rgbColor rgb="FFFCE4D6"/>
      <rgbColor rgb="FF2F75B5"/>
      <rgbColor rgb="FF33CCCC"/>
      <rgbColor rgb="FF99CC00"/>
      <rgbColor rgb="FFFFCC00"/>
      <rgbColor rgb="FFFF9900"/>
      <rgbColor rgb="FFC55A11"/>
      <rgbColor rgb="FF3E657B"/>
      <rgbColor rgb="FF969696"/>
      <rgbColor rgb="FF1F3864"/>
      <rgbColor rgb="FF339966"/>
      <rgbColor rgb="FF003300"/>
      <rgbColor rgb="FF454545"/>
      <rgbColor rgb="FF993300"/>
      <rgbColor rgb="FF993366"/>
      <rgbColor rgb="FF203864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9"/>
  <sheetViews>
    <sheetView showGridLines="0" zoomScale="60" workbookViewId="0">
      <pane xSplit="4" ySplit="10" topLeftCell="E11" activePane="bottomRight" state="frozen"/>
      <selection activeCell="P4" sqref="P3:P4"/>
      <selection pane="topRight" activeCell="P4" sqref="P3:P4"/>
      <selection pane="bottomLeft" activeCell="P4" sqref="P3:P4"/>
      <selection pane="bottomRight" activeCell="N7" sqref="N7"/>
    </sheetView>
  </sheetViews>
  <sheetFormatPr defaultColWidth="8.6640625" defaultRowHeight="14.4" x14ac:dyDescent="0.3"/>
  <cols>
    <col min="1" max="1" width="4" customWidth="1"/>
    <col min="2" max="2" width="33" customWidth="1"/>
    <col min="3" max="3" width="49" customWidth="1"/>
    <col min="4" max="4" width="19" customWidth="1"/>
    <col min="5" max="5" width="14" customWidth="1"/>
    <col min="6" max="6" width="16" customWidth="1"/>
    <col min="7" max="7" width="19" customWidth="1"/>
    <col min="8" max="8" width="17" customWidth="1"/>
    <col min="9" max="9" width="28" customWidth="1"/>
    <col min="10" max="10" width="17" customWidth="1"/>
    <col min="11" max="12" width="19" customWidth="1"/>
    <col min="13" max="13" width="18" customWidth="1"/>
    <col min="14" max="15" width="31" customWidth="1"/>
    <col min="16" max="35" width="19" customWidth="1"/>
  </cols>
  <sheetData>
    <row r="1" spans="1:35" ht="17.25" customHeight="1" x14ac:dyDescent="0.3">
      <c r="A1" s="21"/>
      <c r="B1" s="85" t="s">
        <v>88</v>
      </c>
      <c r="C1" s="69"/>
      <c r="D1" s="69"/>
      <c r="E1" s="69"/>
      <c r="F1" s="69"/>
      <c r="G1" s="69"/>
      <c r="H1" s="69"/>
      <c r="I1" s="69"/>
      <c r="J1" s="69"/>
      <c r="K1" s="63"/>
    </row>
    <row r="2" spans="1:35" ht="37.5" customHeight="1" x14ac:dyDescent="0.3">
      <c r="B2" s="72" t="s">
        <v>1</v>
      </c>
      <c r="C2" s="73"/>
      <c r="D2" s="22" t="s">
        <v>89</v>
      </c>
      <c r="E2" s="86" t="s">
        <v>90</v>
      </c>
      <c r="F2" s="87"/>
      <c r="G2" s="87"/>
      <c r="H2" s="87"/>
      <c r="I2" s="87"/>
      <c r="J2" s="87"/>
      <c r="K2" s="73"/>
    </row>
    <row r="3" spans="1:35" ht="37.5" customHeight="1" x14ac:dyDescent="0.3">
      <c r="B3" s="62" t="s">
        <v>4</v>
      </c>
      <c r="C3" s="63"/>
      <c r="D3" s="17">
        <v>51.2</v>
      </c>
      <c r="E3" s="68" t="s">
        <v>5</v>
      </c>
      <c r="F3" s="69"/>
      <c r="G3" s="69"/>
      <c r="H3" s="69"/>
      <c r="I3" s="69"/>
      <c r="J3" s="69"/>
      <c r="K3" s="63"/>
    </row>
    <row r="4" spans="1:35" ht="37.5" customHeight="1" x14ac:dyDescent="0.3">
      <c r="B4" s="62" t="s">
        <v>6</v>
      </c>
      <c r="C4" s="63"/>
      <c r="D4" s="18">
        <v>0.25</v>
      </c>
      <c r="E4" s="68" t="s">
        <v>7</v>
      </c>
      <c r="F4" s="69"/>
      <c r="G4" s="69"/>
      <c r="H4" s="69"/>
      <c r="I4" s="69"/>
      <c r="J4" s="69"/>
      <c r="K4" s="63"/>
    </row>
    <row r="5" spans="1:35" ht="61.5" customHeight="1" x14ac:dyDescent="0.3">
      <c r="B5" s="62" t="s">
        <v>8</v>
      </c>
      <c r="C5" s="63"/>
      <c r="D5" s="18">
        <v>0.35</v>
      </c>
      <c r="E5" s="68" t="s">
        <v>9</v>
      </c>
      <c r="F5" s="69"/>
      <c r="G5" s="69"/>
      <c r="H5" s="69"/>
      <c r="I5" s="69"/>
      <c r="J5" s="69"/>
      <c r="K5" s="63"/>
    </row>
    <row r="6" spans="1:35" ht="27.75" customHeight="1" x14ac:dyDescent="0.3">
      <c r="B6" s="62" t="s">
        <v>10</v>
      </c>
      <c r="C6" s="63"/>
      <c r="D6" s="17">
        <v>1.4</v>
      </c>
      <c r="E6" s="68" t="s">
        <v>11</v>
      </c>
      <c r="F6" s="69"/>
      <c r="G6" s="69"/>
      <c r="H6" s="69"/>
      <c r="I6" s="69"/>
      <c r="J6" s="69"/>
      <c r="K6" s="63"/>
    </row>
    <row r="7" spans="1:35" ht="27.75" customHeight="1" x14ac:dyDescent="0.3">
      <c r="B7" s="62" t="s">
        <v>12</v>
      </c>
      <c r="C7" s="63"/>
      <c r="D7" s="19" t="s">
        <v>13</v>
      </c>
      <c r="E7" s="68" t="s">
        <v>14</v>
      </c>
      <c r="F7" s="69"/>
      <c r="G7" s="69"/>
      <c r="H7" s="69"/>
      <c r="I7" s="69"/>
      <c r="J7" s="69"/>
      <c r="K7" s="63"/>
    </row>
    <row r="8" spans="1:35" s="20" customFormat="1" ht="30" customHeight="1" x14ac:dyDescent="0.3">
      <c r="B8" s="76" t="s">
        <v>15</v>
      </c>
      <c r="C8" s="77"/>
      <c r="D8" s="23">
        <f>IF(AND(COUNT(D3:D6)=4,D3&gt;0,D4&gt;=0,D5&gt;=0,D4+D5&lt;1,D6&gt;0),1-D4-D5,NA())</f>
        <v>0.4</v>
      </c>
      <c r="E8" s="79" t="s">
        <v>16</v>
      </c>
      <c r="F8" s="69"/>
      <c r="G8" s="69"/>
      <c r="H8" s="69"/>
      <c r="I8" s="69"/>
      <c r="J8" s="69"/>
      <c r="K8" s="63"/>
      <c r="L8"/>
      <c r="M8"/>
      <c r="N8"/>
    </row>
    <row r="9" spans="1:35" ht="27" customHeight="1" x14ac:dyDescent="0.3">
      <c r="A9" s="74" t="s">
        <v>17</v>
      </c>
      <c r="B9" s="69"/>
      <c r="C9" s="69"/>
      <c r="D9" s="63"/>
      <c r="E9" s="78" t="s">
        <v>18</v>
      </c>
      <c r="F9" s="63"/>
      <c r="G9" s="75" t="s">
        <v>19</v>
      </c>
      <c r="H9" s="69"/>
      <c r="I9" s="69"/>
      <c r="J9" s="63"/>
      <c r="K9" s="5" t="s">
        <v>20</v>
      </c>
      <c r="L9" s="83" t="s">
        <v>21</v>
      </c>
      <c r="M9" s="63"/>
      <c r="N9" s="84" t="s">
        <v>22</v>
      </c>
      <c r="O9" s="63"/>
      <c r="P9" s="61">
        <v>0.3</v>
      </c>
      <c r="Q9" s="59"/>
      <c r="R9" s="59"/>
      <c r="S9" s="59"/>
      <c r="T9" s="60"/>
      <c r="U9" s="58">
        <v>0.25</v>
      </c>
      <c r="V9" s="59"/>
      <c r="W9" s="59"/>
      <c r="X9" s="59"/>
      <c r="Y9" s="60"/>
      <c r="Z9" s="61">
        <v>0.2</v>
      </c>
      <c r="AA9" s="59"/>
      <c r="AB9" s="59"/>
      <c r="AC9" s="59"/>
      <c r="AD9" s="60"/>
      <c r="AE9" s="58">
        <v>0.15</v>
      </c>
      <c r="AF9" s="59"/>
      <c r="AG9" s="59"/>
      <c r="AH9" s="59"/>
      <c r="AI9" s="60"/>
    </row>
    <row r="10" spans="1:35" ht="41.4" customHeight="1" x14ac:dyDescent="0.3">
      <c r="A10" s="6" t="s">
        <v>23</v>
      </c>
      <c r="B10" s="6" t="s">
        <v>24</v>
      </c>
      <c r="C10" s="6" t="s">
        <v>25</v>
      </c>
      <c r="D10" s="6" t="s">
        <v>26</v>
      </c>
      <c r="E10" s="4" t="s">
        <v>27</v>
      </c>
      <c r="F10" s="4" t="s">
        <v>28</v>
      </c>
      <c r="G10" s="3" t="s">
        <v>29</v>
      </c>
      <c r="H10" s="3" t="s">
        <v>30</v>
      </c>
      <c r="I10" s="3" t="s">
        <v>31</v>
      </c>
      <c r="J10" s="3" t="s">
        <v>32</v>
      </c>
      <c r="K10" s="5" t="s">
        <v>33</v>
      </c>
      <c r="L10" s="2" t="s">
        <v>34</v>
      </c>
      <c r="M10" s="2" t="s">
        <v>35</v>
      </c>
      <c r="N10" s="1" t="s">
        <v>36</v>
      </c>
      <c r="O10" s="1" t="s">
        <v>37</v>
      </c>
      <c r="P10" s="39" t="s">
        <v>38</v>
      </c>
      <c r="Q10" s="39" t="s">
        <v>39</v>
      </c>
      <c r="R10" s="39" t="s">
        <v>40</v>
      </c>
      <c r="S10" s="39" t="s">
        <v>41</v>
      </c>
      <c r="T10" s="39" t="s">
        <v>42</v>
      </c>
      <c r="U10" s="44" t="s">
        <v>38</v>
      </c>
      <c r="V10" s="44" t="s">
        <v>39</v>
      </c>
      <c r="W10" s="44" t="s">
        <v>40</v>
      </c>
      <c r="X10" s="44" t="s">
        <v>41</v>
      </c>
      <c r="Y10" s="44" t="s">
        <v>42</v>
      </c>
      <c r="Z10" s="39" t="s">
        <v>38</v>
      </c>
      <c r="AA10" s="39" t="s">
        <v>39</v>
      </c>
      <c r="AB10" s="39" t="s">
        <v>40</v>
      </c>
      <c r="AC10" s="39" t="s">
        <v>41</v>
      </c>
      <c r="AD10" s="39" t="s">
        <v>42</v>
      </c>
      <c r="AE10" s="44" t="s">
        <v>38</v>
      </c>
      <c r="AF10" s="44" t="s">
        <v>39</v>
      </c>
      <c r="AG10" s="44" t="s">
        <v>40</v>
      </c>
      <c r="AH10" s="44" t="s">
        <v>41</v>
      </c>
      <c r="AI10" s="44" t="s">
        <v>42</v>
      </c>
    </row>
    <row r="11" spans="1:35" ht="43.5" customHeight="1" x14ac:dyDescent="0.3">
      <c r="A11" s="7">
        <v>1</v>
      </c>
      <c r="B11" s="7" t="s">
        <v>43</v>
      </c>
      <c r="C11" s="7" t="s">
        <v>44</v>
      </c>
      <c r="D11" s="7">
        <v>123</v>
      </c>
      <c r="E11" s="24">
        <v>1.3085156250000001</v>
      </c>
      <c r="F11" s="8">
        <f t="shared" ref="F11:F16" si="0">IF(AND(ISNUMBER(E11),ISNUMBER($D$8)),E11*$D$3,NA())</f>
        <v>66.996000000000009</v>
      </c>
      <c r="G11" s="9">
        <f t="shared" ref="G11:G16" si="1">F11/$D$8</f>
        <v>167.49</v>
      </c>
      <c r="H11" s="10">
        <f t="shared" ref="H11:H16" si="2">G11*$D$4</f>
        <v>41.872500000000002</v>
      </c>
      <c r="I11" s="11">
        <f t="shared" ref="I11:I16" si="3">G11-F11-H11</f>
        <v>58.621499999999997</v>
      </c>
      <c r="J11" s="12">
        <f t="shared" ref="J11:J16" si="4">I11/G11</f>
        <v>0.35</v>
      </c>
      <c r="K11" s="13">
        <f t="shared" ref="K11:K16" si="5">G11*$D$6</f>
        <v>234.48599999999999</v>
      </c>
      <c r="L11" s="14">
        <f t="shared" ref="L11:L16" si="6">F11/(1-$D$4)</f>
        <v>89.328000000000017</v>
      </c>
      <c r="M11" s="14">
        <f t="shared" ref="M11:M16" si="7">L11*$D$6</f>
        <v>125.05920000000002</v>
      </c>
      <c r="N11" s="15">
        <f t="shared" ref="N11:N16" si="8">G11-F11</f>
        <v>100.494</v>
      </c>
      <c r="O11" s="16">
        <f t="shared" ref="O11:O16" si="9">N11-H11</f>
        <v>58.621499999999997</v>
      </c>
      <c r="P11" s="40">
        <f t="shared" ref="P11:P16" si="10">$F11/(1-$D$4-$P$9)</f>
        <v>148.88000000000002</v>
      </c>
      <c r="Q11" s="41">
        <f t="shared" ref="Q11:Q16" si="11">P11*$D$4</f>
        <v>37.220000000000006</v>
      </c>
      <c r="R11" s="42">
        <f t="shared" ref="R11:R16" si="12">P11-$F11-Q11</f>
        <v>44.664000000000009</v>
      </c>
      <c r="S11" s="43">
        <f t="shared" ref="S11:S16" si="13">R11/P11</f>
        <v>0.3</v>
      </c>
      <c r="T11" s="40">
        <f t="shared" ref="T11:T16" si="14">P11*$D$6</f>
        <v>208.43200000000002</v>
      </c>
      <c r="U11" s="40">
        <f t="shared" ref="U11:U16" si="15">$F11/(1-$D$4-$U$9)</f>
        <v>133.99200000000002</v>
      </c>
      <c r="V11" s="41">
        <f t="shared" ref="V11:V16" si="16">U11*$D$4</f>
        <v>33.498000000000005</v>
      </c>
      <c r="W11" s="42">
        <f t="shared" ref="W11:W16" si="17">U11-$F11-V11</f>
        <v>33.498000000000005</v>
      </c>
      <c r="X11" s="43">
        <f t="shared" ref="X11:X16" si="18">W11/U11</f>
        <v>0.25</v>
      </c>
      <c r="Y11" s="40">
        <f t="shared" ref="Y11:Y16" si="19">U11*$D$6</f>
        <v>187.58880000000002</v>
      </c>
      <c r="Z11" s="40">
        <f t="shared" ref="Z11:Z16" si="20">$F11/(1-$D$4-$Z$9)</f>
        <v>121.81090909090909</v>
      </c>
      <c r="AA11" s="41">
        <f t="shared" ref="AA11:AA16" si="21">Z11*$D$4</f>
        <v>30.452727272727273</v>
      </c>
      <c r="AB11" s="42">
        <f t="shared" ref="AB11:AB16" si="22">Z11-$F11-AA11</f>
        <v>24.36218181818181</v>
      </c>
      <c r="AC11" s="43">
        <f t="shared" ref="AC11:AC16" si="23">AB11/Z11</f>
        <v>0.19999999999999993</v>
      </c>
      <c r="AD11" s="40">
        <f t="shared" ref="AD11:AD16" si="24">Z11*$D$6</f>
        <v>170.53527272727271</v>
      </c>
      <c r="AE11" s="40">
        <f t="shared" ref="AE11:AE16" si="25">$F11/(1-$D$4-$AE$9)</f>
        <v>111.66000000000003</v>
      </c>
      <c r="AF11" s="41">
        <f t="shared" ref="AF11:AF16" si="26">AE11*$D$4</f>
        <v>27.915000000000006</v>
      </c>
      <c r="AG11" s="42">
        <f t="shared" ref="AG11:AG16" si="27">AE11-$F11-AF11</f>
        <v>16.749000000000009</v>
      </c>
      <c r="AH11" s="43">
        <f t="shared" ref="AH11:AH16" si="28">AG11/AE11</f>
        <v>0.15000000000000005</v>
      </c>
      <c r="AI11" s="40">
        <f t="shared" ref="AI11:AI16" si="29">AE11*$D$6</f>
        <v>156.32400000000001</v>
      </c>
    </row>
    <row r="12" spans="1:35" ht="43.5" customHeight="1" x14ac:dyDescent="0.3">
      <c r="A12" s="7">
        <v>2</v>
      </c>
      <c r="B12" s="7" t="s">
        <v>43</v>
      </c>
      <c r="C12" s="7" t="s">
        <v>45</v>
      </c>
      <c r="D12" s="7">
        <v>131</v>
      </c>
      <c r="E12" s="24">
        <v>1.3085156250000001</v>
      </c>
      <c r="F12" s="8">
        <f t="shared" si="0"/>
        <v>66.996000000000009</v>
      </c>
      <c r="G12" s="9">
        <f t="shared" si="1"/>
        <v>167.49</v>
      </c>
      <c r="H12" s="10">
        <f t="shared" si="2"/>
        <v>41.872500000000002</v>
      </c>
      <c r="I12" s="11">
        <f t="shared" si="3"/>
        <v>58.621499999999997</v>
      </c>
      <c r="J12" s="12">
        <f t="shared" si="4"/>
        <v>0.35</v>
      </c>
      <c r="K12" s="13">
        <f t="shared" si="5"/>
        <v>234.48599999999999</v>
      </c>
      <c r="L12" s="14">
        <f t="shared" si="6"/>
        <v>89.328000000000017</v>
      </c>
      <c r="M12" s="14">
        <f t="shared" si="7"/>
        <v>125.05920000000002</v>
      </c>
      <c r="N12" s="15">
        <f t="shared" si="8"/>
        <v>100.494</v>
      </c>
      <c r="O12" s="16">
        <f t="shared" si="9"/>
        <v>58.621499999999997</v>
      </c>
      <c r="P12" s="40">
        <f t="shared" si="10"/>
        <v>148.88000000000002</v>
      </c>
      <c r="Q12" s="41">
        <f t="shared" si="11"/>
        <v>37.220000000000006</v>
      </c>
      <c r="R12" s="42">
        <f t="shared" si="12"/>
        <v>44.664000000000009</v>
      </c>
      <c r="S12" s="43">
        <f t="shared" si="13"/>
        <v>0.3</v>
      </c>
      <c r="T12" s="40">
        <f t="shared" si="14"/>
        <v>208.43200000000002</v>
      </c>
      <c r="U12" s="40">
        <f t="shared" si="15"/>
        <v>133.99200000000002</v>
      </c>
      <c r="V12" s="41">
        <f t="shared" si="16"/>
        <v>33.498000000000005</v>
      </c>
      <c r="W12" s="42">
        <f t="shared" si="17"/>
        <v>33.498000000000005</v>
      </c>
      <c r="X12" s="43">
        <f t="shared" si="18"/>
        <v>0.25</v>
      </c>
      <c r="Y12" s="40">
        <f t="shared" si="19"/>
        <v>187.58880000000002</v>
      </c>
      <c r="Z12" s="40">
        <f t="shared" si="20"/>
        <v>121.81090909090909</v>
      </c>
      <c r="AA12" s="41">
        <f t="shared" si="21"/>
        <v>30.452727272727273</v>
      </c>
      <c r="AB12" s="42">
        <f t="shared" si="22"/>
        <v>24.36218181818181</v>
      </c>
      <c r="AC12" s="43">
        <f t="shared" si="23"/>
        <v>0.19999999999999993</v>
      </c>
      <c r="AD12" s="40">
        <f t="shared" si="24"/>
        <v>170.53527272727271</v>
      </c>
      <c r="AE12" s="40">
        <f t="shared" si="25"/>
        <v>111.66000000000003</v>
      </c>
      <c r="AF12" s="41">
        <f t="shared" si="26"/>
        <v>27.915000000000006</v>
      </c>
      <c r="AG12" s="42">
        <f t="shared" si="27"/>
        <v>16.749000000000009</v>
      </c>
      <c r="AH12" s="43">
        <f t="shared" si="28"/>
        <v>0.15000000000000005</v>
      </c>
      <c r="AI12" s="40">
        <f t="shared" si="29"/>
        <v>156.32400000000001</v>
      </c>
    </row>
    <row r="13" spans="1:35" ht="43.5" customHeight="1" x14ac:dyDescent="0.3">
      <c r="A13" s="7">
        <v>3</v>
      </c>
      <c r="B13" s="7" t="s">
        <v>43</v>
      </c>
      <c r="C13" s="7" t="s">
        <v>46</v>
      </c>
      <c r="D13" s="7">
        <v>113</v>
      </c>
      <c r="E13" s="24">
        <v>1.1340468749999999</v>
      </c>
      <c r="F13" s="8">
        <f t="shared" si="0"/>
        <v>58.063199999999995</v>
      </c>
      <c r="G13" s="9">
        <f t="shared" si="1"/>
        <v>145.15799999999999</v>
      </c>
      <c r="H13" s="10">
        <f t="shared" si="2"/>
        <v>36.289499999999997</v>
      </c>
      <c r="I13" s="11">
        <f t="shared" si="3"/>
        <v>50.805299999999995</v>
      </c>
      <c r="J13" s="12">
        <f t="shared" si="4"/>
        <v>0.35</v>
      </c>
      <c r="K13" s="13">
        <f t="shared" si="5"/>
        <v>203.22119999999998</v>
      </c>
      <c r="L13" s="14">
        <f t="shared" si="6"/>
        <v>77.417599999999993</v>
      </c>
      <c r="M13" s="14">
        <f t="shared" si="7"/>
        <v>108.38463999999999</v>
      </c>
      <c r="N13" s="15">
        <f t="shared" si="8"/>
        <v>87.094799999999992</v>
      </c>
      <c r="O13" s="16">
        <f t="shared" si="9"/>
        <v>50.805299999999995</v>
      </c>
      <c r="P13" s="40">
        <f t="shared" si="10"/>
        <v>129.02933333333331</v>
      </c>
      <c r="Q13" s="41">
        <f t="shared" si="11"/>
        <v>32.257333333333328</v>
      </c>
      <c r="R13" s="42">
        <f t="shared" si="12"/>
        <v>38.708799999999989</v>
      </c>
      <c r="S13" s="43">
        <f t="shared" si="13"/>
        <v>0.3</v>
      </c>
      <c r="T13" s="40">
        <f t="shared" si="14"/>
        <v>180.64106666666663</v>
      </c>
      <c r="U13" s="40">
        <f t="shared" si="15"/>
        <v>116.12639999999999</v>
      </c>
      <c r="V13" s="41">
        <f t="shared" si="16"/>
        <v>29.031599999999997</v>
      </c>
      <c r="W13" s="42">
        <f t="shared" si="17"/>
        <v>29.031599999999997</v>
      </c>
      <c r="X13" s="43">
        <f t="shared" si="18"/>
        <v>0.25</v>
      </c>
      <c r="Y13" s="40">
        <f t="shared" si="19"/>
        <v>162.57695999999999</v>
      </c>
      <c r="Z13" s="40">
        <f t="shared" si="20"/>
        <v>105.56945454545453</v>
      </c>
      <c r="AA13" s="41">
        <f t="shared" si="21"/>
        <v>26.392363636363633</v>
      </c>
      <c r="AB13" s="42">
        <f t="shared" si="22"/>
        <v>21.113890909090905</v>
      </c>
      <c r="AC13" s="43">
        <f t="shared" si="23"/>
        <v>0.19999999999999998</v>
      </c>
      <c r="AD13" s="40">
        <f t="shared" si="24"/>
        <v>147.79723636363633</v>
      </c>
      <c r="AE13" s="40">
        <f t="shared" si="25"/>
        <v>96.771999999999991</v>
      </c>
      <c r="AF13" s="41">
        <f t="shared" si="26"/>
        <v>24.192999999999998</v>
      </c>
      <c r="AG13" s="42">
        <f t="shared" si="27"/>
        <v>14.515799999999999</v>
      </c>
      <c r="AH13" s="43">
        <f t="shared" si="28"/>
        <v>0.15</v>
      </c>
      <c r="AI13" s="40">
        <f t="shared" si="29"/>
        <v>135.48079999999999</v>
      </c>
    </row>
    <row r="14" spans="1:35" ht="43.5" customHeight="1" x14ac:dyDescent="0.3">
      <c r="A14" s="7">
        <v>4</v>
      </c>
      <c r="B14" s="7" t="s">
        <v>43</v>
      </c>
      <c r="C14" s="7" t="s">
        <v>47</v>
      </c>
      <c r="D14" s="25">
        <v>112.5</v>
      </c>
      <c r="E14" s="24">
        <v>1.1340468749999999</v>
      </c>
      <c r="F14" s="8">
        <f t="shared" si="0"/>
        <v>58.063199999999995</v>
      </c>
      <c r="G14" s="9">
        <f t="shared" si="1"/>
        <v>145.15799999999999</v>
      </c>
      <c r="H14" s="10">
        <f t="shared" si="2"/>
        <v>36.289499999999997</v>
      </c>
      <c r="I14" s="11">
        <f t="shared" si="3"/>
        <v>50.805299999999995</v>
      </c>
      <c r="J14" s="12">
        <f t="shared" si="4"/>
        <v>0.35</v>
      </c>
      <c r="K14" s="13">
        <f t="shared" si="5"/>
        <v>203.22119999999998</v>
      </c>
      <c r="L14" s="14">
        <f t="shared" si="6"/>
        <v>77.417599999999993</v>
      </c>
      <c r="M14" s="14">
        <f t="shared" si="7"/>
        <v>108.38463999999999</v>
      </c>
      <c r="N14" s="15">
        <f t="shared" si="8"/>
        <v>87.094799999999992</v>
      </c>
      <c r="O14" s="16">
        <f t="shared" si="9"/>
        <v>50.805299999999995</v>
      </c>
      <c r="P14" s="40">
        <f t="shared" si="10"/>
        <v>129.02933333333331</v>
      </c>
      <c r="Q14" s="41">
        <f t="shared" si="11"/>
        <v>32.257333333333328</v>
      </c>
      <c r="R14" s="42">
        <f t="shared" si="12"/>
        <v>38.708799999999989</v>
      </c>
      <c r="S14" s="43">
        <f t="shared" si="13"/>
        <v>0.3</v>
      </c>
      <c r="T14" s="40">
        <f t="shared" si="14"/>
        <v>180.64106666666663</v>
      </c>
      <c r="U14" s="40">
        <f t="shared" si="15"/>
        <v>116.12639999999999</v>
      </c>
      <c r="V14" s="41">
        <f t="shared" si="16"/>
        <v>29.031599999999997</v>
      </c>
      <c r="W14" s="42">
        <f t="shared" si="17"/>
        <v>29.031599999999997</v>
      </c>
      <c r="X14" s="43">
        <f t="shared" si="18"/>
        <v>0.25</v>
      </c>
      <c r="Y14" s="40">
        <f t="shared" si="19"/>
        <v>162.57695999999999</v>
      </c>
      <c r="Z14" s="40">
        <f t="shared" si="20"/>
        <v>105.56945454545453</v>
      </c>
      <c r="AA14" s="41">
        <f t="shared" si="21"/>
        <v>26.392363636363633</v>
      </c>
      <c r="AB14" s="42">
        <f t="shared" si="22"/>
        <v>21.113890909090905</v>
      </c>
      <c r="AC14" s="43">
        <f t="shared" si="23"/>
        <v>0.19999999999999998</v>
      </c>
      <c r="AD14" s="40">
        <f t="shared" si="24"/>
        <v>147.79723636363633</v>
      </c>
      <c r="AE14" s="40">
        <f t="shared" si="25"/>
        <v>96.771999999999991</v>
      </c>
      <c r="AF14" s="41">
        <f t="shared" si="26"/>
        <v>24.192999999999998</v>
      </c>
      <c r="AG14" s="42">
        <f t="shared" si="27"/>
        <v>14.515799999999999</v>
      </c>
      <c r="AH14" s="43">
        <f t="shared" si="28"/>
        <v>0.15</v>
      </c>
      <c r="AI14" s="40">
        <f t="shared" si="29"/>
        <v>135.48079999999999</v>
      </c>
    </row>
    <row r="15" spans="1:35" ht="43.5" customHeight="1" x14ac:dyDescent="0.3">
      <c r="A15" s="7">
        <v>5</v>
      </c>
      <c r="B15" s="7" t="s">
        <v>43</v>
      </c>
      <c r="C15" s="7" t="s">
        <v>48</v>
      </c>
      <c r="D15" s="7">
        <v>113</v>
      </c>
      <c r="E15" s="24">
        <v>1.1340468749999999</v>
      </c>
      <c r="F15" s="8">
        <f t="shared" si="0"/>
        <v>58.063199999999995</v>
      </c>
      <c r="G15" s="9">
        <f t="shared" si="1"/>
        <v>145.15799999999999</v>
      </c>
      <c r="H15" s="10">
        <f t="shared" si="2"/>
        <v>36.289499999999997</v>
      </c>
      <c r="I15" s="11">
        <f t="shared" si="3"/>
        <v>50.805299999999995</v>
      </c>
      <c r="J15" s="12">
        <f t="shared" si="4"/>
        <v>0.35</v>
      </c>
      <c r="K15" s="13">
        <f t="shared" si="5"/>
        <v>203.22119999999998</v>
      </c>
      <c r="L15" s="14">
        <f t="shared" si="6"/>
        <v>77.417599999999993</v>
      </c>
      <c r="M15" s="14">
        <f t="shared" si="7"/>
        <v>108.38463999999999</v>
      </c>
      <c r="N15" s="15">
        <f t="shared" si="8"/>
        <v>87.094799999999992</v>
      </c>
      <c r="O15" s="16">
        <f t="shared" si="9"/>
        <v>50.805299999999995</v>
      </c>
      <c r="P15" s="40">
        <f t="shared" si="10"/>
        <v>129.02933333333331</v>
      </c>
      <c r="Q15" s="41">
        <f t="shared" si="11"/>
        <v>32.257333333333328</v>
      </c>
      <c r="R15" s="42">
        <f t="shared" si="12"/>
        <v>38.708799999999989</v>
      </c>
      <c r="S15" s="43">
        <f t="shared" si="13"/>
        <v>0.3</v>
      </c>
      <c r="T15" s="40">
        <f t="shared" si="14"/>
        <v>180.64106666666663</v>
      </c>
      <c r="U15" s="40">
        <f t="shared" si="15"/>
        <v>116.12639999999999</v>
      </c>
      <c r="V15" s="41">
        <f t="shared" si="16"/>
        <v>29.031599999999997</v>
      </c>
      <c r="W15" s="42">
        <f t="shared" si="17"/>
        <v>29.031599999999997</v>
      </c>
      <c r="X15" s="43">
        <f t="shared" si="18"/>
        <v>0.25</v>
      </c>
      <c r="Y15" s="40">
        <f t="shared" si="19"/>
        <v>162.57695999999999</v>
      </c>
      <c r="Z15" s="40">
        <f t="shared" si="20"/>
        <v>105.56945454545453</v>
      </c>
      <c r="AA15" s="41">
        <f t="shared" si="21"/>
        <v>26.392363636363633</v>
      </c>
      <c r="AB15" s="42">
        <f t="shared" si="22"/>
        <v>21.113890909090905</v>
      </c>
      <c r="AC15" s="43">
        <f t="shared" si="23"/>
        <v>0.19999999999999998</v>
      </c>
      <c r="AD15" s="40">
        <f t="shared" si="24"/>
        <v>147.79723636363633</v>
      </c>
      <c r="AE15" s="40">
        <f t="shared" si="25"/>
        <v>96.771999999999991</v>
      </c>
      <c r="AF15" s="41">
        <f t="shared" si="26"/>
        <v>24.192999999999998</v>
      </c>
      <c r="AG15" s="42">
        <f t="shared" si="27"/>
        <v>14.515799999999999</v>
      </c>
      <c r="AH15" s="43">
        <f t="shared" si="28"/>
        <v>0.15</v>
      </c>
      <c r="AI15" s="40">
        <f t="shared" si="29"/>
        <v>135.48079999999999</v>
      </c>
    </row>
    <row r="16" spans="1:35" ht="43.5" customHeight="1" x14ac:dyDescent="0.3">
      <c r="A16" s="7">
        <v>6</v>
      </c>
      <c r="B16" s="7" t="s">
        <v>43</v>
      </c>
      <c r="C16" s="7" t="s">
        <v>49</v>
      </c>
      <c r="D16" s="7">
        <v>113</v>
      </c>
      <c r="E16" s="24">
        <v>1.1340468749999999</v>
      </c>
      <c r="F16" s="8">
        <f t="shared" si="0"/>
        <v>58.063199999999995</v>
      </c>
      <c r="G16" s="9">
        <f t="shared" si="1"/>
        <v>145.15799999999999</v>
      </c>
      <c r="H16" s="10">
        <f t="shared" si="2"/>
        <v>36.289499999999997</v>
      </c>
      <c r="I16" s="11">
        <f t="shared" si="3"/>
        <v>50.805299999999995</v>
      </c>
      <c r="J16" s="12">
        <f t="shared" si="4"/>
        <v>0.35</v>
      </c>
      <c r="K16" s="13">
        <f t="shared" si="5"/>
        <v>203.22119999999998</v>
      </c>
      <c r="L16" s="14">
        <f t="shared" si="6"/>
        <v>77.417599999999993</v>
      </c>
      <c r="M16" s="14">
        <f t="shared" si="7"/>
        <v>108.38463999999999</v>
      </c>
      <c r="N16" s="15">
        <f t="shared" si="8"/>
        <v>87.094799999999992</v>
      </c>
      <c r="O16" s="16">
        <f t="shared" si="9"/>
        <v>50.805299999999995</v>
      </c>
      <c r="P16" s="40">
        <f t="shared" si="10"/>
        <v>129.02933333333331</v>
      </c>
      <c r="Q16" s="41">
        <f t="shared" si="11"/>
        <v>32.257333333333328</v>
      </c>
      <c r="R16" s="42">
        <f t="shared" si="12"/>
        <v>38.708799999999989</v>
      </c>
      <c r="S16" s="43">
        <f t="shared" si="13"/>
        <v>0.3</v>
      </c>
      <c r="T16" s="40">
        <f t="shared" si="14"/>
        <v>180.64106666666663</v>
      </c>
      <c r="U16" s="40">
        <f t="shared" si="15"/>
        <v>116.12639999999999</v>
      </c>
      <c r="V16" s="41">
        <f t="shared" si="16"/>
        <v>29.031599999999997</v>
      </c>
      <c r="W16" s="42">
        <f t="shared" si="17"/>
        <v>29.031599999999997</v>
      </c>
      <c r="X16" s="43">
        <f t="shared" si="18"/>
        <v>0.25</v>
      </c>
      <c r="Y16" s="40">
        <f t="shared" si="19"/>
        <v>162.57695999999999</v>
      </c>
      <c r="Z16" s="40">
        <f t="shared" si="20"/>
        <v>105.56945454545453</v>
      </c>
      <c r="AA16" s="41">
        <f t="shared" si="21"/>
        <v>26.392363636363633</v>
      </c>
      <c r="AB16" s="42">
        <f t="shared" si="22"/>
        <v>21.113890909090905</v>
      </c>
      <c r="AC16" s="43">
        <f t="shared" si="23"/>
        <v>0.19999999999999998</v>
      </c>
      <c r="AD16" s="40">
        <f t="shared" si="24"/>
        <v>147.79723636363633</v>
      </c>
      <c r="AE16" s="40">
        <f t="shared" si="25"/>
        <v>96.771999999999991</v>
      </c>
      <c r="AF16" s="41">
        <f t="shared" si="26"/>
        <v>24.192999999999998</v>
      </c>
      <c r="AG16" s="42">
        <f t="shared" si="27"/>
        <v>14.515799999999999</v>
      </c>
      <c r="AH16" s="43">
        <f t="shared" si="28"/>
        <v>0.15</v>
      </c>
      <c r="AI16" s="40">
        <f t="shared" si="29"/>
        <v>135.48079999999999</v>
      </c>
    </row>
    <row r="19" spans="1:11" ht="28.05" customHeight="1" x14ac:dyDescent="0.3">
      <c r="A19" s="26"/>
      <c r="B19" s="88" t="s">
        <v>50</v>
      </c>
      <c r="C19" s="71"/>
      <c r="D19" s="71"/>
      <c r="E19" s="71"/>
      <c r="F19" s="71"/>
      <c r="G19" s="71"/>
      <c r="H19" s="71"/>
      <c r="I19" s="71"/>
      <c r="J19" s="71"/>
      <c r="K19" s="71"/>
    </row>
    <row r="20" spans="1:11" x14ac:dyDescent="0.3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</row>
    <row r="21" spans="1:11" ht="43.95" customHeight="1" x14ac:dyDescent="0.3">
      <c r="A21" s="27" t="s">
        <v>23</v>
      </c>
      <c r="B21" s="70" t="s">
        <v>51</v>
      </c>
      <c r="C21" s="71"/>
      <c r="D21" s="70" t="s">
        <v>52</v>
      </c>
      <c r="E21" s="71"/>
      <c r="F21" s="27" t="str">
        <f>C11</f>
        <v>Gouda Cheese 123 г</v>
      </c>
      <c r="G21" s="27" t="str">
        <f>C12</f>
        <v>Carbonara Spicy 131 г</v>
      </c>
      <c r="H21" s="27" t="str">
        <f>C13</f>
        <v>Vegetable Flavor 113 г</v>
      </c>
      <c r="I21" s="27" t="str">
        <f>C14</f>
        <v>Spicy Flavor 112.5 г</v>
      </c>
      <c r="J21" s="27" t="str">
        <f>C15</f>
        <v>Beef Flavor 113 г</v>
      </c>
      <c r="K21" s="27" t="str">
        <f>C16</f>
        <v>Chicken Flavor 113 г</v>
      </c>
    </row>
    <row r="22" spans="1:11" ht="31.05" customHeight="1" x14ac:dyDescent="0.3">
      <c r="A22" s="28">
        <v>1</v>
      </c>
      <c r="B22" s="64" t="s">
        <v>53</v>
      </c>
      <c r="C22" s="65"/>
      <c r="D22" s="67" t="s">
        <v>54</v>
      </c>
      <c r="E22" s="65"/>
      <c r="F22" s="29">
        <f>E11</f>
        <v>1.3085156250000001</v>
      </c>
      <c r="G22" s="29">
        <f>E12</f>
        <v>1.3085156250000001</v>
      </c>
      <c r="H22" s="29">
        <f>E13</f>
        <v>1.1340468749999999</v>
      </c>
      <c r="I22" s="29">
        <f>E14</f>
        <v>1.1340468749999999</v>
      </c>
      <c r="J22" s="29">
        <f>E15</f>
        <v>1.1340468749999999</v>
      </c>
      <c r="K22" s="29">
        <f>E16</f>
        <v>1.1340468749999999</v>
      </c>
    </row>
    <row r="23" spans="1:11" ht="31.05" customHeight="1" x14ac:dyDescent="0.3">
      <c r="A23" s="28">
        <v>2</v>
      </c>
      <c r="B23" s="64" t="s">
        <v>4</v>
      </c>
      <c r="C23" s="65"/>
      <c r="D23" s="67" t="s">
        <v>55</v>
      </c>
      <c r="E23" s="65"/>
      <c r="F23" s="30">
        <f t="shared" ref="F23:K23" si="30">$D$3</f>
        <v>51.2</v>
      </c>
      <c r="G23" s="30">
        <f t="shared" si="30"/>
        <v>51.2</v>
      </c>
      <c r="H23" s="30">
        <f t="shared" si="30"/>
        <v>51.2</v>
      </c>
      <c r="I23" s="30">
        <f t="shared" si="30"/>
        <v>51.2</v>
      </c>
      <c r="J23" s="30">
        <f t="shared" si="30"/>
        <v>51.2</v>
      </c>
      <c r="K23" s="30">
        <f t="shared" si="30"/>
        <v>51.2</v>
      </c>
    </row>
    <row r="24" spans="1:11" ht="31.05" customHeight="1" x14ac:dyDescent="0.3">
      <c r="A24" s="28">
        <v>3</v>
      </c>
      <c r="B24" s="64" t="s">
        <v>56</v>
      </c>
      <c r="C24" s="65"/>
      <c r="D24" s="67" t="s">
        <v>57</v>
      </c>
      <c r="E24" s="65"/>
      <c r="F24" s="31">
        <f>F11</f>
        <v>66.996000000000009</v>
      </c>
      <c r="G24" s="31">
        <f>F12</f>
        <v>66.996000000000009</v>
      </c>
      <c r="H24" s="31">
        <f>F13</f>
        <v>58.063199999999995</v>
      </c>
      <c r="I24" s="31">
        <f>F14</f>
        <v>58.063199999999995</v>
      </c>
      <c r="J24" s="31">
        <f>F15</f>
        <v>58.063199999999995</v>
      </c>
      <c r="K24" s="31">
        <f>F16</f>
        <v>58.063199999999995</v>
      </c>
    </row>
    <row r="25" spans="1:11" ht="31.05" customHeight="1" x14ac:dyDescent="0.3">
      <c r="A25" s="28">
        <v>4</v>
      </c>
      <c r="B25" s="64" t="s">
        <v>58</v>
      </c>
      <c r="C25" s="65"/>
      <c r="D25" s="67" t="s">
        <v>59</v>
      </c>
      <c r="E25" s="65"/>
      <c r="F25" s="32">
        <v>1</v>
      </c>
      <c r="G25" s="32">
        <v>1</v>
      </c>
      <c r="H25" s="32">
        <v>1</v>
      </c>
      <c r="I25" s="32">
        <v>1</v>
      </c>
      <c r="J25" s="32">
        <v>1</v>
      </c>
      <c r="K25" s="32">
        <v>1</v>
      </c>
    </row>
    <row r="26" spans="1:11" ht="31.05" customHeight="1" x14ac:dyDescent="0.3">
      <c r="A26" s="28">
        <v>5</v>
      </c>
      <c r="B26" s="64" t="s">
        <v>60</v>
      </c>
      <c r="C26" s="65"/>
      <c r="D26" s="67" t="s">
        <v>61</v>
      </c>
      <c r="E26" s="65"/>
      <c r="F26" s="32">
        <f t="shared" ref="F26:K26" si="31">$D$4</f>
        <v>0.25</v>
      </c>
      <c r="G26" s="32">
        <f t="shared" si="31"/>
        <v>0.25</v>
      </c>
      <c r="H26" s="32">
        <f t="shared" si="31"/>
        <v>0.25</v>
      </c>
      <c r="I26" s="32">
        <f t="shared" si="31"/>
        <v>0.25</v>
      </c>
      <c r="J26" s="32">
        <f t="shared" si="31"/>
        <v>0.25</v>
      </c>
      <c r="K26" s="32">
        <f t="shared" si="31"/>
        <v>0.25</v>
      </c>
    </row>
    <row r="27" spans="1:11" ht="31.05" customHeight="1" x14ac:dyDescent="0.3">
      <c r="A27" s="28">
        <v>6</v>
      </c>
      <c r="B27" s="64" t="s">
        <v>62</v>
      </c>
      <c r="C27" s="65"/>
      <c r="D27" s="67" t="s">
        <v>63</v>
      </c>
      <c r="E27" s="65"/>
      <c r="F27" s="32">
        <f t="shared" ref="F27:K27" si="32">1-$D$4</f>
        <v>0.75</v>
      </c>
      <c r="G27" s="32">
        <f t="shared" si="32"/>
        <v>0.75</v>
      </c>
      <c r="H27" s="32">
        <f t="shared" si="32"/>
        <v>0.75</v>
      </c>
      <c r="I27" s="32">
        <f t="shared" si="32"/>
        <v>0.75</v>
      </c>
      <c r="J27" s="32">
        <f t="shared" si="32"/>
        <v>0.75</v>
      </c>
      <c r="K27" s="32">
        <f t="shared" si="32"/>
        <v>0.75</v>
      </c>
    </row>
    <row r="28" spans="1:11" ht="31.05" customHeight="1" x14ac:dyDescent="0.3">
      <c r="A28" s="28">
        <v>7</v>
      </c>
      <c r="B28" s="64" t="s">
        <v>64</v>
      </c>
      <c r="C28" s="65"/>
      <c r="D28" s="67" t="s">
        <v>65</v>
      </c>
      <c r="E28" s="65"/>
      <c r="F28" s="32">
        <f t="shared" ref="F28:K28" si="33">$D$5</f>
        <v>0.35</v>
      </c>
      <c r="G28" s="32">
        <f t="shared" si="33"/>
        <v>0.35</v>
      </c>
      <c r="H28" s="32">
        <f t="shared" si="33"/>
        <v>0.35</v>
      </c>
      <c r="I28" s="32">
        <f t="shared" si="33"/>
        <v>0.35</v>
      </c>
      <c r="J28" s="32">
        <f t="shared" si="33"/>
        <v>0.35</v>
      </c>
      <c r="K28" s="32">
        <f t="shared" si="33"/>
        <v>0.35</v>
      </c>
    </row>
    <row r="29" spans="1:11" ht="31.05" customHeight="1" x14ac:dyDescent="0.3">
      <c r="A29" s="28">
        <v>8</v>
      </c>
      <c r="B29" s="64" t="s">
        <v>66</v>
      </c>
      <c r="C29" s="65"/>
      <c r="D29" s="67" t="s">
        <v>67</v>
      </c>
      <c r="E29" s="65"/>
      <c r="F29" s="32">
        <f t="shared" ref="F29:K29" si="34">$D$8</f>
        <v>0.4</v>
      </c>
      <c r="G29" s="32">
        <f t="shared" si="34"/>
        <v>0.4</v>
      </c>
      <c r="H29" s="32">
        <f t="shared" si="34"/>
        <v>0.4</v>
      </c>
      <c r="I29" s="32">
        <f t="shared" si="34"/>
        <v>0.4</v>
      </c>
      <c r="J29" s="32">
        <f t="shared" si="34"/>
        <v>0.4</v>
      </c>
      <c r="K29" s="32">
        <f t="shared" si="34"/>
        <v>0.4</v>
      </c>
    </row>
    <row r="30" spans="1:11" ht="31.05" customHeight="1" x14ac:dyDescent="0.3">
      <c r="A30" s="33">
        <v>9</v>
      </c>
      <c r="B30" s="80" t="s">
        <v>68</v>
      </c>
      <c r="C30" s="65"/>
      <c r="D30" s="82" t="s">
        <v>69</v>
      </c>
      <c r="E30" s="65"/>
      <c r="F30" s="34">
        <f>G11</f>
        <v>167.49</v>
      </c>
      <c r="G30" s="34">
        <f>G12</f>
        <v>167.49</v>
      </c>
      <c r="H30" s="34">
        <f>G13</f>
        <v>145.15799999999999</v>
      </c>
      <c r="I30" s="34">
        <f>G14</f>
        <v>145.15799999999999</v>
      </c>
      <c r="J30" s="34">
        <f>G15</f>
        <v>145.15799999999999</v>
      </c>
      <c r="K30" s="34">
        <f>G16</f>
        <v>145.15799999999999</v>
      </c>
    </row>
    <row r="31" spans="1:11" ht="31.05" customHeight="1" x14ac:dyDescent="0.3">
      <c r="A31" s="28">
        <v>10</v>
      </c>
      <c r="B31" s="64" t="s">
        <v>70</v>
      </c>
      <c r="C31" s="65"/>
      <c r="D31" s="67" t="s">
        <v>71</v>
      </c>
      <c r="E31" s="65"/>
      <c r="F31" s="31">
        <f>N11</f>
        <v>100.494</v>
      </c>
      <c r="G31" s="31">
        <f>N12</f>
        <v>100.494</v>
      </c>
      <c r="H31" s="31">
        <f>N13</f>
        <v>87.094799999999992</v>
      </c>
      <c r="I31" s="31">
        <f>N14</f>
        <v>87.094799999999992</v>
      </c>
      <c r="J31" s="31">
        <f>N15</f>
        <v>87.094799999999992</v>
      </c>
      <c r="K31" s="31">
        <f>N16</f>
        <v>87.094799999999992</v>
      </c>
    </row>
    <row r="32" spans="1:11" ht="31.05" customHeight="1" x14ac:dyDescent="0.3">
      <c r="A32" s="28">
        <v>11</v>
      </c>
      <c r="B32" s="64" t="s">
        <v>72</v>
      </c>
      <c r="C32" s="65"/>
      <c r="D32" s="67" t="s">
        <v>73</v>
      </c>
      <c r="E32" s="65"/>
      <c r="F32" s="31">
        <f>H11</f>
        <v>41.872500000000002</v>
      </c>
      <c r="G32" s="31">
        <f>H12</f>
        <v>41.872500000000002</v>
      </c>
      <c r="H32" s="31">
        <f>H13</f>
        <v>36.289499999999997</v>
      </c>
      <c r="I32" s="31">
        <f>H14</f>
        <v>36.289499999999997</v>
      </c>
      <c r="J32" s="31">
        <f>H15</f>
        <v>36.289499999999997</v>
      </c>
      <c r="K32" s="31">
        <f>H16</f>
        <v>36.289499999999997</v>
      </c>
    </row>
    <row r="33" spans="1:11" ht="31.05" customHeight="1" x14ac:dyDescent="0.3">
      <c r="A33" s="35">
        <v>12</v>
      </c>
      <c r="B33" s="81" t="s">
        <v>74</v>
      </c>
      <c r="C33" s="65"/>
      <c r="D33" s="66" t="s">
        <v>75</v>
      </c>
      <c r="E33" s="65"/>
      <c r="F33" s="36">
        <f>I11</f>
        <v>58.621499999999997</v>
      </c>
      <c r="G33" s="36">
        <f>I12</f>
        <v>58.621499999999997</v>
      </c>
      <c r="H33" s="36">
        <f>I13</f>
        <v>50.805299999999995</v>
      </c>
      <c r="I33" s="36">
        <f>I14</f>
        <v>50.805299999999995</v>
      </c>
      <c r="J33" s="36">
        <f>I15</f>
        <v>50.805299999999995</v>
      </c>
      <c r="K33" s="36">
        <f>I16</f>
        <v>50.805299999999995</v>
      </c>
    </row>
    <row r="34" spans="1:11" ht="31.05" customHeight="1" x14ac:dyDescent="0.3">
      <c r="A34" s="35">
        <v>13</v>
      </c>
      <c r="B34" s="81" t="s">
        <v>76</v>
      </c>
      <c r="C34" s="65"/>
      <c r="D34" s="66" t="s">
        <v>77</v>
      </c>
      <c r="E34" s="65"/>
      <c r="F34" s="37">
        <f>J11</f>
        <v>0.35</v>
      </c>
      <c r="G34" s="37">
        <f>J12</f>
        <v>0.35</v>
      </c>
      <c r="H34" s="37">
        <f>J13</f>
        <v>0.35</v>
      </c>
      <c r="I34" s="37">
        <f>J14</f>
        <v>0.35</v>
      </c>
      <c r="J34" s="37">
        <f>J15</f>
        <v>0.35</v>
      </c>
      <c r="K34" s="37">
        <f>J16</f>
        <v>0.35</v>
      </c>
    </row>
    <row r="35" spans="1:11" ht="31.05" customHeight="1" x14ac:dyDescent="0.3">
      <c r="A35" s="28">
        <v>14</v>
      </c>
      <c r="B35" s="64" t="s">
        <v>78</v>
      </c>
      <c r="C35" s="65"/>
      <c r="D35" s="67" t="s">
        <v>79</v>
      </c>
      <c r="E35" s="65"/>
      <c r="F35" s="32">
        <f t="shared" ref="F35:K35" si="35">$D$6-1</f>
        <v>0.39999999999999991</v>
      </c>
      <c r="G35" s="32">
        <f t="shared" si="35"/>
        <v>0.39999999999999991</v>
      </c>
      <c r="H35" s="32">
        <f t="shared" si="35"/>
        <v>0.39999999999999991</v>
      </c>
      <c r="I35" s="32">
        <f t="shared" si="35"/>
        <v>0.39999999999999991</v>
      </c>
      <c r="J35" s="32">
        <f t="shared" si="35"/>
        <v>0.39999999999999991</v>
      </c>
      <c r="K35" s="32">
        <f t="shared" si="35"/>
        <v>0.39999999999999991</v>
      </c>
    </row>
    <row r="36" spans="1:11" ht="31.05" customHeight="1" x14ac:dyDescent="0.3">
      <c r="A36" s="28">
        <v>15</v>
      </c>
      <c r="B36" s="64" t="s">
        <v>80</v>
      </c>
      <c r="C36" s="65"/>
      <c r="D36" s="67" t="s">
        <v>81</v>
      </c>
      <c r="E36" s="65"/>
      <c r="F36" s="38">
        <f t="shared" ref="F36:K36" si="36">$D$6</f>
        <v>1.4</v>
      </c>
      <c r="G36" s="38">
        <f t="shared" si="36"/>
        <v>1.4</v>
      </c>
      <c r="H36" s="38">
        <f t="shared" si="36"/>
        <v>1.4</v>
      </c>
      <c r="I36" s="38">
        <f t="shared" si="36"/>
        <v>1.4</v>
      </c>
      <c r="J36" s="38">
        <f t="shared" si="36"/>
        <v>1.4</v>
      </c>
      <c r="K36" s="38">
        <f t="shared" si="36"/>
        <v>1.4</v>
      </c>
    </row>
    <row r="37" spans="1:11" ht="31.05" customHeight="1" x14ac:dyDescent="0.3">
      <c r="A37" s="33">
        <v>16</v>
      </c>
      <c r="B37" s="80" t="s">
        <v>82</v>
      </c>
      <c r="C37" s="65"/>
      <c r="D37" s="82" t="s">
        <v>83</v>
      </c>
      <c r="E37" s="65"/>
      <c r="F37" s="34">
        <f>K11</f>
        <v>234.48599999999999</v>
      </c>
      <c r="G37" s="34">
        <f>K12</f>
        <v>234.48599999999999</v>
      </c>
      <c r="H37" s="34">
        <f>K13</f>
        <v>203.22119999999998</v>
      </c>
      <c r="I37" s="34">
        <f>K14</f>
        <v>203.22119999999998</v>
      </c>
      <c r="J37" s="34">
        <f>K15</f>
        <v>203.22119999999998</v>
      </c>
      <c r="K37" s="34">
        <f>K16</f>
        <v>203.22119999999998</v>
      </c>
    </row>
    <row r="38" spans="1:11" ht="31.05" customHeight="1" x14ac:dyDescent="0.3">
      <c r="A38" s="28">
        <v>17</v>
      </c>
      <c r="B38" s="64" t="s">
        <v>84</v>
      </c>
      <c r="C38" s="65"/>
      <c r="D38" s="67" t="s">
        <v>85</v>
      </c>
      <c r="E38" s="65"/>
      <c r="F38" s="31">
        <f>L11</f>
        <v>89.328000000000017</v>
      </c>
      <c r="G38" s="31">
        <f>L12</f>
        <v>89.328000000000017</v>
      </c>
      <c r="H38" s="31">
        <f>L13</f>
        <v>77.417599999999993</v>
      </c>
      <c r="I38" s="31">
        <f>L14</f>
        <v>77.417599999999993</v>
      </c>
      <c r="J38" s="31">
        <f>L15</f>
        <v>77.417599999999993</v>
      </c>
      <c r="K38" s="31">
        <f>L16</f>
        <v>77.417599999999993</v>
      </c>
    </row>
    <row r="39" spans="1:11" ht="31.05" customHeight="1" x14ac:dyDescent="0.3">
      <c r="A39" s="28">
        <v>18</v>
      </c>
      <c r="B39" s="64" t="s">
        <v>86</v>
      </c>
      <c r="C39" s="65"/>
      <c r="D39" s="67" t="s">
        <v>87</v>
      </c>
      <c r="E39" s="65"/>
      <c r="F39" s="31">
        <f>M11</f>
        <v>125.05920000000002</v>
      </c>
      <c r="G39" s="31">
        <f>M12</f>
        <v>125.05920000000002</v>
      </c>
      <c r="H39" s="31">
        <f>M13</f>
        <v>108.38463999999999</v>
      </c>
      <c r="I39" s="31">
        <f>M14</f>
        <v>108.38463999999999</v>
      </c>
      <c r="J39" s="31">
        <f>M15</f>
        <v>108.38463999999999</v>
      </c>
      <c r="K39" s="31">
        <f>M16</f>
        <v>108.38463999999999</v>
      </c>
    </row>
  </sheetData>
  <mergeCells count="63">
    <mergeCell ref="B1:K1"/>
    <mergeCell ref="D30:E30"/>
    <mergeCell ref="B33:C33"/>
    <mergeCell ref="D24:E24"/>
    <mergeCell ref="D33:E33"/>
    <mergeCell ref="B5:C5"/>
    <mergeCell ref="D29:E29"/>
    <mergeCell ref="D23:E23"/>
    <mergeCell ref="E6:K6"/>
    <mergeCell ref="B32:C32"/>
    <mergeCell ref="B26:C26"/>
    <mergeCell ref="E2:K2"/>
    <mergeCell ref="B19:K19"/>
    <mergeCell ref="B4:C4"/>
    <mergeCell ref="AE9:AI9"/>
    <mergeCell ref="D39:E39"/>
    <mergeCell ref="D25:E25"/>
    <mergeCell ref="N9:O9"/>
    <mergeCell ref="B6:C6"/>
    <mergeCell ref="B30:C30"/>
    <mergeCell ref="B24:C24"/>
    <mergeCell ref="D38:E38"/>
    <mergeCell ref="B36:C36"/>
    <mergeCell ref="B35:C35"/>
    <mergeCell ref="B37:C37"/>
    <mergeCell ref="B34:C34"/>
    <mergeCell ref="B28:C28"/>
    <mergeCell ref="D37:E37"/>
    <mergeCell ref="E4:K4"/>
    <mergeCell ref="D28:E28"/>
    <mergeCell ref="B39:C39"/>
    <mergeCell ref="B21:C21"/>
    <mergeCell ref="B2:C2"/>
    <mergeCell ref="A9:D9"/>
    <mergeCell ref="G9:J9"/>
    <mergeCell ref="D35:E35"/>
    <mergeCell ref="E3:K3"/>
    <mergeCell ref="D27:E27"/>
    <mergeCell ref="B23:C23"/>
    <mergeCell ref="D32:E32"/>
    <mergeCell ref="D26:E26"/>
    <mergeCell ref="B8:C8"/>
    <mergeCell ref="E9:F9"/>
    <mergeCell ref="E5:K5"/>
    <mergeCell ref="B38:C38"/>
    <mergeCell ref="E8:K8"/>
    <mergeCell ref="D36:E36"/>
    <mergeCell ref="B27:C27"/>
    <mergeCell ref="D31:E31"/>
    <mergeCell ref="P9:T9"/>
    <mergeCell ref="D21:E21"/>
    <mergeCell ref="B29:C29"/>
    <mergeCell ref="L9:M9"/>
    <mergeCell ref="D34:E34"/>
    <mergeCell ref="B22:C22"/>
    <mergeCell ref="D22:E22"/>
    <mergeCell ref="B31:C31"/>
    <mergeCell ref="E7:K7"/>
    <mergeCell ref="U9:Y9"/>
    <mergeCell ref="Z9:AD9"/>
    <mergeCell ref="B7:C7"/>
    <mergeCell ref="B25:C25"/>
    <mergeCell ref="B3:C3"/>
  </mergeCells>
  <conditionalFormatting sqref="E33:K36">
    <cfRule type="expression" dxfId="1" priority="2">
      <formula>$D$2="Збірний 17 м³"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9"/>
  <sheetViews>
    <sheetView showGridLines="0" zoomScale="60" workbookViewId="0">
      <pane xSplit="4" ySplit="10" topLeftCell="E11" activePane="bottomRight" state="frozen"/>
      <selection activeCell="T11" sqref="T11"/>
      <selection pane="topRight" activeCell="T11" sqref="T11"/>
      <selection pane="bottomLeft" activeCell="T11" sqref="T11"/>
      <selection pane="bottomRight" activeCell="L1" sqref="L1:N8"/>
    </sheetView>
  </sheetViews>
  <sheetFormatPr defaultColWidth="8.6640625" defaultRowHeight="14.4" x14ac:dyDescent="0.3"/>
  <cols>
    <col min="1" max="1" width="4" customWidth="1"/>
    <col min="2" max="2" width="33" customWidth="1"/>
    <col min="3" max="3" width="49" customWidth="1"/>
    <col min="4" max="4" width="19" customWidth="1"/>
    <col min="5" max="5" width="14" customWidth="1"/>
    <col min="6" max="6" width="16" customWidth="1"/>
    <col min="7" max="7" width="19" customWidth="1"/>
    <col min="8" max="8" width="17" customWidth="1"/>
    <col min="9" max="9" width="28" customWidth="1"/>
    <col min="10" max="10" width="17" customWidth="1"/>
    <col min="11" max="12" width="19" customWidth="1"/>
    <col min="13" max="13" width="18" customWidth="1"/>
    <col min="14" max="15" width="31" customWidth="1"/>
    <col min="16" max="35" width="19" customWidth="1"/>
  </cols>
  <sheetData>
    <row r="1" spans="1:35" ht="17.25" customHeight="1" x14ac:dyDescent="0.3">
      <c r="A1" s="21"/>
      <c r="B1" s="85" t="s">
        <v>0</v>
      </c>
      <c r="C1" s="69"/>
      <c r="D1" s="69"/>
      <c r="E1" s="69"/>
      <c r="F1" s="69"/>
      <c r="G1" s="69"/>
      <c r="H1" s="69"/>
      <c r="I1" s="69"/>
      <c r="J1" s="69"/>
      <c r="K1" s="63"/>
    </row>
    <row r="2" spans="1:35" ht="37.5" customHeight="1" x14ac:dyDescent="0.3">
      <c r="B2" s="72" t="s">
        <v>1</v>
      </c>
      <c r="C2" s="73"/>
      <c r="D2" s="22" t="s">
        <v>2</v>
      </c>
      <c r="E2" s="86" t="s">
        <v>3</v>
      </c>
      <c r="F2" s="87"/>
      <c r="G2" s="87"/>
      <c r="H2" s="87"/>
      <c r="I2" s="87"/>
      <c r="J2" s="87"/>
      <c r="K2" s="73"/>
    </row>
    <row r="3" spans="1:35" ht="37.5" customHeight="1" x14ac:dyDescent="0.3">
      <c r="B3" s="62" t="s">
        <v>4</v>
      </c>
      <c r="C3" s="63"/>
      <c r="D3" s="17">
        <v>51.2</v>
      </c>
      <c r="E3" s="68" t="s">
        <v>5</v>
      </c>
      <c r="F3" s="69"/>
      <c r="G3" s="69"/>
      <c r="H3" s="69"/>
      <c r="I3" s="69"/>
      <c r="J3" s="69"/>
      <c r="K3" s="63"/>
    </row>
    <row r="4" spans="1:35" ht="37.5" customHeight="1" x14ac:dyDescent="0.3">
      <c r="B4" s="62" t="s">
        <v>6</v>
      </c>
      <c r="C4" s="63"/>
      <c r="D4" s="18">
        <v>0.25</v>
      </c>
      <c r="E4" s="68" t="s">
        <v>7</v>
      </c>
      <c r="F4" s="69"/>
      <c r="G4" s="69"/>
      <c r="H4" s="69"/>
      <c r="I4" s="69"/>
      <c r="J4" s="69"/>
      <c r="K4" s="63"/>
    </row>
    <row r="5" spans="1:35" ht="61.5" customHeight="1" x14ac:dyDescent="0.3">
      <c r="B5" s="62" t="s">
        <v>8</v>
      </c>
      <c r="C5" s="63"/>
      <c r="D5" s="18">
        <v>0.35</v>
      </c>
      <c r="E5" s="68" t="s">
        <v>9</v>
      </c>
      <c r="F5" s="69"/>
      <c r="G5" s="69"/>
      <c r="H5" s="69"/>
      <c r="I5" s="69"/>
      <c r="J5" s="69"/>
      <c r="K5" s="63"/>
    </row>
    <row r="6" spans="1:35" ht="27.75" customHeight="1" x14ac:dyDescent="0.3">
      <c r="B6" s="62" t="s">
        <v>10</v>
      </c>
      <c r="C6" s="63"/>
      <c r="D6" s="17">
        <v>1.4</v>
      </c>
      <c r="E6" s="68" t="s">
        <v>11</v>
      </c>
      <c r="F6" s="69"/>
      <c r="G6" s="69"/>
      <c r="H6" s="69"/>
      <c r="I6" s="69"/>
      <c r="J6" s="69"/>
      <c r="K6" s="63"/>
    </row>
    <row r="7" spans="1:35" ht="27.75" customHeight="1" x14ac:dyDescent="0.3">
      <c r="B7" s="62" t="s">
        <v>12</v>
      </c>
      <c r="C7" s="63"/>
      <c r="D7" s="19" t="s">
        <v>13</v>
      </c>
      <c r="E7" s="68" t="s">
        <v>14</v>
      </c>
      <c r="F7" s="69"/>
      <c r="G7" s="69"/>
      <c r="H7" s="69"/>
      <c r="I7" s="69"/>
      <c r="J7" s="69"/>
      <c r="K7" s="63"/>
    </row>
    <row r="8" spans="1:35" s="20" customFormat="1" ht="30" customHeight="1" x14ac:dyDescent="0.3">
      <c r="B8" s="76" t="s">
        <v>15</v>
      </c>
      <c r="C8" s="77"/>
      <c r="D8" s="23">
        <f>IF(AND(COUNT(D3:D6)=4,D3&gt;0,D4&gt;=0,D5&gt;=0,D4+D5&lt;1,D6&gt;0),1-D4-D5,NA())</f>
        <v>0.4</v>
      </c>
      <c r="E8" s="79" t="s">
        <v>16</v>
      </c>
      <c r="F8" s="69"/>
      <c r="G8" s="69"/>
      <c r="H8" s="69"/>
      <c r="I8" s="69"/>
      <c r="J8" s="69"/>
      <c r="K8" s="63"/>
      <c r="L8"/>
      <c r="M8"/>
      <c r="N8"/>
    </row>
    <row r="9" spans="1:35" ht="27" customHeight="1" x14ac:dyDescent="0.3">
      <c r="A9" s="74" t="s">
        <v>17</v>
      </c>
      <c r="B9" s="69"/>
      <c r="C9" s="69"/>
      <c r="D9" s="63"/>
      <c r="E9" s="78" t="s">
        <v>18</v>
      </c>
      <c r="F9" s="63"/>
      <c r="G9" s="75" t="s">
        <v>19</v>
      </c>
      <c r="H9" s="69"/>
      <c r="I9" s="69"/>
      <c r="J9" s="63"/>
      <c r="K9" s="5" t="s">
        <v>20</v>
      </c>
      <c r="L9" s="83" t="s">
        <v>21</v>
      </c>
      <c r="M9" s="63"/>
      <c r="N9" s="84" t="s">
        <v>22</v>
      </c>
      <c r="O9" s="63"/>
      <c r="P9" s="61">
        <v>0.3</v>
      </c>
      <c r="Q9" s="59"/>
      <c r="R9" s="59"/>
      <c r="S9" s="59"/>
      <c r="T9" s="60"/>
      <c r="U9" s="58">
        <v>0.25</v>
      </c>
      <c r="V9" s="59"/>
      <c r="W9" s="59"/>
      <c r="X9" s="59"/>
      <c r="Y9" s="60"/>
      <c r="Z9" s="61">
        <v>0.2</v>
      </c>
      <c r="AA9" s="59"/>
      <c r="AB9" s="59"/>
      <c r="AC9" s="59"/>
      <c r="AD9" s="60"/>
      <c r="AE9" s="58">
        <v>0.15</v>
      </c>
      <c r="AF9" s="59"/>
      <c r="AG9" s="59"/>
      <c r="AH9" s="59"/>
      <c r="AI9" s="60"/>
    </row>
    <row r="10" spans="1:35" ht="41.4" customHeight="1" x14ac:dyDescent="0.3">
      <c r="A10" s="6" t="s">
        <v>23</v>
      </c>
      <c r="B10" s="6" t="s">
        <v>24</v>
      </c>
      <c r="C10" s="6" t="s">
        <v>25</v>
      </c>
      <c r="D10" s="6" t="s">
        <v>26</v>
      </c>
      <c r="E10" s="4" t="s">
        <v>27</v>
      </c>
      <c r="F10" s="4" t="s">
        <v>28</v>
      </c>
      <c r="G10" s="3" t="s">
        <v>29</v>
      </c>
      <c r="H10" s="3" t="s">
        <v>30</v>
      </c>
      <c r="I10" s="3" t="s">
        <v>31</v>
      </c>
      <c r="J10" s="3" t="s">
        <v>32</v>
      </c>
      <c r="K10" s="5" t="s">
        <v>33</v>
      </c>
      <c r="L10" s="2" t="s">
        <v>34</v>
      </c>
      <c r="M10" s="2" t="s">
        <v>35</v>
      </c>
      <c r="N10" s="1" t="s">
        <v>36</v>
      </c>
      <c r="O10" s="1" t="s">
        <v>37</v>
      </c>
      <c r="P10" s="39" t="s">
        <v>38</v>
      </c>
      <c r="Q10" s="39" t="s">
        <v>39</v>
      </c>
      <c r="R10" s="39" t="s">
        <v>40</v>
      </c>
      <c r="S10" s="39" t="s">
        <v>41</v>
      </c>
      <c r="T10" s="39" t="s">
        <v>42</v>
      </c>
      <c r="U10" s="44" t="s">
        <v>38</v>
      </c>
      <c r="V10" s="44" t="s">
        <v>39</v>
      </c>
      <c r="W10" s="44" t="s">
        <v>40</v>
      </c>
      <c r="X10" s="44" t="s">
        <v>41</v>
      </c>
      <c r="Y10" s="44" t="s">
        <v>42</v>
      </c>
      <c r="Z10" s="39" t="s">
        <v>38</v>
      </c>
      <c r="AA10" s="39" t="s">
        <v>39</v>
      </c>
      <c r="AB10" s="39" t="s">
        <v>40</v>
      </c>
      <c r="AC10" s="39" t="s">
        <v>41</v>
      </c>
      <c r="AD10" s="39" t="s">
        <v>42</v>
      </c>
      <c r="AE10" s="44" t="s">
        <v>38</v>
      </c>
      <c r="AF10" s="44" t="s">
        <v>39</v>
      </c>
      <c r="AG10" s="44" t="s">
        <v>40</v>
      </c>
      <c r="AH10" s="44" t="s">
        <v>41</v>
      </c>
      <c r="AI10" s="44" t="s">
        <v>42</v>
      </c>
    </row>
    <row r="11" spans="1:35" ht="43.5" customHeight="1" x14ac:dyDescent="0.3">
      <c r="A11" s="7">
        <v>1</v>
      </c>
      <c r="B11" s="7" t="s">
        <v>43</v>
      </c>
      <c r="C11" s="7" t="s">
        <v>44</v>
      </c>
      <c r="D11" s="7">
        <v>123</v>
      </c>
      <c r="E11" s="24">
        <v>1.018131154266958</v>
      </c>
      <c r="F11" s="8">
        <f t="shared" ref="F11:F16" si="0">IF(AND(ISNUMBER(E11),ISNUMBER($D$8)),E11*$D$3,NA())</f>
        <v>52.128315098468249</v>
      </c>
      <c r="G11" s="9">
        <f t="shared" ref="G11:G16" si="1">F11/$D$8</f>
        <v>130.32078774617062</v>
      </c>
      <c r="H11" s="10">
        <f t="shared" ref="H11:H16" si="2">G11*$D$4</f>
        <v>32.580196936542656</v>
      </c>
      <c r="I11" s="11">
        <f t="shared" ref="I11:I16" si="3">G11-F11-H11</f>
        <v>45.612275711159718</v>
      </c>
      <c r="J11" s="12">
        <f t="shared" ref="J11:J16" si="4">I11/G11</f>
        <v>0.35</v>
      </c>
      <c r="K11" s="13">
        <f t="shared" ref="K11:K16" si="5">G11*$D$6</f>
        <v>182.44910284463887</v>
      </c>
      <c r="L11" s="14">
        <f t="shared" ref="L11:L16" si="6">F11/(1-$D$4)</f>
        <v>69.504420131290999</v>
      </c>
      <c r="M11" s="14">
        <f t="shared" ref="M11:M16" si="7">L11*$D$6</f>
        <v>97.306188183807393</v>
      </c>
      <c r="N11" s="15">
        <f t="shared" ref="N11:N16" si="8">G11-F11</f>
        <v>78.192472647702374</v>
      </c>
      <c r="O11" s="16">
        <f t="shared" ref="O11:O16" si="9">N11-H11</f>
        <v>45.612275711159718</v>
      </c>
      <c r="P11" s="40">
        <f t="shared" ref="P11:P16" si="10">$F11/(1-$D$4-$P$9)</f>
        <v>115.84070021881833</v>
      </c>
      <c r="Q11" s="41">
        <f t="shared" ref="Q11:Q16" si="11">P11*$D$4</f>
        <v>28.960175054704582</v>
      </c>
      <c r="R11" s="42">
        <f t="shared" ref="R11:R16" si="12">P11-$F11-Q11</f>
        <v>34.7522100656455</v>
      </c>
      <c r="S11" s="43">
        <f t="shared" ref="S11:S16" si="13">R11/P11</f>
        <v>0.3</v>
      </c>
      <c r="T11" s="40">
        <f t="shared" ref="T11:T16" si="14">P11*$D$6</f>
        <v>162.17698030634565</v>
      </c>
      <c r="U11" s="40">
        <f t="shared" ref="U11:U16" si="15">$F11/(1-$D$4-$U$9)</f>
        <v>104.2566301969365</v>
      </c>
      <c r="V11" s="41">
        <f t="shared" ref="V11:V16" si="16">U11*$D$4</f>
        <v>26.064157549234125</v>
      </c>
      <c r="W11" s="42">
        <f t="shared" ref="W11:W16" si="17">U11-$F11-V11</f>
        <v>26.064157549234125</v>
      </c>
      <c r="X11" s="43">
        <f t="shared" ref="X11:X16" si="18">W11/U11</f>
        <v>0.25</v>
      </c>
      <c r="Y11" s="40">
        <f t="shared" ref="Y11:Y16" si="19">U11*$D$6</f>
        <v>145.95928227571108</v>
      </c>
      <c r="Z11" s="40">
        <f t="shared" ref="Z11:Z16" si="20">$F11/(1-$D$4-$Z$9)</f>
        <v>94.778754724487712</v>
      </c>
      <c r="AA11" s="41">
        <f t="shared" ref="AA11:AA16" si="21">Z11*$D$4</f>
        <v>23.694688681121928</v>
      </c>
      <c r="AB11" s="42">
        <f t="shared" ref="AB11:AB16" si="22">Z11-$F11-AA11</f>
        <v>18.955750944897535</v>
      </c>
      <c r="AC11" s="43">
        <f t="shared" ref="AC11:AC16" si="23">AB11/Z11</f>
        <v>0.19999999999999993</v>
      </c>
      <c r="AD11" s="40">
        <f t="shared" ref="AD11:AD16" si="24">Z11*$D$6</f>
        <v>132.69025661428279</v>
      </c>
      <c r="AE11" s="40">
        <f t="shared" ref="AE11:AE16" si="25">$F11/(1-$D$4-$AE$9)</f>
        <v>86.880525164113749</v>
      </c>
      <c r="AF11" s="41">
        <f t="shared" ref="AF11:AF16" si="26">AE11*$D$4</f>
        <v>21.720131291028437</v>
      </c>
      <c r="AG11" s="42">
        <f t="shared" ref="AG11:AG16" si="27">AE11-$F11-AF11</f>
        <v>13.032078774617062</v>
      </c>
      <c r="AH11" s="43">
        <f t="shared" ref="AH11:AH16" si="28">AG11/AE11</f>
        <v>0.15</v>
      </c>
      <c r="AI11" s="40">
        <f t="shared" ref="AI11:AI16" si="29">AE11*$D$6</f>
        <v>121.63273522975923</v>
      </c>
    </row>
    <row r="12" spans="1:35" ht="43.5" customHeight="1" x14ac:dyDescent="0.3">
      <c r="A12" s="7">
        <v>2</v>
      </c>
      <c r="B12" s="7" t="s">
        <v>43</v>
      </c>
      <c r="C12" s="7" t="s">
        <v>45</v>
      </c>
      <c r="D12" s="7">
        <v>131</v>
      </c>
      <c r="E12" s="24">
        <v>1.018131154266958</v>
      </c>
      <c r="F12" s="8">
        <f t="shared" si="0"/>
        <v>52.128315098468249</v>
      </c>
      <c r="G12" s="9">
        <f t="shared" si="1"/>
        <v>130.32078774617062</v>
      </c>
      <c r="H12" s="10">
        <f t="shared" si="2"/>
        <v>32.580196936542656</v>
      </c>
      <c r="I12" s="11">
        <f t="shared" si="3"/>
        <v>45.612275711159718</v>
      </c>
      <c r="J12" s="12">
        <f t="shared" si="4"/>
        <v>0.35</v>
      </c>
      <c r="K12" s="13">
        <f t="shared" si="5"/>
        <v>182.44910284463887</v>
      </c>
      <c r="L12" s="14">
        <f t="shared" si="6"/>
        <v>69.504420131290999</v>
      </c>
      <c r="M12" s="14">
        <f t="shared" si="7"/>
        <v>97.306188183807393</v>
      </c>
      <c r="N12" s="15">
        <f t="shared" si="8"/>
        <v>78.192472647702374</v>
      </c>
      <c r="O12" s="16">
        <f t="shared" si="9"/>
        <v>45.612275711159718</v>
      </c>
      <c r="P12" s="40">
        <f t="shared" si="10"/>
        <v>115.84070021881833</v>
      </c>
      <c r="Q12" s="41">
        <f t="shared" si="11"/>
        <v>28.960175054704582</v>
      </c>
      <c r="R12" s="42">
        <f t="shared" si="12"/>
        <v>34.7522100656455</v>
      </c>
      <c r="S12" s="43">
        <f t="shared" si="13"/>
        <v>0.3</v>
      </c>
      <c r="T12" s="40">
        <f t="shared" si="14"/>
        <v>162.17698030634565</v>
      </c>
      <c r="U12" s="40">
        <f t="shared" si="15"/>
        <v>104.2566301969365</v>
      </c>
      <c r="V12" s="41">
        <f t="shared" si="16"/>
        <v>26.064157549234125</v>
      </c>
      <c r="W12" s="42">
        <f t="shared" si="17"/>
        <v>26.064157549234125</v>
      </c>
      <c r="X12" s="43">
        <f t="shared" si="18"/>
        <v>0.25</v>
      </c>
      <c r="Y12" s="40">
        <f t="shared" si="19"/>
        <v>145.95928227571108</v>
      </c>
      <c r="Z12" s="40">
        <f t="shared" si="20"/>
        <v>94.778754724487712</v>
      </c>
      <c r="AA12" s="41">
        <f t="shared" si="21"/>
        <v>23.694688681121928</v>
      </c>
      <c r="AB12" s="42">
        <f t="shared" si="22"/>
        <v>18.955750944897535</v>
      </c>
      <c r="AC12" s="43">
        <f t="shared" si="23"/>
        <v>0.19999999999999993</v>
      </c>
      <c r="AD12" s="40">
        <f t="shared" si="24"/>
        <v>132.69025661428279</v>
      </c>
      <c r="AE12" s="40">
        <f t="shared" si="25"/>
        <v>86.880525164113749</v>
      </c>
      <c r="AF12" s="41">
        <f t="shared" si="26"/>
        <v>21.720131291028437</v>
      </c>
      <c r="AG12" s="42">
        <f t="shared" si="27"/>
        <v>13.032078774617062</v>
      </c>
      <c r="AH12" s="43">
        <f t="shared" si="28"/>
        <v>0.15</v>
      </c>
      <c r="AI12" s="40">
        <f t="shared" si="29"/>
        <v>121.63273522975923</v>
      </c>
    </row>
    <row r="13" spans="1:35" ht="43.5" customHeight="1" x14ac:dyDescent="0.3">
      <c r="A13" s="7">
        <v>3</v>
      </c>
      <c r="B13" s="7" t="s">
        <v>43</v>
      </c>
      <c r="C13" s="7" t="s">
        <v>46</v>
      </c>
      <c r="D13" s="7">
        <v>113</v>
      </c>
      <c r="E13" s="24">
        <v>0.88238033369803059</v>
      </c>
      <c r="F13" s="8">
        <f t="shared" si="0"/>
        <v>45.177873085339172</v>
      </c>
      <c r="G13" s="9">
        <f t="shared" si="1"/>
        <v>112.94468271334793</v>
      </c>
      <c r="H13" s="10">
        <f t="shared" si="2"/>
        <v>28.236170678336983</v>
      </c>
      <c r="I13" s="11">
        <f t="shared" si="3"/>
        <v>39.530638949671776</v>
      </c>
      <c r="J13" s="12">
        <f t="shared" si="4"/>
        <v>0.35</v>
      </c>
      <c r="K13" s="13">
        <f t="shared" si="5"/>
        <v>158.1225557986871</v>
      </c>
      <c r="L13" s="14">
        <f t="shared" si="6"/>
        <v>60.23716411378556</v>
      </c>
      <c r="M13" s="14">
        <f t="shared" si="7"/>
        <v>84.332029759299786</v>
      </c>
      <c r="N13" s="15">
        <f t="shared" si="8"/>
        <v>67.766809628008758</v>
      </c>
      <c r="O13" s="16">
        <f t="shared" si="9"/>
        <v>39.530638949671776</v>
      </c>
      <c r="P13" s="40">
        <f t="shared" si="10"/>
        <v>100.39527352297594</v>
      </c>
      <c r="Q13" s="41">
        <f t="shared" si="11"/>
        <v>25.098818380743985</v>
      </c>
      <c r="R13" s="42">
        <f t="shared" si="12"/>
        <v>30.118582056892784</v>
      </c>
      <c r="S13" s="43">
        <f t="shared" si="13"/>
        <v>0.3</v>
      </c>
      <c r="T13" s="40">
        <f t="shared" si="14"/>
        <v>140.5533829321663</v>
      </c>
      <c r="U13" s="40">
        <f t="shared" si="15"/>
        <v>90.355746170678344</v>
      </c>
      <c r="V13" s="41">
        <f t="shared" si="16"/>
        <v>22.588936542669586</v>
      </c>
      <c r="W13" s="42">
        <f t="shared" si="17"/>
        <v>22.588936542669586</v>
      </c>
      <c r="X13" s="43">
        <f t="shared" si="18"/>
        <v>0.25</v>
      </c>
      <c r="Y13" s="40">
        <f t="shared" si="19"/>
        <v>126.49804463894968</v>
      </c>
      <c r="Z13" s="40">
        <f t="shared" si="20"/>
        <v>82.141587427889391</v>
      </c>
      <c r="AA13" s="41">
        <f t="shared" si="21"/>
        <v>20.535396856972348</v>
      </c>
      <c r="AB13" s="42">
        <f t="shared" si="22"/>
        <v>16.428317485577871</v>
      </c>
      <c r="AC13" s="43">
        <f t="shared" si="23"/>
        <v>0.1999999999999999</v>
      </c>
      <c r="AD13" s="40">
        <f t="shared" si="24"/>
        <v>114.99822239904513</v>
      </c>
      <c r="AE13" s="40">
        <f t="shared" si="25"/>
        <v>75.296455142231963</v>
      </c>
      <c r="AF13" s="41">
        <f t="shared" si="26"/>
        <v>18.824113785557991</v>
      </c>
      <c r="AG13" s="42">
        <f t="shared" si="27"/>
        <v>11.2944682713348</v>
      </c>
      <c r="AH13" s="43">
        <f t="shared" si="28"/>
        <v>0.15000000000000008</v>
      </c>
      <c r="AI13" s="40">
        <f t="shared" si="29"/>
        <v>105.41503719912474</v>
      </c>
    </row>
    <row r="14" spans="1:35" ht="43.5" customHeight="1" x14ac:dyDescent="0.3">
      <c r="A14" s="7">
        <v>4</v>
      </c>
      <c r="B14" s="7" t="s">
        <v>43</v>
      </c>
      <c r="C14" s="7" t="s">
        <v>47</v>
      </c>
      <c r="D14" s="25">
        <v>112.5</v>
      </c>
      <c r="E14" s="24">
        <v>0.88238033369803059</v>
      </c>
      <c r="F14" s="8">
        <f t="shared" si="0"/>
        <v>45.177873085339172</v>
      </c>
      <c r="G14" s="9">
        <f t="shared" si="1"/>
        <v>112.94468271334793</v>
      </c>
      <c r="H14" s="10">
        <f t="shared" si="2"/>
        <v>28.236170678336983</v>
      </c>
      <c r="I14" s="11">
        <f t="shared" si="3"/>
        <v>39.530638949671776</v>
      </c>
      <c r="J14" s="12">
        <f t="shared" si="4"/>
        <v>0.35</v>
      </c>
      <c r="K14" s="13">
        <f t="shared" si="5"/>
        <v>158.1225557986871</v>
      </c>
      <c r="L14" s="14">
        <f t="shared" si="6"/>
        <v>60.23716411378556</v>
      </c>
      <c r="M14" s="14">
        <f t="shared" si="7"/>
        <v>84.332029759299786</v>
      </c>
      <c r="N14" s="15">
        <f t="shared" si="8"/>
        <v>67.766809628008758</v>
      </c>
      <c r="O14" s="16">
        <f t="shared" si="9"/>
        <v>39.530638949671776</v>
      </c>
      <c r="P14" s="40">
        <f t="shared" si="10"/>
        <v>100.39527352297594</v>
      </c>
      <c r="Q14" s="41">
        <f t="shared" si="11"/>
        <v>25.098818380743985</v>
      </c>
      <c r="R14" s="42">
        <f t="shared" si="12"/>
        <v>30.118582056892784</v>
      </c>
      <c r="S14" s="43">
        <f t="shared" si="13"/>
        <v>0.3</v>
      </c>
      <c r="T14" s="40">
        <f t="shared" si="14"/>
        <v>140.5533829321663</v>
      </c>
      <c r="U14" s="40">
        <f t="shared" si="15"/>
        <v>90.355746170678344</v>
      </c>
      <c r="V14" s="41">
        <f t="shared" si="16"/>
        <v>22.588936542669586</v>
      </c>
      <c r="W14" s="42">
        <f t="shared" si="17"/>
        <v>22.588936542669586</v>
      </c>
      <c r="X14" s="43">
        <f t="shared" si="18"/>
        <v>0.25</v>
      </c>
      <c r="Y14" s="40">
        <f t="shared" si="19"/>
        <v>126.49804463894968</v>
      </c>
      <c r="Z14" s="40">
        <f t="shared" si="20"/>
        <v>82.141587427889391</v>
      </c>
      <c r="AA14" s="41">
        <f t="shared" si="21"/>
        <v>20.535396856972348</v>
      </c>
      <c r="AB14" s="42">
        <f t="shared" si="22"/>
        <v>16.428317485577871</v>
      </c>
      <c r="AC14" s="43">
        <f t="shared" si="23"/>
        <v>0.1999999999999999</v>
      </c>
      <c r="AD14" s="40">
        <f t="shared" si="24"/>
        <v>114.99822239904513</v>
      </c>
      <c r="AE14" s="40">
        <f t="shared" si="25"/>
        <v>75.296455142231963</v>
      </c>
      <c r="AF14" s="41">
        <f t="shared" si="26"/>
        <v>18.824113785557991</v>
      </c>
      <c r="AG14" s="42">
        <f t="shared" si="27"/>
        <v>11.2944682713348</v>
      </c>
      <c r="AH14" s="43">
        <f t="shared" si="28"/>
        <v>0.15000000000000008</v>
      </c>
      <c r="AI14" s="40">
        <f t="shared" si="29"/>
        <v>105.41503719912474</v>
      </c>
    </row>
    <row r="15" spans="1:35" ht="43.5" customHeight="1" x14ac:dyDescent="0.3">
      <c r="A15" s="7">
        <v>5</v>
      </c>
      <c r="B15" s="7" t="s">
        <v>43</v>
      </c>
      <c r="C15" s="7" t="s">
        <v>48</v>
      </c>
      <c r="D15" s="7">
        <v>113</v>
      </c>
      <c r="E15" s="24">
        <v>0.88238033369803059</v>
      </c>
      <c r="F15" s="8">
        <f t="shared" si="0"/>
        <v>45.177873085339172</v>
      </c>
      <c r="G15" s="9">
        <f t="shared" si="1"/>
        <v>112.94468271334793</v>
      </c>
      <c r="H15" s="10">
        <f t="shared" si="2"/>
        <v>28.236170678336983</v>
      </c>
      <c r="I15" s="11">
        <f t="shared" si="3"/>
        <v>39.530638949671776</v>
      </c>
      <c r="J15" s="12">
        <f t="shared" si="4"/>
        <v>0.35</v>
      </c>
      <c r="K15" s="13">
        <f t="shared" si="5"/>
        <v>158.1225557986871</v>
      </c>
      <c r="L15" s="14">
        <f t="shared" si="6"/>
        <v>60.23716411378556</v>
      </c>
      <c r="M15" s="14">
        <f t="shared" si="7"/>
        <v>84.332029759299786</v>
      </c>
      <c r="N15" s="15">
        <f t="shared" si="8"/>
        <v>67.766809628008758</v>
      </c>
      <c r="O15" s="16">
        <f t="shared" si="9"/>
        <v>39.530638949671776</v>
      </c>
      <c r="P15" s="40">
        <f t="shared" si="10"/>
        <v>100.39527352297594</v>
      </c>
      <c r="Q15" s="41">
        <f t="shared" si="11"/>
        <v>25.098818380743985</v>
      </c>
      <c r="R15" s="42">
        <f t="shared" si="12"/>
        <v>30.118582056892784</v>
      </c>
      <c r="S15" s="43">
        <f t="shared" si="13"/>
        <v>0.3</v>
      </c>
      <c r="T15" s="40">
        <f t="shared" si="14"/>
        <v>140.5533829321663</v>
      </c>
      <c r="U15" s="40">
        <f t="shared" si="15"/>
        <v>90.355746170678344</v>
      </c>
      <c r="V15" s="41">
        <f t="shared" si="16"/>
        <v>22.588936542669586</v>
      </c>
      <c r="W15" s="42">
        <f t="shared" si="17"/>
        <v>22.588936542669586</v>
      </c>
      <c r="X15" s="43">
        <f t="shared" si="18"/>
        <v>0.25</v>
      </c>
      <c r="Y15" s="40">
        <f t="shared" si="19"/>
        <v>126.49804463894968</v>
      </c>
      <c r="Z15" s="40">
        <f t="shared" si="20"/>
        <v>82.141587427889391</v>
      </c>
      <c r="AA15" s="41">
        <f t="shared" si="21"/>
        <v>20.535396856972348</v>
      </c>
      <c r="AB15" s="42">
        <f t="shared" si="22"/>
        <v>16.428317485577871</v>
      </c>
      <c r="AC15" s="43">
        <f t="shared" si="23"/>
        <v>0.1999999999999999</v>
      </c>
      <c r="AD15" s="40">
        <f t="shared" si="24"/>
        <v>114.99822239904513</v>
      </c>
      <c r="AE15" s="40">
        <f t="shared" si="25"/>
        <v>75.296455142231963</v>
      </c>
      <c r="AF15" s="41">
        <f t="shared" si="26"/>
        <v>18.824113785557991</v>
      </c>
      <c r="AG15" s="42">
        <f t="shared" si="27"/>
        <v>11.2944682713348</v>
      </c>
      <c r="AH15" s="43">
        <f t="shared" si="28"/>
        <v>0.15000000000000008</v>
      </c>
      <c r="AI15" s="40">
        <f t="shared" si="29"/>
        <v>105.41503719912474</v>
      </c>
    </row>
    <row r="16" spans="1:35" ht="43.5" customHeight="1" x14ac:dyDescent="0.3">
      <c r="A16" s="7">
        <v>6</v>
      </c>
      <c r="B16" s="7" t="s">
        <v>43</v>
      </c>
      <c r="C16" s="7" t="s">
        <v>49</v>
      </c>
      <c r="D16" s="7">
        <v>113</v>
      </c>
      <c r="E16" s="24">
        <v>0.88238033369803059</v>
      </c>
      <c r="F16" s="8">
        <f t="shared" si="0"/>
        <v>45.177873085339172</v>
      </c>
      <c r="G16" s="9">
        <f t="shared" si="1"/>
        <v>112.94468271334793</v>
      </c>
      <c r="H16" s="10">
        <f t="shared" si="2"/>
        <v>28.236170678336983</v>
      </c>
      <c r="I16" s="11">
        <f t="shared" si="3"/>
        <v>39.530638949671776</v>
      </c>
      <c r="J16" s="12">
        <f t="shared" si="4"/>
        <v>0.35</v>
      </c>
      <c r="K16" s="13">
        <f t="shared" si="5"/>
        <v>158.1225557986871</v>
      </c>
      <c r="L16" s="14">
        <f t="shared" si="6"/>
        <v>60.23716411378556</v>
      </c>
      <c r="M16" s="14">
        <f t="shared" si="7"/>
        <v>84.332029759299786</v>
      </c>
      <c r="N16" s="15">
        <f t="shared" si="8"/>
        <v>67.766809628008758</v>
      </c>
      <c r="O16" s="16">
        <f t="shared" si="9"/>
        <v>39.530638949671776</v>
      </c>
      <c r="P16" s="40">
        <f t="shared" si="10"/>
        <v>100.39527352297594</v>
      </c>
      <c r="Q16" s="41">
        <f t="shared" si="11"/>
        <v>25.098818380743985</v>
      </c>
      <c r="R16" s="42">
        <f t="shared" si="12"/>
        <v>30.118582056892784</v>
      </c>
      <c r="S16" s="43">
        <f t="shared" si="13"/>
        <v>0.3</v>
      </c>
      <c r="T16" s="40">
        <f t="shared" si="14"/>
        <v>140.5533829321663</v>
      </c>
      <c r="U16" s="40">
        <f t="shared" si="15"/>
        <v>90.355746170678344</v>
      </c>
      <c r="V16" s="41">
        <f t="shared" si="16"/>
        <v>22.588936542669586</v>
      </c>
      <c r="W16" s="42">
        <f t="shared" si="17"/>
        <v>22.588936542669586</v>
      </c>
      <c r="X16" s="43">
        <f t="shared" si="18"/>
        <v>0.25</v>
      </c>
      <c r="Y16" s="40">
        <f t="shared" si="19"/>
        <v>126.49804463894968</v>
      </c>
      <c r="Z16" s="40">
        <f t="shared" si="20"/>
        <v>82.141587427889391</v>
      </c>
      <c r="AA16" s="41">
        <f t="shared" si="21"/>
        <v>20.535396856972348</v>
      </c>
      <c r="AB16" s="42">
        <f t="shared" si="22"/>
        <v>16.428317485577871</v>
      </c>
      <c r="AC16" s="43">
        <f t="shared" si="23"/>
        <v>0.1999999999999999</v>
      </c>
      <c r="AD16" s="40">
        <f t="shared" si="24"/>
        <v>114.99822239904513</v>
      </c>
      <c r="AE16" s="40">
        <f t="shared" si="25"/>
        <v>75.296455142231963</v>
      </c>
      <c r="AF16" s="41">
        <f t="shared" si="26"/>
        <v>18.824113785557991</v>
      </c>
      <c r="AG16" s="42">
        <f t="shared" si="27"/>
        <v>11.2944682713348</v>
      </c>
      <c r="AH16" s="43">
        <f t="shared" si="28"/>
        <v>0.15000000000000008</v>
      </c>
      <c r="AI16" s="40">
        <f t="shared" si="29"/>
        <v>105.41503719912474</v>
      </c>
    </row>
    <row r="19" spans="1:11" ht="28.05" customHeight="1" x14ac:dyDescent="0.3">
      <c r="A19" s="26"/>
      <c r="B19" s="88" t="s">
        <v>50</v>
      </c>
      <c r="C19" s="71"/>
      <c r="D19" s="71"/>
      <c r="E19" s="71"/>
      <c r="F19" s="71"/>
      <c r="G19" s="71"/>
      <c r="H19" s="71"/>
      <c r="I19" s="71"/>
      <c r="J19" s="71"/>
      <c r="K19" s="71"/>
    </row>
    <row r="20" spans="1:11" x14ac:dyDescent="0.3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</row>
    <row r="21" spans="1:11" ht="43.95" customHeight="1" x14ac:dyDescent="0.3">
      <c r="A21" s="27" t="s">
        <v>23</v>
      </c>
      <c r="B21" s="70" t="s">
        <v>51</v>
      </c>
      <c r="C21" s="71"/>
      <c r="D21" s="70" t="s">
        <v>52</v>
      </c>
      <c r="E21" s="71"/>
      <c r="F21" s="27" t="str">
        <f>C11</f>
        <v>Gouda Cheese 123 г</v>
      </c>
      <c r="G21" s="27" t="str">
        <f>C12</f>
        <v>Carbonara Spicy 131 г</v>
      </c>
      <c r="H21" s="27" t="str">
        <f>C13</f>
        <v>Vegetable Flavor 113 г</v>
      </c>
      <c r="I21" s="27" t="str">
        <f>C14</f>
        <v>Spicy Flavor 112.5 г</v>
      </c>
      <c r="J21" s="27" t="str">
        <f>C15</f>
        <v>Beef Flavor 113 г</v>
      </c>
      <c r="K21" s="27" t="str">
        <f>C16</f>
        <v>Chicken Flavor 113 г</v>
      </c>
    </row>
    <row r="22" spans="1:11" ht="31.05" customHeight="1" x14ac:dyDescent="0.3">
      <c r="A22" s="28">
        <v>1</v>
      </c>
      <c r="B22" s="64" t="s">
        <v>53</v>
      </c>
      <c r="C22" s="65"/>
      <c r="D22" s="67" t="s">
        <v>54</v>
      </c>
      <c r="E22" s="65"/>
      <c r="F22" s="29">
        <f>E11</f>
        <v>1.018131154266958</v>
      </c>
      <c r="G22" s="29">
        <f>E12</f>
        <v>1.018131154266958</v>
      </c>
      <c r="H22" s="29">
        <f>E13</f>
        <v>0.88238033369803059</v>
      </c>
      <c r="I22" s="29">
        <f>E14</f>
        <v>0.88238033369803059</v>
      </c>
      <c r="J22" s="29">
        <f>E15</f>
        <v>0.88238033369803059</v>
      </c>
      <c r="K22" s="29">
        <f>E16</f>
        <v>0.88238033369803059</v>
      </c>
    </row>
    <row r="23" spans="1:11" ht="31.05" customHeight="1" x14ac:dyDescent="0.3">
      <c r="A23" s="28">
        <v>2</v>
      </c>
      <c r="B23" s="64" t="s">
        <v>4</v>
      </c>
      <c r="C23" s="65"/>
      <c r="D23" s="67" t="s">
        <v>55</v>
      </c>
      <c r="E23" s="65"/>
      <c r="F23" s="30">
        <f t="shared" ref="F23:K23" si="30">$D$3</f>
        <v>51.2</v>
      </c>
      <c r="G23" s="30">
        <f t="shared" si="30"/>
        <v>51.2</v>
      </c>
      <c r="H23" s="30">
        <f t="shared" si="30"/>
        <v>51.2</v>
      </c>
      <c r="I23" s="30">
        <f t="shared" si="30"/>
        <v>51.2</v>
      </c>
      <c r="J23" s="30">
        <f t="shared" si="30"/>
        <v>51.2</v>
      </c>
      <c r="K23" s="30">
        <f t="shared" si="30"/>
        <v>51.2</v>
      </c>
    </row>
    <row r="24" spans="1:11" ht="31.05" customHeight="1" x14ac:dyDescent="0.3">
      <c r="A24" s="28">
        <v>3</v>
      </c>
      <c r="B24" s="64" t="s">
        <v>56</v>
      </c>
      <c r="C24" s="65"/>
      <c r="D24" s="67" t="s">
        <v>57</v>
      </c>
      <c r="E24" s="65"/>
      <c r="F24" s="31">
        <f>F11</f>
        <v>52.128315098468249</v>
      </c>
      <c r="G24" s="31">
        <f>F12</f>
        <v>52.128315098468249</v>
      </c>
      <c r="H24" s="31">
        <f>F13</f>
        <v>45.177873085339172</v>
      </c>
      <c r="I24" s="31">
        <f>F14</f>
        <v>45.177873085339172</v>
      </c>
      <c r="J24" s="31">
        <f>F15</f>
        <v>45.177873085339172</v>
      </c>
      <c r="K24" s="31">
        <f>F16</f>
        <v>45.177873085339172</v>
      </c>
    </row>
    <row r="25" spans="1:11" ht="31.05" customHeight="1" x14ac:dyDescent="0.3">
      <c r="A25" s="28">
        <v>4</v>
      </c>
      <c r="B25" s="64" t="s">
        <v>58</v>
      </c>
      <c r="C25" s="65"/>
      <c r="D25" s="67" t="s">
        <v>59</v>
      </c>
      <c r="E25" s="65"/>
      <c r="F25" s="32">
        <v>1</v>
      </c>
      <c r="G25" s="32">
        <v>1</v>
      </c>
      <c r="H25" s="32">
        <v>1</v>
      </c>
      <c r="I25" s="32">
        <v>1</v>
      </c>
      <c r="J25" s="32">
        <v>1</v>
      </c>
      <c r="K25" s="32">
        <v>1</v>
      </c>
    </row>
    <row r="26" spans="1:11" ht="31.05" customHeight="1" x14ac:dyDescent="0.3">
      <c r="A26" s="28">
        <v>5</v>
      </c>
      <c r="B26" s="64" t="s">
        <v>60</v>
      </c>
      <c r="C26" s="65"/>
      <c r="D26" s="67" t="s">
        <v>61</v>
      </c>
      <c r="E26" s="65"/>
      <c r="F26" s="32">
        <f t="shared" ref="F26:K26" si="31">$D$4</f>
        <v>0.25</v>
      </c>
      <c r="G26" s="32">
        <f t="shared" si="31"/>
        <v>0.25</v>
      </c>
      <c r="H26" s="32">
        <f t="shared" si="31"/>
        <v>0.25</v>
      </c>
      <c r="I26" s="32">
        <f t="shared" si="31"/>
        <v>0.25</v>
      </c>
      <c r="J26" s="32">
        <f t="shared" si="31"/>
        <v>0.25</v>
      </c>
      <c r="K26" s="32">
        <f t="shared" si="31"/>
        <v>0.25</v>
      </c>
    </row>
    <row r="27" spans="1:11" ht="31.05" customHeight="1" x14ac:dyDescent="0.3">
      <c r="A27" s="28">
        <v>6</v>
      </c>
      <c r="B27" s="64" t="s">
        <v>62</v>
      </c>
      <c r="C27" s="65"/>
      <c r="D27" s="67" t="s">
        <v>63</v>
      </c>
      <c r="E27" s="65"/>
      <c r="F27" s="32">
        <f t="shared" ref="F27:K27" si="32">1-$D$4</f>
        <v>0.75</v>
      </c>
      <c r="G27" s="32">
        <f t="shared" si="32"/>
        <v>0.75</v>
      </c>
      <c r="H27" s="32">
        <f t="shared" si="32"/>
        <v>0.75</v>
      </c>
      <c r="I27" s="32">
        <f t="shared" si="32"/>
        <v>0.75</v>
      </c>
      <c r="J27" s="32">
        <f t="shared" si="32"/>
        <v>0.75</v>
      </c>
      <c r="K27" s="32">
        <f t="shared" si="32"/>
        <v>0.75</v>
      </c>
    </row>
    <row r="28" spans="1:11" ht="31.05" customHeight="1" x14ac:dyDescent="0.3">
      <c r="A28" s="28">
        <v>7</v>
      </c>
      <c r="B28" s="64" t="s">
        <v>64</v>
      </c>
      <c r="C28" s="65"/>
      <c r="D28" s="67" t="s">
        <v>65</v>
      </c>
      <c r="E28" s="65"/>
      <c r="F28" s="32">
        <f t="shared" ref="F28:K28" si="33">$D$5</f>
        <v>0.35</v>
      </c>
      <c r="G28" s="32">
        <f t="shared" si="33"/>
        <v>0.35</v>
      </c>
      <c r="H28" s="32">
        <f t="shared" si="33"/>
        <v>0.35</v>
      </c>
      <c r="I28" s="32">
        <f t="shared" si="33"/>
        <v>0.35</v>
      </c>
      <c r="J28" s="32">
        <f t="shared" si="33"/>
        <v>0.35</v>
      </c>
      <c r="K28" s="32">
        <f t="shared" si="33"/>
        <v>0.35</v>
      </c>
    </row>
    <row r="29" spans="1:11" ht="31.05" customHeight="1" x14ac:dyDescent="0.3">
      <c r="A29" s="28">
        <v>8</v>
      </c>
      <c r="B29" s="64" t="s">
        <v>66</v>
      </c>
      <c r="C29" s="65"/>
      <c r="D29" s="67" t="s">
        <v>67</v>
      </c>
      <c r="E29" s="65"/>
      <c r="F29" s="32">
        <f t="shared" ref="F29:K29" si="34">$D$8</f>
        <v>0.4</v>
      </c>
      <c r="G29" s="32">
        <f t="shared" si="34"/>
        <v>0.4</v>
      </c>
      <c r="H29" s="32">
        <f t="shared" si="34"/>
        <v>0.4</v>
      </c>
      <c r="I29" s="32">
        <f t="shared" si="34"/>
        <v>0.4</v>
      </c>
      <c r="J29" s="32">
        <f t="shared" si="34"/>
        <v>0.4</v>
      </c>
      <c r="K29" s="32">
        <f t="shared" si="34"/>
        <v>0.4</v>
      </c>
    </row>
    <row r="30" spans="1:11" ht="31.05" customHeight="1" x14ac:dyDescent="0.3">
      <c r="A30" s="33">
        <v>9</v>
      </c>
      <c r="B30" s="80" t="s">
        <v>68</v>
      </c>
      <c r="C30" s="65"/>
      <c r="D30" s="82" t="s">
        <v>69</v>
      </c>
      <c r="E30" s="65"/>
      <c r="F30" s="34">
        <f>G11</f>
        <v>130.32078774617062</v>
      </c>
      <c r="G30" s="34">
        <f>G12</f>
        <v>130.32078774617062</v>
      </c>
      <c r="H30" s="34">
        <f>G13</f>
        <v>112.94468271334793</v>
      </c>
      <c r="I30" s="34">
        <f>G14</f>
        <v>112.94468271334793</v>
      </c>
      <c r="J30" s="34">
        <f>G15</f>
        <v>112.94468271334793</v>
      </c>
      <c r="K30" s="34">
        <f>G16</f>
        <v>112.94468271334793</v>
      </c>
    </row>
    <row r="31" spans="1:11" ht="31.05" customHeight="1" x14ac:dyDescent="0.3">
      <c r="A31" s="28">
        <v>10</v>
      </c>
      <c r="B31" s="64" t="s">
        <v>70</v>
      </c>
      <c r="C31" s="65"/>
      <c r="D31" s="67" t="s">
        <v>71</v>
      </c>
      <c r="E31" s="65"/>
      <c r="F31" s="31">
        <f>N11</f>
        <v>78.192472647702374</v>
      </c>
      <c r="G31" s="31">
        <f>N12</f>
        <v>78.192472647702374</v>
      </c>
      <c r="H31" s="31">
        <f>N13</f>
        <v>67.766809628008758</v>
      </c>
      <c r="I31" s="31">
        <f>N14</f>
        <v>67.766809628008758</v>
      </c>
      <c r="J31" s="31">
        <f>N15</f>
        <v>67.766809628008758</v>
      </c>
      <c r="K31" s="31">
        <f>N16</f>
        <v>67.766809628008758</v>
      </c>
    </row>
    <row r="32" spans="1:11" ht="31.05" customHeight="1" x14ac:dyDescent="0.3">
      <c r="A32" s="28">
        <v>11</v>
      </c>
      <c r="B32" s="64" t="s">
        <v>72</v>
      </c>
      <c r="C32" s="65"/>
      <c r="D32" s="67" t="s">
        <v>73</v>
      </c>
      <c r="E32" s="65"/>
      <c r="F32" s="31">
        <f>H11</f>
        <v>32.580196936542656</v>
      </c>
      <c r="G32" s="31">
        <f>H12</f>
        <v>32.580196936542656</v>
      </c>
      <c r="H32" s="31">
        <f>H13</f>
        <v>28.236170678336983</v>
      </c>
      <c r="I32" s="31">
        <f>H14</f>
        <v>28.236170678336983</v>
      </c>
      <c r="J32" s="31">
        <f>H15</f>
        <v>28.236170678336983</v>
      </c>
      <c r="K32" s="31">
        <f>H16</f>
        <v>28.236170678336983</v>
      </c>
    </row>
    <row r="33" spans="1:11" ht="31.05" customHeight="1" x14ac:dyDescent="0.3">
      <c r="A33" s="35">
        <v>12</v>
      </c>
      <c r="B33" s="81" t="s">
        <v>74</v>
      </c>
      <c r="C33" s="65"/>
      <c r="D33" s="66" t="s">
        <v>75</v>
      </c>
      <c r="E33" s="65"/>
      <c r="F33" s="36">
        <f>I11</f>
        <v>45.612275711159718</v>
      </c>
      <c r="G33" s="36">
        <f>I12</f>
        <v>45.612275711159718</v>
      </c>
      <c r="H33" s="36">
        <f>I13</f>
        <v>39.530638949671776</v>
      </c>
      <c r="I33" s="36">
        <f>I14</f>
        <v>39.530638949671776</v>
      </c>
      <c r="J33" s="36">
        <f>I15</f>
        <v>39.530638949671776</v>
      </c>
      <c r="K33" s="36">
        <f>I16</f>
        <v>39.530638949671776</v>
      </c>
    </row>
    <row r="34" spans="1:11" ht="31.05" customHeight="1" x14ac:dyDescent="0.3">
      <c r="A34" s="35">
        <v>13</v>
      </c>
      <c r="B34" s="81" t="s">
        <v>76</v>
      </c>
      <c r="C34" s="65"/>
      <c r="D34" s="66" t="s">
        <v>77</v>
      </c>
      <c r="E34" s="65"/>
      <c r="F34" s="37">
        <f>J11</f>
        <v>0.35</v>
      </c>
      <c r="G34" s="37">
        <f>J12</f>
        <v>0.35</v>
      </c>
      <c r="H34" s="37">
        <f>J13</f>
        <v>0.35</v>
      </c>
      <c r="I34" s="37">
        <f>J14</f>
        <v>0.35</v>
      </c>
      <c r="J34" s="37">
        <f>J15</f>
        <v>0.35</v>
      </c>
      <c r="K34" s="37">
        <f>J16</f>
        <v>0.35</v>
      </c>
    </row>
    <row r="35" spans="1:11" ht="31.05" customHeight="1" x14ac:dyDescent="0.3">
      <c r="A35" s="28">
        <v>14</v>
      </c>
      <c r="B35" s="64" t="s">
        <v>78</v>
      </c>
      <c r="C35" s="65"/>
      <c r="D35" s="67" t="s">
        <v>79</v>
      </c>
      <c r="E35" s="65"/>
      <c r="F35" s="32">
        <f t="shared" ref="F35:K35" si="35">$D$6-1</f>
        <v>0.39999999999999991</v>
      </c>
      <c r="G35" s="32">
        <f t="shared" si="35"/>
        <v>0.39999999999999991</v>
      </c>
      <c r="H35" s="32">
        <f t="shared" si="35"/>
        <v>0.39999999999999991</v>
      </c>
      <c r="I35" s="32">
        <f t="shared" si="35"/>
        <v>0.39999999999999991</v>
      </c>
      <c r="J35" s="32">
        <f t="shared" si="35"/>
        <v>0.39999999999999991</v>
      </c>
      <c r="K35" s="32">
        <f t="shared" si="35"/>
        <v>0.39999999999999991</v>
      </c>
    </row>
    <row r="36" spans="1:11" ht="31.05" customHeight="1" x14ac:dyDescent="0.3">
      <c r="A36" s="28">
        <v>15</v>
      </c>
      <c r="B36" s="64" t="s">
        <v>80</v>
      </c>
      <c r="C36" s="65"/>
      <c r="D36" s="67" t="s">
        <v>81</v>
      </c>
      <c r="E36" s="65"/>
      <c r="F36" s="38">
        <f t="shared" ref="F36:K36" si="36">$D$6</f>
        <v>1.4</v>
      </c>
      <c r="G36" s="38">
        <f t="shared" si="36"/>
        <v>1.4</v>
      </c>
      <c r="H36" s="38">
        <f t="shared" si="36"/>
        <v>1.4</v>
      </c>
      <c r="I36" s="38">
        <f t="shared" si="36"/>
        <v>1.4</v>
      </c>
      <c r="J36" s="38">
        <f t="shared" si="36"/>
        <v>1.4</v>
      </c>
      <c r="K36" s="38">
        <f t="shared" si="36"/>
        <v>1.4</v>
      </c>
    </row>
    <row r="37" spans="1:11" ht="31.05" customHeight="1" x14ac:dyDescent="0.3">
      <c r="A37" s="33">
        <v>16</v>
      </c>
      <c r="B37" s="80" t="s">
        <v>82</v>
      </c>
      <c r="C37" s="65"/>
      <c r="D37" s="82" t="s">
        <v>83</v>
      </c>
      <c r="E37" s="65"/>
      <c r="F37" s="34">
        <f>K11</f>
        <v>182.44910284463887</v>
      </c>
      <c r="G37" s="34">
        <f>K12</f>
        <v>182.44910284463887</v>
      </c>
      <c r="H37" s="34">
        <f>K13</f>
        <v>158.1225557986871</v>
      </c>
      <c r="I37" s="34">
        <f>K14</f>
        <v>158.1225557986871</v>
      </c>
      <c r="J37" s="34">
        <f>K15</f>
        <v>158.1225557986871</v>
      </c>
      <c r="K37" s="34">
        <f>K16</f>
        <v>158.1225557986871</v>
      </c>
    </row>
    <row r="38" spans="1:11" ht="31.05" customHeight="1" x14ac:dyDescent="0.3">
      <c r="A38" s="28">
        <v>17</v>
      </c>
      <c r="B38" s="64" t="s">
        <v>84</v>
      </c>
      <c r="C38" s="65"/>
      <c r="D38" s="67" t="s">
        <v>85</v>
      </c>
      <c r="E38" s="65"/>
      <c r="F38" s="31">
        <f>L11</f>
        <v>69.504420131290999</v>
      </c>
      <c r="G38" s="31">
        <f>L12</f>
        <v>69.504420131290999</v>
      </c>
      <c r="H38" s="31">
        <f>L13</f>
        <v>60.23716411378556</v>
      </c>
      <c r="I38" s="31">
        <f>L14</f>
        <v>60.23716411378556</v>
      </c>
      <c r="J38" s="31">
        <f>L15</f>
        <v>60.23716411378556</v>
      </c>
      <c r="K38" s="31">
        <f>L16</f>
        <v>60.23716411378556</v>
      </c>
    </row>
    <row r="39" spans="1:11" ht="31.05" customHeight="1" x14ac:dyDescent="0.3">
      <c r="A39" s="28">
        <v>18</v>
      </c>
      <c r="B39" s="64" t="s">
        <v>86</v>
      </c>
      <c r="C39" s="65"/>
      <c r="D39" s="67" t="s">
        <v>87</v>
      </c>
      <c r="E39" s="65"/>
      <c r="F39" s="31">
        <f>M11</f>
        <v>97.306188183807393</v>
      </c>
      <c r="G39" s="31">
        <f>M12</f>
        <v>97.306188183807393</v>
      </c>
      <c r="H39" s="31">
        <f>M13</f>
        <v>84.332029759299786</v>
      </c>
      <c r="I39" s="31">
        <f>M14</f>
        <v>84.332029759299786</v>
      </c>
      <c r="J39" s="31">
        <f>M15</f>
        <v>84.332029759299786</v>
      </c>
      <c r="K39" s="31">
        <f>M16</f>
        <v>84.332029759299786</v>
      </c>
    </row>
  </sheetData>
  <mergeCells count="63">
    <mergeCell ref="B1:K1"/>
    <mergeCell ref="D30:E30"/>
    <mergeCell ref="B33:C33"/>
    <mergeCell ref="D24:E24"/>
    <mergeCell ref="D33:E33"/>
    <mergeCell ref="B5:C5"/>
    <mergeCell ref="D29:E29"/>
    <mergeCell ref="D23:E23"/>
    <mergeCell ref="E6:K6"/>
    <mergeCell ref="B32:C32"/>
    <mergeCell ref="B26:C26"/>
    <mergeCell ref="E2:K2"/>
    <mergeCell ref="B19:K19"/>
    <mergeCell ref="B4:C4"/>
    <mergeCell ref="AE9:AI9"/>
    <mergeCell ref="D39:E39"/>
    <mergeCell ref="D25:E25"/>
    <mergeCell ref="N9:O9"/>
    <mergeCell ref="B6:C6"/>
    <mergeCell ref="B30:C30"/>
    <mergeCell ref="B24:C24"/>
    <mergeCell ref="D38:E38"/>
    <mergeCell ref="B36:C36"/>
    <mergeCell ref="B35:C35"/>
    <mergeCell ref="B37:C37"/>
    <mergeCell ref="B34:C34"/>
    <mergeCell ref="B28:C28"/>
    <mergeCell ref="D37:E37"/>
    <mergeCell ref="E4:K4"/>
    <mergeCell ref="D28:E28"/>
    <mergeCell ref="B39:C39"/>
    <mergeCell ref="B21:C21"/>
    <mergeCell ref="B2:C2"/>
    <mergeCell ref="A9:D9"/>
    <mergeCell ref="G9:J9"/>
    <mergeCell ref="D35:E35"/>
    <mergeCell ref="E3:K3"/>
    <mergeCell ref="D27:E27"/>
    <mergeCell ref="B23:C23"/>
    <mergeCell ref="D32:E32"/>
    <mergeCell ref="D26:E26"/>
    <mergeCell ref="B8:C8"/>
    <mergeCell ref="E9:F9"/>
    <mergeCell ref="E5:K5"/>
    <mergeCell ref="B38:C38"/>
    <mergeCell ref="E8:K8"/>
    <mergeCell ref="D36:E36"/>
    <mergeCell ref="B27:C27"/>
    <mergeCell ref="D31:E31"/>
    <mergeCell ref="P9:T9"/>
    <mergeCell ref="D21:E21"/>
    <mergeCell ref="B29:C29"/>
    <mergeCell ref="L9:M9"/>
    <mergeCell ref="D34:E34"/>
    <mergeCell ref="B22:C22"/>
    <mergeCell ref="D22:E22"/>
    <mergeCell ref="B31:C31"/>
    <mergeCell ref="E7:K7"/>
    <mergeCell ref="U9:Y9"/>
    <mergeCell ref="Z9:AD9"/>
    <mergeCell ref="B7:C7"/>
    <mergeCell ref="B25:C25"/>
    <mergeCell ref="B3:C3"/>
  </mergeCells>
  <conditionalFormatting sqref="E33:K36">
    <cfRule type="expression" dxfId="0" priority="2">
      <formula>$D$2="Збірний 17 м³"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23A5E"/>
    <pageSetUpPr fitToPage="1"/>
  </sheetPr>
  <dimension ref="A1:H22"/>
  <sheetViews>
    <sheetView showGridLines="0" workbookViewId="0">
      <selection activeCell="C6" sqref="C6"/>
    </sheetView>
  </sheetViews>
  <sheetFormatPr defaultRowHeight="14.4" x14ac:dyDescent="0.3"/>
  <cols>
    <col min="1" max="1" width="38" customWidth="1"/>
    <col min="2" max="2" width="17" customWidth="1"/>
    <col min="3" max="3" width="23.88671875" customWidth="1"/>
    <col min="4" max="8" width="17" customWidth="1"/>
    <col min="9" max="9" width="2" customWidth="1"/>
  </cols>
  <sheetData>
    <row r="1" spans="1:8" x14ac:dyDescent="0.3">
      <c r="A1" s="130" t="s">
        <v>91</v>
      </c>
      <c r="B1" s="131"/>
      <c r="C1" s="131"/>
      <c r="D1" s="131"/>
      <c r="E1" s="131"/>
      <c r="F1" s="131"/>
      <c r="G1" s="131"/>
      <c r="H1" s="131"/>
    </row>
    <row r="2" spans="1:8" ht="26.4" x14ac:dyDescent="0.3">
      <c r="A2" s="125" t="s">
        <v>92</v>
      </c>
      <c r="B2" s="126">
        <f>B20</f>
        <v>0.32</v>
      </c>
      <c r="C2" s="118"/>
      <c r="D2" s="127" t="str">
        <f>"сейчас €"&amp;B5&amp;" (4 SKU) / €"&amp;B7&amp;" (2 SKU)"</f>
        <v>сейчас €0,65 (4 SKU) / €0,75 (2 SKU)</v>
      </c>
      <c r="E2" s="123"/>
      <c r="F2" s="128" t="str">
        <f>"снижение −"&amp;ROUND((1-B20/B5)*100,0)&amp;" % / −"&amp;ROUND((1-B20/B7)*100,0)&amp;" %"</f>
        <v>снижение −51 % / −57 %</v>
      </c>
      <c r="G2" s="123"/>
      <c r="H2" s="129" t="s">
        <v>93</v>
      </c>
    </row>
    <row r="3" spans="1:8" ht="36" x14ac:dyDescent="0.3">
      <c r="A3" s="99" t="s">
        <v>94</v>
      </c>
      <c r="B3" s="99" t="s">
        <v>95</v>
      </c>
      <c r="C3" s="99" t="s">
        <v>96</v>
      </c>
      <c r="D3" s="99" t="s">
        <v>97</v>
      </c>
      <c r="E3" s="99" t="s">
        <v>98</v>
      </c>
      <c r="F3" s="99" t="s">
        <v>99</v>
      </c>
      <c r="G3" s="99" t="s">
        <v>100</v>
      </c>
      <c r="H3" s="99" t="s">
        <v>101</v>
      </c>
    </row>
    <row r="4" spans="1:8" ht="25.95" customHeight="1" x14ac:dyDescent="0.3">
      <c r="A4" s="100" t="s">
        <v>102</v>
      </c>
      <c r="B4" s="101">
        <f>B5*F14</f>
        <v>33.28</v>
      </c>
      <c r="C4" s="101">
        <f>C5*F14</f>
        <v>58.063199999999995</v>
      </c>
      <c r="D4" s="101">
        <f>C4/(1-D14-C14)</f>
        <v>129.02933333333331</v>
      </c>
      <c r="E4" s="102">
        <f>D4*D14</f>
        <v>32.257333333333328</v>
      </c>
      <c r="F4" s="102">
        <f>D4-C4-E4</f>
        <v>38.708799999999989</v>
      </c>
      <c r="G4" s="102">
        <f>D4*(E14-1)</f>
        <v>51.611733333333312</v>
      </c>
      <c r="H4" s="103">
        <f>D4*E14</f>
        <v>180.64106666666663</v>
      </c>
    </row>
    <row r="5" spans="1:8" ht="19.95" customHeight="1" x14ac:dyDescent="0.3">
      <c r="A5" s="104"/>
      <c r="B5" s="105">
        <v>0.65</v>
      </c>
      <c r="C5" s="106">
        <f>'Финмодель 6 паллет'!E13</f>
        <v>1.1340468749999999</v>
      </c>
      <c r="D5" s="107">
        <f>D4/F14</f>
        <v>2.5201041666666661</v>
      </c>
      <c r="E5" s="107">
        <f>E4/F14</f>
        <v>0.63002604166666654</v>
      </c>
      <c r="F5" s="107">
        <f>F4/F14</f>
        <v>0.75603124999999971</v>
      </c>
      <c r="G5" s="107">
        <f>G4/F14</f>
        <v>1.0080416666666663</v>
      </c>
      <c r="H5" s="107">
        <f>H4/F14</f>
        <v>3.5281458333333324</v>
      </c>
    </row>
    <row r="6" spans="1:8" ht="25.95" customHeight="1" x14ac:dyDescent="0.3">
      <c r="A6" s="108" t="s">
        <v>103</v>
      </c>
      <c r="B6" s="109">
        <f>B7*F14</f>
        <v>38.400000000000006</v>
      </c>
      <c r="C6" s="109">
        <f>C7*F14</f>
        <v>66.996000000000009</v>
      </c>
      <c r="D6" s="109">
        <f>C6/(1-D14-C14)</f>
        <v>148.88000000000002</v>
      </c>
      <c r="E6" s="110">
        <f>D6*D14</f>
        <v>37.220000000000006</v>
      </c>
      <c r="F6" s="110">
        <f>D6-C6-E6</f>
        <v>44.664000000000009</v>
      </c>
      <c r="G6" s="110">
        <f>D6*(E14-1)</f>
        <v>59.552</v>
      </c>
      <c r="H6" s="111">
        <f>D6*E14</f>
        <v>208.43200000000002</v>
      </c>
    </row>
    <row r="7" spans="1:8" ht="19.95" customHeight="1" x14ac:dyDescent="0.3">
      <c r="A7" s="112"/>
      <c r="B7" s="105">
        <v>0.75</v>
      </c>
      <c r="C7" s="106">
        <f>'Финмодель 6 паллет'!E11</f>
        <v>1.3085156250000001</v>
      </c>
      <c r="D7" s="113">
        <f>D6/F14</f>
        <v>2.9078125000000004</v>
      </c>
      <c r="E7" s="113">
        <f>E6/F14</f>
        <v>0.72695312500000009</v>
      </c>
      <c r="F7" s="113">
        <f>F6/F14</f>
        <v>0.87234375000000008</v>
      </c>
      <c r="G7" s="113">
        <f>G6/F14</f>
        <v>1.163125</v>
      </c>
      <c r="H7" s="113">
        <f>H6/F14</f>
        <v>4.0709375000000003</v>
      </c>
    </row>
    <row r="8" spans="1:8" ht="25.95" customHeight="1" x14ac:dyDescent="0.3">
      <c r="A8" s="114" t="s">
        <v>104</v>
      </c>
      <c r="B8" s="115">
        <f>B9*F14</f>
        <v>16.384</v>
      </c>
      <c r="C8" s="115">
        <f>B22</f>
        <v>38.159519999999993</v>
      </c>
      <c r="D8" s="115">
        <f>C8/(1-D14-C14)</f>
        <v>84.798933333333324</v>
      </c>
      <c r="E8" s="116">
        <f>D8*D14</f>
        <v>21.199733333333331</v>
      </c>
      <c r="F8" s="116">
        <f>D8-C8-E8</f>
        <v>25.439679999999999</v>
      </c>
      <c r="G8" s="116">
        <f>D8*(E14-1)</f>
        <v>33.919573333333325</v>
      </c>
      <c r="H8" s="117">
        <f>D8*E14</f>
        <v>118.71850666666664</v>
      </c>
    </row>
    <row r="9" spans="1:8" ht="19.95" customHeight="1" x14ac:dyDescent="0.3">
      <c r="A9" s="118"/>
      <c r="B9" s="119">
        <f>B20</f>
        <v>0.32</v>
      </c>
      <c r="C9" s="120">
        <f>C8/F14</f>
        <v>0.74530312499999984</v>
      </c>
      <c r="D9" s="120">
        <f>D8/F14</f>
        <v>1.6562291666666664</v>
      </c>
      <c r="E9" s="120">
        <f>E8/F14</f>
        <v>0.4140572916666666</v>
      </c>
      <c r="F9" s="120">
        <f>F8/F14</f>
        <v>0.49686874999999997</v>
      </c>
      <c r="G9" s="120">
        <f>G8/F14</f>
        <v>0.66249166666666648</v>
      </c>
      <c r="H9" s="120">
        <f>H8/F14</f>
        <v>2.3187208333333329</v>
      </c>
    </row>
    <row r="10" spans="1:8" ht="24" customHeight="1" x14ac:dyDescent="0.3">
      <c r="A10" s="121" t="s">
        <v>105</v>
      </c>
      <c r="B10" s="122">
        <f t="shared" ref="B10:H11" si="0">B8-B4</f>
        <v>-16.896000000000001</v>
      </c>
      <c r="C10" s="122">
        <f t="shared" si="0"/>
        <v>-19.903680000000001</v>
      </c>
      <c r="D10" s="122">
        <f t="shared" si="0"/>
        <v>-44.230399999999989</v>
      </c>
      <c r="E10" s="122">
        <f t="shared" si="0"/>
        <v>-11.057599999999997</v>
      </c>
      <c r="F10" s="122">
        <f t="shared" si="0"/>
        <v>-13.26911999999999</v>
      </c>
      <c r="G10" s="122">
        <f t="shared" si="0"/>
        <v>-17.692159999999987</v>
      </c>
      <c r="H10" s="122">
        <f t="shared" si="0"/>
        <v>-61.92255999999999</v>
      </c>
    </row>
    <row r="11" spans="1:8" ht="18" customHeight="1" x14ac:dyDescent="0.3">
      <c r="A11" s="123"/>
      <c r="B11" s="124">
        <f t="shared" si="0"/>
        <v>-0.33</v>
      </c>
      <c r="C11" s="124">
        <f t="shared" si="0"/>
        <v>-0.38874375000000005</v>
      </c>
      <c r="D11" s="124">
        <f t="shared" si="0"/>
        <v>-0.86387499999999973</v>
      </c>
      <c r="E11" s="124">
        <f t="shared" si="0"/>
        <v>-0.21596874999999993</v>
      </c>
      <c r="F11" s="124">
        <f t="shared" si="0"/>
        <v>-0.25916249999999974</v>
      </c>
      <c r="G11" s="124">
        <f t="shared" si="0"/>
        <v>-0.3455499999999998</v>
      </c>
      <c r="H11" s="124">
        <f t="shared" si="0"/>
        <v>-1.2094249999999995</v>
      </c>
    </row>
    <row r="12" spans="1:8" ht="15" thickBot="1" x14ac:dyDescent="0.35">
      <c r="A12" s="90" t="s">
        <v>106</v>
      </c>
      <c r="B12" s="91"/>
      <c r="C12" s="91"/>
      <c r="D12" s="91"/>
      <c r="E12" s="91"/>
      <c r="F12" s="91"/>
      <c r="G12" s="91"/>
      <c r="H12" s="91"/>
    </row>
    <row r="13" spans="1:8" ht="18" customHeight="1" x14ac:dyDescent="0.3">
      <c r="B13" s="45" t="s">
        <v>107</v>
      </c>
      <c r="C13" s="45" t="s">
        <v>108</v>
      </c>
      <c r="D13" s="45" t="s">
        <v>109</v>
      </c>
      <c r="E13" s="45" t="s">
        <v>110</v>
      </c>
      <c r="F13" s="45" t="s">
        <v>111</v>
      </c>
    </row>
    <row r="14" spans="1:8" ht="22.05" customHeight="1" x14ac:dyDescent="0.3">
      <c r="A14" s="46" t="s">
        <v>112</v>
      </c>
      <c r="B14" s="47">
        <v>120</v>
      </c>
      <c r="C14" s="48">
        <v>0.3</v>
      </c>
      <c r="D14" s="49">
        <f>'Финмодель 6 паллет'!D4</f>
        <v>0.25</v>
      </c>
      <c r="E14" s="50">
        <f>'Финмодель 6 паллет'!D6</f>
        <v>1.4</v>
      </c>
      <c r="F14" s="51">
        <f>'Финмодель 6 паллет'!D3</f>
        <v>51.2</v>
      </c>
    </row>
    <row r="15" spans="1:8" x14ac:dyDescent="0.3">
      <c r="B15" s="45" t="s">
        <v>113</v>
      </c>
      <c r="C15" s="45" t="s">
        <v>114</v>
      </c>
      <c r="D15" s="45" t="s">
        <v>115</v>
      </c>
      <c r="E15" s="45" t="s">
        <v>116</v>
      </c>
      <c r="F15" s="45" t="s">
        <v>117</v>
      </c>
      <c r="G15" s="45" t="s">
        <v>118</v>
      </c>
    </row>
    <row r="16" spans="1:8" x14ac:dyDescent="0.3">
      <c r="B16" s="48">
        <v>0.2</v>
      </c>
      <c r="C16" s="48">
        <v>2.5000000000000001E-2</v>
      </c>
      <c r="D16" s="48">
        <v>0</v>
      </c>
      <c r="E16" s="52">
        <v>2600</v>
      </c>
      <c r="F16" s="52">
        <v>288</v>
      </c>
      <c r="G16" s="52">
        <v>42</v>
      </c>
    </row>
    <row r="17" spans="1:4" ht="20.399999999999999" x14ac:dyDescent="0.3">
      <c r="B17" s="45" t="s">
        <v>119</v>
      </c>
      <c r="C17" s="45" t="s">
        <v>120</v>
      </c>
      <c r="D17" s="45" t="s">
        <v>121</v>
      </c>
    </row>
    <row r="18" spans="1:4" x14ac:dyDescent="0.3">
      <c r="B18" s="53">
        <v>0.7</v>
      </c>
      <c r="C18" s="52">
        <v>6</v>
      </c>
      <c r="D18" s="52">
        <v>1600</v>
      </c>
    </row>
    <row r="20" spans="1:4" x14ac:dyDescent="0.3">
      <c r="A20" s="54" t="s">
        <v>122</v>
      </c>
      <c r="B20" s="55">
        <f>ROUNDDOWN(((B14/E14*(1-D14-C14))/F14/(1+C16)-(E16+F16+G16+E16*B18*(D16+B16*(1+D16)))/(C18*D18))/((1+D16)*(1+B16)),2)</f>
        <v>0.32</v>
      </c>
    </row>
    <row r="21" spans="1:4" x14ac:dyDescent="0.3">
      <c r="A21" s="54" t="s">
        <v>123</v>
      </c>
      <c r="B21" s="56">
        <f>((B14/E14*(1-D14-C14))/F14/(1+C16)-(E16+F16+G16+E16*B18*(D16+B16*(1+D16)))/(C18*D18))/((1+D16)*(1+B16))</f>
        <v>0.32654072299651571</v>
      </c>
    </row>
    <row r="22" spans="1:4" x14ac:dyDescent="0.3">
      <c r="A22" s="54" t="s">
        <v>124</v>
      </c>
      <c r="B22" s="57">
        <f>(B20*F14+(E16+F16+G16)/(C18*D18)*F14+(B20+E16*B18/(C18*D18))*D16*F14+(B20+E16*B18/(C18*D18))*(1+D16)*B16*F14)*(1+C16)</f>
        <v>38.159519999999993</v>
      </c>
    </row>
  </sheetData>
  <mergeCells count="9">
    <mergeCell ref="B2:C2"/>
    <mergeCell ref="A1:H1"/>
    <mergeCell ref="A12:H12"/>
    <mergeCell ref="A4:A5"/>
    <mergeCell ref="A8:A9"/>
    <mergeCell ref="F2:G2"/>
    <mergeCell ref="D2:E2"/>
    <mergeCell ref="A6:A7"/>
    <mergeCell ref="A10:A11"/>
  </mergeCells>
  <pageMargins left="0.75" right="0.75" top="1" bottom="1" header="0.5" footer="0.5"/>
  <pageSetup orientation="landscape"/>
  <ignoredErrors>
    <ignoredError sqref="F5:F7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23A5E"/>
    <pageSetUpPr fitToPage="1"/>
  </sheetPr>
  <dimension ref="A1:H21"/>
  <sheetViews>
    <sheetView showGridLines="0" tabSelected="1" workbookViewId="0">
      <selection activeCell="B8" sqref="B8"/>
    </sheetView>
  </sheetViews>
  <sheetFormatPr defaultRowHeight="14.4" x14ac:dyDescent="0.3"/>
  <cols>
    <col min="1" max="1" width="38" customWidth="1"/>
    <col min="2" max="8" width="17" customWidth="1"/>
    <col min="9" max="9" width="2" customWidth="1"/>
  </cols>
  <sheetData>
    <row r="1" spans="1:8" x14ac:dyDescent="0.3">
      <c r="A1" s="89" t="s">
        <v>125</v>
      </c>
      <c r="B1" s="71"/>
      <c r="C1" s="71"/>
      <c r="D1" s="71"/>
      <c r="E1" s="71"/>
      <c r="F1" s="71"/>
      <c r="G1" s="71"/>
      <c r="H1" s="71"/>
    </row>
    <row r="2" spans="1:8" ht="26.4" x14ac:dyDescent="0.3">
      <c r="A2" s="92" t="s">
        <v>92</v>
      </c>
      <c r="B2" s="93">
        <f>B19</f>
        <v>0.54</v>
      </c>
      <c r="C2" s="94"/>
      <c r="D2" s="95" t="str">
        <f>"сейчас €"&amp;B5&amp;" (4 SKU) / €"&amp;B7&amp;" (2 SKU)"</f>
        <v>сейчас €0,65 (4 SKU) / €0,75 (2 SKU)</v>
      </c>
      <c r="E2" s="96"/>
      <c r="F2" s="97" t="str">
        <f>"снижение −"&amp;ROUND((1-B19/B5)*100,0)&amp;" % / −"&amp;ROUND((1-B19/B7)*100,0)&amp;" %"</f>
        <v>снижение −17 % / −28 %</v>
      </c>
      <c r="G2" s="96"/>
      <c r="H2" s="98" t="s">
        <v>93</v>
      </c>
    </row>
    <row r="3" spans="1:8" ht="54" customHeight="1" x14ac:dyDescent="0.3">
      <c r="A3" s="99" t="s">
        <v>94</v>
      </c>
      <c r="B3" s="99" t="s">
        <v>95</v>
      </c>
      <c r="C3" s="99" t="s">
        <v>96</v>
      </c>
      <c r="D3" s="99" t="s">
        <v>97</v>
      </c>
      <c r="E3" s="99" t="s">
        <v>98</v>
      </c>
      <c r="F3" s="99" t="s">
        <v>99</v>
      </c>
      <c r="G3" s="99" t="s">
        <v>100</v>
      </c>
      <c r="H3" s="99" t="s">
        <v>101</v>
      </c>
    </row>
    <row r="4" spans="1:8" ht="25.95" customHeight="1" x14ac:dyDescent="0.3">
      <c r="A4" s="100" t="s">
        <v>102</v>
      </c>
      <c r="B4" s="101">
        <f>B5*F14</f>
        <v>33.28</v>
      </c>
      <c r="C4" s="101">
        <f>C5*F14</f>
        <v>45.177873085339172</v>
      </c>
      <c r="D4" s="101">
        <f>C4/(1-D14-C14)</f>
        <v>100.39527352297594</v>
      </c>
      <c r="E4" s="102">
        <f>D4*D14</f>
        <v>25.098818380743985</v>
      </c>
      <c r="F4" s="102">
        <f>D4-C4-E4</f>
        <v>30.118582056892784</v>
      </c>
      <c r="G4" s="102">
        <f>D4*(E14-1)</f>
        <v>40.158109409190367</v>
      </c>
      <c r="H4" s="103">
        <f>D4*E14</f>
        <v>140.5533829321663</v>
      </c>
    </row>
    <row r="5" spans="1:8" x14ac:dyDescent="0.3">
      <c r="A5" s="104"/>
      <c r="B5" s="105">
        <v>0.65</v>
      </c>
      <c r="C5" s="106">
        <f>'Финмодель 33 паллет'!E13</f>
        <v>0.88238033369803059</v>
      </c>
      <c r="D5" s="107">
        <f>D4/F14</f>
        <v>1.9608451859956237</v>
      </c>
      <c r="E5" s="107">
        <f>E4/F14</f>
        <v>0.49021129649890594</v>
      </c>
      <c r="F5" s="107">
        <f>F4/F14</f>
        <v>0.5882535557986871</v>
      </c>
      <c r="G5" s="107">
        <f>G4/F14</f>
        <v>0.78433807439824932</v>
      </c>
      <c r="H5" s="107">
        <f>H4/F14</f>
        <v>2.7451832603938731</v>
      </c>
    </row>
    <row r="6" spans="1:8" ht="25.95" customHeight="1" x14ac:dyDescent="0.3">
      <c r="A6" s="108" t="s">
        <v>103</v>
      </c>
      <c r="B6" s="109">
        <f>B7*F14</f>
        <v>38.400000000000006</v>
      </c>
      <c r="C6" s="109">
        <f>C7*F14</f>
        <v>52.128315098468249</v>
      </c>
      <c r="D6" s="109">
        <f>C6/(1-D14-C14)</f>
        <v>115.84070021881833</v>
      </c>
      <c r="E6" s="110">
        <f>D6*D14</f>
        <v>28.960175054704582</v>
      </c>
      <c r="F6" s="110">
        <f>D6-C6-E6</f>
        <v>34.7522100656455</v>
      </c>
      <c r="G6" s="110">
        <f>D6*(E14-1)</f>
        <v>46.336280087527321</v>
      </c>
      <c r="H6" s="111">
        <f>D6*E14</f>
        <v>162.17698030634565</v>
      </c>
    </row>
    <row r="7" spans="1:8" ht="19.95" customHeight="1" x14ac:dyDescent="0.3">
      <c r="A7" s="112"/>
      <c r="B7" s="105">
        <v>0.75</v>
      </c>
      <c r="C7" s="106">
        <f>'Финмодель 33 паллет'!E11</f>
        <v>1.018131154266958</v>
      </c>
      <c r="D7" s="113">
        <f>D6/F14</f>
        <v>2.2625136761487954</v>
      </c>
      <c r="E7" s="113">
        <f>E6/F14</f>
        <v>0.56562841903719885</v>
      </c>
      <c r="F7" s="113">
        <f>F6/F14</f>
        <v>0.67875410284463866</v>
      </c>
      <c r="G7" s="113">
        <f>G6/F14</f>
        <v>0.90500547045951796</v>
      </c>
      <c r="H7" s="113">
        <f>H6/F14</f>
        <v>3.1675191466083135</v>
      </c>
    </row>
    <row r="8" spans="1:8" ht="25.95" customHeight="1" x14ac:dyDescent="0.3">
      <c r="A8" s="114" t="s">
        <v>104</v>
      </c>
      <c r="B8" s="115">
        <f>B9*F14</f>
        <v>27.648000000000003</v>
      </c>
      <c r="C8" s="115">
        <f>B21</f>
        <v>38.527476363636367</v>
      </c>
      <c r="D8" s="115">
        <f>C8/(1-D14-C14)</f>
        <v>85.616614141414146</v>
      </c>
      <c r="E8" s="116">
        <f>D8*D14</f>
        <v>21.404153535353537</v>
      </c>
      <c r="F8" s="116">
        <f>D8-C8-E8</f>
        <v>25.684984242424242</v>
      </c>
      <c r="G8" s="116">
        <f>D8*(E14-1)</f>
        <v>34.246645656565654</v>
      </c>
      <c r="H8" s="117">
        <f>D8*E14</f>
        <v>119.86325979797979</v>
      </c>
    </row>
    <row r="9" spans="1:8" ht="19.95" customHeight="1" x14ac:dyDescent="0.3">
      <c r="A9" s="118"/>
      <c r="B9" s="119">
        <f>B19</f>
        <v>0.54</v>
      </c>
      <c r="C9" s="120">
        <f>C8/F14</f>
        <v>0.7524897727272728</v>
      </c>
      <c r="D9" s="120">
        <f>D8/F14</f>
        <v>1.6721994949494949</v>
      </c>
      <c r="E9" s="120">
        <f>E8/F14</f>
        <v>0.41804987373737373</v>
      </c>
      <c r="F9" s="120">
        <f>F8/F14</f>
        <v>0.50165984848484846</v>
      </c>
      <c r="G9" s="120">
        <f>G8/F14</f>
        <v>0.66887979797979791</v>
      </c>
      <c r="H9" s="120">
        <f>H8/F14</f>
        <v>2.3410792929292925</v>
      </c>
    </row>
    <row r="10" spans="1:8" ht="24" customHeight="1" x14ac:dyDescent="0.3">
      <c r="A10" s="121" t="s">
        <v>105</v>
      </c>
      <c r="B10" s="122">
        <f t="shared" ref="B10:H11" si="0">B8-B4</f>
        <v>-5.6319999999999979</v>
      </c>
      <c r="C10" s="122">
        <f t="shared" si="0"/>
        <v>-6.6503967217028048</v>
      </c>
      <c r="D10" s="122">
        <f t="shared" si="0"/>
        <v>-14.778659381561795</v>
      </c>
      <c r="E10" s="122">
        <f t="shared" si="0"/>
        <v>-3.6946648453904487</v>
      </c>
      <c r="F10" s="122">
        <f t="shared" si="0"/>
        <v>-4.4335978144685413</v>
      </c>
      <c r="G10" s="122">
        <f t="shared" si="0"/>
        <v>-5.9114637526247122</v>
      </c>
      <c r="H10" s="122">
        <f t="shared" si="0"/>
        <v>-20.690123134186507</v>
      </c>
    </row>
    <row r="11" spans="1:8" ht="18" customHeight="1" x14ac:dyDescent="0.3">
      <c r="A11" s="123"/>
      <c r="B11" s="124">
        <f t="shared" si="0"/>
        <v>-0.10999999999999999</v>
      </c>
      <c r="C11" s="124">
        <f t="shared" si="0"/>
        <v>-0.1298905609707578</v>
      </c>
      <c r="D11" s="124">
        <f t="shared" si="0"/>
        <v>-0.28864569104612881</v>
      </c>
      <c r="E11" s="124">
        <f t="shared" si="0"/>
        <v>-7.2161422761532201E-2</v>
      </c>
      <c r="F11" s="124">
        <f t="shared" si="0"/>
        <v>-8.6593707313838642E-2</v>
      </c>
      <c r="G11" s="124">
        <f t="shared" si="0"/>
        <v>-0.11545827641845141</v>
      </c>
      <c r="H11" s="124">
        <f t="shared" si="0"/>
        <v>-0.40410396746458055</v>
      </c>
    </row>
    <row r="12" spans="1:8" ht="15" thickBot="1" x14ac:dyDescent="0.35">
      <c r="A12" s="90" t="s">
        <v>126</v>
      </c>
      <c r="B12" s="91"/>
      <c r="C12" s="91"/>
      <c r="D12" s="91"/>
      <c r="E12" s="91"/>
      <c r="F12" s="91"/>
      <c r="G12" s="91"/>
      <c r="H12" s="91"/>
    </row>
    <row r="13" spans="1:8" ht="18" customHeight="1" x14ac:dyDescent="0.3">
      <c r="B13" s="45" t="s">
        <v>107</v>
      </c>
      <c r="C13" s="45" t="s">
        <v>108</v>
      </c>
      <c r="D13" s="45" t="s">
        <v>109</v>
      </c>
      <c r="E13" s="45" t="s">
        <v>110</v>
      </c>
      <c r="F13" s="45" t="s">
        <v>111</v>
      </c>
    </row>
    <row r="14" spans="1:8" ht="22.05" customHeight="1" x14ac:dyDescent="0.3">
      <c r="A14" s="46" t="s">
        <v>112</v>
      </c>
      <c r="B14" s="47">
        <v>120</v>
      </c>
      <c r="C14" s="48">
        <v>0.3</v>
      </c>
      <c r="D14" s="49">
        <f>'Финмодель 33 паллет'!D4</f>
        <v>0.25</v>
      </c>
      <c r="E14" s="50">
        <f>'Финмодель 33 паллет'!D6</f>
        <v>1.4</v>
      </c>
      <c r="F14" s="51">
        <f>'Финмодель 33 паллет'!D3</f>
        <v>51.2</v>
      </c>
    </row>
    <row r="15" spans="1:8" x14ac:dyDescent="0.3">
      <c r="B15" s="45" t="s">
        <v>113</v>
      </c>
      <c r="C15" s="45" t="s">
        <v>114</v>
      </c>
      <c r="D15" s="45" t="s">
        <v>115</v>
      </c>
      <c r="E15" s="45" t="s">
        <v>116</v>
      </c>
      <c r="F15" s="45" t="s">
        <v>117</v>
      </c>
      <c r="G15" s="45" t="s">
        <v>118</v>
      </c>
    </row>
    <row r="16" spans="1:8" x14ac:dyDescent="0.3">
      <c r="B16" s="48">
        <v>0.2</v>
      </c>
      <c r="C16" s="48">
        <v>2.5000000000000001E-2</v>
      </c>
      <c r="D16" s="48">
        <v>0</v>
      </c>
      <c r="E16" s="52">
        <v>3700</v>
      </c>
      <c r="F16" s="52">
        <v>288</v>
      </c>
      <c r="G16" s="52">
        <v>42</v>
      </c>
    </row>
    <row r="17" spans="1:4" ht="20.399999999999999" x14ac:dyDescent="0.3">
      <c r="B17" s="45" t="s">
        <v>119</v>
      </c>
      <c r="C17" s="45" t="s">
        <v>120</v>
      </c>
      <c r="D17" s="45" t="s">
        <v>121</v>
      </c>
    </row>
    <row r="18" spans="1:4" x14ac:dyDescent="0.3">
      <c r="B18" s="53">
        <v>0.7</v>
      </c>
      <c r="C18" s="52">
        <v>33</v>
      </c>
      <c r="D18" s="52">
        <v>1600</v>
      </c>
    </row>
    <row r="19" spans="1:4" x14ac:dyDescent="0.3">
      <c r="A19" s="54" t="s">
        <v>122</v>
      </c>
      <c r="B19" s="55">
        <f>ROUNDDOWN(((B14/E14*(1-D14-C14))/F14/(1+C16)-(E16+F16+G16+E16*B18*(D16+B16*(1+D16)))/(C18*D18))/((1+D16)*(1+B16)),2)</f>
        <v>0.54</v>
      </c>
    </row>
    <row r="20" spans="1:4" x14ac:dyDescent="0.3">
      <c r="A20" s="54" t="s">
        <v>123</v>
      </c>
      <c r="B20" s="56">
        <f>((B14/E14*(1-D14-C14))/F14/(1+C16)-(E16+F16+G16+E16*B18*(D16+B16*(1+D16)))/(C18*D18))/((1+D16)*(1+B16))</f>
        <v>0.54069791996621264</v>
      </c>
    </row>
    <row r="21" spans="1:4" x14ac:dyDescent="0.3">
      <c r="A21" s="54" t="s">
        <v>124</v>
      </c>
      <c r="B21" s="57">
        <f>(B19*F14+(E16+F16+G16)/(C18*D18)*F14+(B19+E16*B18/(C18*D18))*D16*F14+(B19+E16*B18/(C18*D18))*(1+D16)*B16*F14)*(1+C16)</f>
        <v>38.527476363636367</v>
      </c>
    </row>
  </sheetData>
  <mergeCells count="9">
    <mergeCell ref="B2:C2"/>
    <mergeCell ref="A1:H1"/>
    <mergeCell ref="A12:H12"/>
    <mergeCell ref="A4:A5"/>
    <mergeCell ref="A8:A9"/>
    <mergeCell ref="F2:G2"/>
    <mergeCell ref="D2:E2"/>
    <mergeCell ref="A6:A7"/>
    <mergeCell ref="A10:A11"/>
  </mergeCells>
  <pageMargins left="0.75" right="0.75" top="1" bottom="1" header="0.5" footer="0.5"/>
  <pageSetup orientation="landscape"/>
  <ignoredErrors>
    <ignoredError sqref="F5:F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4</vt:i4>
      </vt:variant>
    </vt:vector>
  </HeadingPairs>
  <TitlesOfParts>
    <vt:vector size="4" baseType="lpstr">
      <vt:lpstr>Финмодель 6 паллет</vt:lpstr>
      <vt:lpstr>Финмодель 33 паллет</vt:lpstr>
      <vt:lpstr>Цена 120 грн — 6 паллет</vt:lpstr>
      <vt:lpstr>Цена 120 грн — 33 паллет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Чаплигін lлля</cp:lastModifiedBy>
  <dcterms:created xsi:type="dcterms:W3CDTF">2026-10-07T10:19:31Z</dcterms:created>
  <dcterms:modified xsi:type="dcterms:W3CDTF">2026-10-07T10:34:59Z</dcterms:modified>
</cp:coreProperties>
</file>