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Model 6 pallets" sheetId="2" state="visible" r:id="rId2"/>
    <sheet xmlns:r="http://schemas.openxmlformats.org/officeDocument/2006/relationships" name="Model 33 pallets" sheetId="3" state="visible" r:id="rId3"/>
    <sheet xmlns:r="http://schemas.openxmlformats.org/officeDocument/2006/relationships" name="Price 120 UAH - 6 pallets" sheetId="4" state="visible" r:id="rId4"/>
    <sheet xmlns:r="http://schemas.openxmlformats.org/officeDocument/2006/relationships" name="Price 120 UAH - 33 pallets" sheetId="5" state="visible" r:id="rId5"/>
    <sheet xmlns:r="http://schemas.openxmlformats.org/officeDocument/2006/relationships"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  <numFmt numFmtId="185" formatCode="0.00;-0.00;&quot;OK&quot;"/>
  </numFmts>
  <fonts count="4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1"/>
    </font>
    <font>
      <name val="Arial"/>
      <b val="1"/>
      <color rgb="FFB03A3A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  <fill>
      <patternFill patternType="solid">
        <fgColor rgb="00FDE8E8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84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0" fillId="28" borderId="30" applyAlignment="1" pivotButton="0" quotePrefix="0" xfId="0">
      <alignment horizontal="center" vertical="center" wrapText="1"/>
    </xf>
    <xf numFmtId="171" fontId="36" fillId="27" borderId="30" applyAlignment="1" pivotButton="0" quotePrefix="0" xfId="0">
      <alignment horizontal="center" vertical="center" wrapText="1"/>
    </xf>
    <xf numFmtId="171" fontId="41" fillId="30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85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6" fontId="22" fillId="23" borderId="1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  <col width="17" customWidth="1" style="71" min="9" max="9"/>
  </cols>
  <sheetData>
    <row r="1" ht="26" customHeight="1" s="71">
      <c r="A1" s="172" t="inlineStr">
        <is>
          <t>INTERNAL — not for SIAS · Landed-cost blocks with the proportional uplift · ₴ per pack</t>
        </is>
      </c>
    </row>
    <row r="2" ht="30" customHeight="1" s="71">
      <c r="A2" s="154" t="inlineStr">
        <is>
          <t>Purchase + delivery + import VAT + financing = real landed cost; the uplift (assumption, cell G14 on the "Price 120 UAH" sheets) is added on top as a separate block.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Real landed cost, ₴</t>
        </is>
      </c>
      <c r="G5" s="161" t="inlineStr">
        <is>
          <t>Uplift (assumption), ₴</t>
        </is>
      </c>
      <c r="H5" s="161" t="inlineStr">
        <is>
          <t>Landed cost with uplift, ₴</t>
        </is>
      </c>
      <c r="I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F6*'Price 120 UAH - 33 pallets'!G14</f>
        <v>9.939132078774618</v>
      </c>
      <c r="H6" s="177">
        <f>F6+G6</f>
        <v>55.11700516411379</v>
      </c>
      <c r="I6" s="178">
        <f>ROUND(H6-'Price 120 UAH - 33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F7*'Price 120 UAH - 33 pallets'!G14</f>
        <v>11.468229321663024</v>
      </c>
      <c r="H7" s="177">
        <f>F7+G7</f>
        <v>63.596544420131316</v>
      </c>
      <c r="I7" s="178">
        <f>ROUND(H7-'Price 120 UAH - 33 pallets'!C6,4)</f>
        <v>0</v>
      </c>
    </row>
    <row r="8" ht="34" customHeight="1" s="71">
      <c r="A8" s="170" t="inlineStr">
        <is>
          <t>AFTER · SIAS request
(all 6 SKUs)</t>
        </is>
      </c>
      <c r="B8" s="179">
        <f>'Price 120 UAH - 33 pallets'!B19*'Price 120 UAH - 33 pallets'!F14</f>
        <v>22.016000000000002</v>
      </c>
      <c r="C8" s="179">
        <f>('Price 120 UAH - 33 pallets'!E16+'Price 120 UAH - 33 pallets'!F16+'Price 120 UAH - 33 pallets'!G16)/('Price 120 UAH - 33 pallets'!C18*'Price 120 UAH - 33 pallets'!D18)*'Price 120 UAH - 33 pallets'!F14</f>
        <v>3.907878787878788</v>
      </c>
      <c r="D8" s="179">
        <f>('Price 120 UAH - 33 pallets'!B19+'Price 120 UAH - 33 pallets'!E16*'Price 120 UAH - 33 pallets'!B18/('Price 120 UAH - 33 pallets'!C18*'Price 120 UAH - 33 pallets'!D18))*(1+'Price 120 UAH - 33 pallets'!D16)*'Price 120 UAH - 33 pallets'!B16*'Price 120 UAH - 33 pallets'!F14</f>
        <v>4.905503030303031</v>
      </c>
      <c r="E8" s="179">
        <f>(B8+C8+D8+('Price 120 UAH - 33 pallets'!B19+'Price 120 UAH - 33 pallets'!E16*'Price 120 UAH - 33 pallets'!B18/('Price 120 UAH - 33 pallets'!C18*'Price 120 UAH - 33 pallets'!D18))*'Price 120 UAH - 33 pallets'!D16*'Price 120 UAH - 33 pallets'!F14)*'Price 120 UAH - 33 pallets'!C16</f>
        <v>0.7707345454545456</v>
      </c>
      <c r="F8" s="175">
        <f>SUM(B8:E8)</f>
        <v>31.600116363636367</v>
      </c>
      <c r="G8" s="176">
        <f>F8*'Price 120 UAH - 33 pallets'!G14</f>
        <v>6.952025600000001</v>
      </c>
      <c r="H8" s="177">
        <f>F8+G8</f>
        <v>38.552141963636366</v>
      </c>
      <c r="I8" s="178">
        <f>ROUND(H8-'Price 120 UAH - 33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Real landed cost, ₴</t>
        </is>
      </c>
      <c r="G11" s="161" t="inlineStr">
        <is>
          <t>Uplift (assumption), ₴</t>
        </is>
      </c>
      <c r="H11" s="161" t="inlineStr">
        <is>
          <t>Landed cost with uplift, ₴</t>
        </is>
      </c>
      <c r="I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F12*'Price 120 UAH - 6 pallets'!G14</f>
        <v>12.773904</v>
      </c>
      <c r="H12" s="177">
        <f>F12+G12</f>
        <v>70.837104</v>
      </c>
      <c r="I12" s="178">
        <f>ROUND(H12-'Price 120 UAH - 6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F13*'Price 120 UAH - 6 pallets'!G14</f>
        <v>14.739120000000002</v>
      </c>
      <c r="H13" s="177">
        <f>F13+G13</f>
        <v>81.73512000000001</v>
      </c>
      <c r="I13" s="178">
        <f>ROUND(H13-'Price 120 UAH - 6 pallets'!C6,4)</f>
        <v>0</v>
      </c>
    </row>
    <row r="14" ht="34" customHeight="1" s="71">
      <c r="A14" s="170" t="inlineStr">
        <is>
          <t>AFTER · SIAS request
(all 6 SKUs)</t>
        </is>
      </c>
      <c r="B14" s="179">
        <f>'Price 120 UAH - 6 pallets'!B20*'Price 120 UAH - 6 pallets'!F14</f>
        <v>10.752</v>
      </c>
      <c r="C14" s="179">
        <f>('Price 120 UAH - 6 pallets'!E16+'Price 120 UAH - 6 pallets'!F16+'Price 120 UAH - 6 pallets'!G16)/('Price 120 UAH - 6 pallets'!C18*'Price 120 UAH - 6 pallets'!D18)*'Price 120 UAH - 6 pallets'!F14</f>
        <v>15.626666666666669</v>
      </c>
      <c r="D14" s="179">
        <f>('Price 120 UAH - 6 pallets'!B20+'Price 120 UAH - 6 pallets'!E16*'Price 120 UAH - 6 pallets'!B18/('Price 120 UAH - 6 pallets'!C18*'Price 120 UAH - 6 pallets'!D18))*(1+'Price 120 UAH - 6 pallets'!D16)*'Price 120 UAH - 6 pallets'!B16*'Price 120 UAH - 6 pallets'!F14</f>
        <v>4.091733333333333</v>
      </c>
      <c r="E14" s="179">
        <f>(B14+C14+D14+('Price 120 UAH - 6 pallets'!B20+'Price 120 UAH - 6 pallets'!E16*'Price 120 UAH - 6 pallets'!B18/('Price 120 UAH - 6 pallets'!C18*'Price 120 UAH - 6 pallets'!D18))*'Price 120 UAH - 6 pallets'!D16*'Price 120 UAH - 6 pallets'!F14)*'Price 120 UAH - 6 pallets'!C16</f>
        <v>0.7617600000000001</v>
      </c>
      <c r="F14" s="175">
        <f>SUM(B14:E14)</f>
        <v>31.23216</v>
      </c>
      <c r="G14" s="176">
        <f>F14*'Price 120 UAH - 6 pallets'!G14</f>
        <v>6.8710752</v>
      </c>
      <c r="H14" s="177">
        <f>F14+G14</f>
        <v>38.1032352</v>
      </c>
      <c r="I14" s="178">
        <f>ROUND(H14-'Price 120 UAH - 6 pallets'!C8,4)</f>
        <v>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0" t="n">
        <v>0.3</v>
      </c>
      <c r="Q9" s="59" t="n"/>
      <c r="R9" s="59" t="n"/>
      <c r="S9" s="59" t="n"/>
      <c r="T9" s="60" t="n"/>
      <c r="U9" s="181" t="n">
        <v>0.25</v>
      </c>
      <c r="V9" s="59" t="n"/>
      <c r="W9" s="59" t="n"/>
      <c r="X9" s="59" t="n"/>
      <c r="Y9" s="60" t="n"/>
      <c r="Z9" s="180" t="n">
        <v>0.2</v>
      </c>
      <c r="AA9" s="59" t="n"/>
      <c r="AB9" s="59" t="n"/>
      <c r="AC9" s="59" t="n"/>
      <c r="AD9" s="60" t="n"/>
      <c r="AE9" s="181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- 6 pallets'!$G$14)</f>
        <v>1.5963890625000001</v>
      </c>
      <c r="F11" s="8">
        <f>IF(AND(ISNUMBER(E11),ISNUMBER($D$8)),E11*$D$3,NA())</f>
        <v>81.73512000000001</v>
      </c>
      <c r="G11" s="9">
        <f>F11/$D$8</f>
        <v>181.63360000000003</v>
      </c>
      <c r="H11" s="10">
        <f>G11*$D$4</f>
        <v>63.571760000000005</v>
      </c>
      <c r="I11" s="11">
        <f>G11-F11-H11</f>
        <v>36.326720000000016</v>
      </c>
      <c r="J11" s="12">
        <f>I11/G11</f>
        <v>0.20000000000000007</v>
      </c>
      <c r="K11" s="13">
        <f>G11*$D$6</f>
        <v>254.28704000000002</v>
      </c>
      <c r="L11" s="14">
        <f>F11/(1-$D$4)</f>
        <v>125.74633846153847</v>
      </c>
      <c r="M11" s="14">
        <f>L11*$D$6</f>
        <v>176.04487384615385</v>
      </c>
      <c r="N11" s="15">
        <f>G11-F11</f>
        <v>99.89848000000002</v>
      </c>
      <c r="O11" s="16">
        <f>N11-H11</f>
        <v>36.326720000000016</v>
      </c>
      <c r="P11" s="40">
        <f>$F11/(1-$D$4-$P$9)</f>
        <v>233.52891428571428</v>
      </c>
      <c r="Q11" s="41">
        <f>P11*$D$4</f>
        <v>81.73512</v>
      </c>
      <c r="R11" s="42">
        <f>P11-$F11-Q11</f>
        <v>70.05867428571429</v>
      </c>
      <c r="S11" s="43">
        <f>R11/P11</f>
        <v>0.30000000000000004</v>
      </c>
      <c r="T11" s="40">
        <f>P11*$D$6</f>
        <v>326.94048</v>
      </c>
      <c r="U11" s="40">
        <f>$F11/(1-$D$4-$U$9)</f>
        <v>204.33780000000002</v>
      </c>
      <c r="V11" s="41">
        <f>U11*$D$4</f>
        <v>71.51823</v>
      </c>
      <c r="W11" s="42">
        <f>U11-$F11-V11</f>
        <v>51.084450000000004</v>
      </c>
      <c r="X11" s="43">
        <f>W11/U11</f>
        <v>0.25</v>
      </c>
      <c r="Y11" s="40">
        <f>U11*$D$6</f>
        <v>286.07292</v>
      </c>
      <c r="Z11" s="40">
        <f>$F11/(1-$D$4-$Z$9)</f>
        <v>181.63360000000003</v>
      </c>
      <c r="AA11" s="41">
        <f>Z11*$D$4</f>
        <v>63.571760000000005</v>
      </c>
      <c r="AB11" s="42">
        <f>Z11-$F11-AA11</f>
        <v>36.326720000000016</v>
      </c>
      <c r="AC11" s="43">
        <f>AB11/Z11</f>
        <v>0.20000000000000007</v>
      </c>
      <c r="AD11" s="40">
        <f>Z11*$D$6</f>
        <v>254.28704000000002</v>
      </c>
      <c r="AE11" s="40">
        <f>$F11/(1-$D$4-$AE$9)</f>
        <v>163.47024000000002</v>
      </c>
      <c r="AF11" s="41">
        <f>AE11*$D$4</f>
        <v>57.214584</v>
      </c>
      <c r="AG11" s="42">
        <f>AE11-$F11-AF11</f>
        <v>24.520536000000007</v>
      </c>
      <c r="AH11" s="43">
        <f>AG11/AE11</f>
        <v>0.15000000000000002</v>
      </c>
      <c r="AI11" s="40">
        <f>AE11*$D$6</f>
        <v>228.858336</v>
      </c>
      <c r="AL11" s="24" t="n">
        <v>1.308515625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- 6 pallets'!$G$14)</f>
        <v>1.5963890625000001</v>
      </c>
      <c r="F12" s="8">
        <f>IF(AND(ISNUMBER(E12),ISNUMBER($D$8)),E12*$D$3,NA())</f>
        <v>81.73512000000001</v>
      </c>
      <c r="G12" s="9">
        <f>F12/$D$8</f>
        <v>181.63360000000003</v>
      </c>
      <c r="H12" s="10">
        <f>G12*$D$4</f>
        <v>63.571760000000005</v>
      </c>
      <c r="I12" s="11">
        <f>G12-F12-H12</f>
        <v>36.326720000000016</v>
      </c>
      <c r="J12" s="12">
        <f>I12/G12</f>
        <v>0.20000000000000007</v>
      </c>
      <c r="K12" s="13">
        <f>G12*$D$6</f>
        <v>254.28704000000002</v>
      </c>
      <c r="L12" s="14">
        <f>F12/(1-$D$4)</f>
        <v>125.74633846153847</v>
      </c>
      <c r="M12" s="14">
        <f>L12*$D$6</f>
        <v>176.04487384615385</v>
      </c>
      <c r="N12" s="15">
        <f>G12-F12</f>
        <v>99.89848000000002</v>
      </c>
      <c r="O12" s="16">
        <f>N12-H12</f>
        <v>36.326720000000016</v>
      </c>
      <c r="P12" s="40">
        <f>$F12/(1-$D$4-$P$9)</f>
        <v>233.52891428571428</v>
      </c>
      <c r="Q12" s="41">
        <f>P12*$D$4</f>
        <v>81.73512</v>
      </c>
      <c r="R12" s="42">
        <f>P12-$F12-Q12</f>
        <v>70.05867428571429</v>
      </c>
      <c r="S12" s="43">
        <f>R12/P12</f>
        <v>0.30000000000000004</v>
      </c>
      <c r="T12" s="40">
        <f>P12*$D$6</f>
        <v>326.94048</v>
      </c>
      <c r="U12" s="40">
        <f>$F12/(1-$D$4-$U$9)</f>
        <v>204.33780000000002</v>
      </c>
      <c r="V12" s="41">
        <f>U12*$D$4</f>
        <v>71.51823</v>
      </c>
      <c r="W12" s="42">
        <f>U12-$F12-V12</f>
        <v>51.084450000000004</v>
      </c>
      <c r="X12" s="43">
        <f>W12/U12</f>
        <v>0.25</v>
      </c>
      <c r="Y12" s="40">
        <f>U12*$D$6</f>
        <v>286.07292</v>
      </c>
      <c r="Z12" s="40">
        <f>$F12/(1-$D$4-$Z$9)</f>
        <v>181.63360000000003</v>
      </c>
      <c r="AA12" s="41">
        <f>Z12*$D$4</f>
        <v>63.571760000000005</v>
      </c>
      <c r="AB12" s="42">
        <f>Z12-$F12-AA12</f>
        <v>36.326720000000016</v>
      </c>
      <c r="AC12" s="43">
        <f>AB12/Z12</f>
        <v>0.20000000000000007</v>
      </c>
      <c r="AD12" s="40">
        <f>Z12*$D$6</f>
        <v>254.28704000000002</v>
      </c>
      <c r="AE12" s="40">
        <f>$F12/(1-$D$4-$AE$9)</f>
        <v>163.47024000000002</v>
      </c>
      <c r="AF12" s="41">
        <f>AE12*$D$4</f>
        <v>57.214584</v>
      </c>
      <c r="AG12" s="42">
        <f>AE12-$F12-AF12</f>
        <v>24.520536000000007</v>
      </c>
      <c r="AH12" s="43">
        <f>AG12/AE12</f>
        <v>0.15000000000000002</v>
      </c>
      <c r="AI12" s="40">
        <f>AE12*$D$6</f>
        <v>228.858336</v>
      </c>
      <c r="AL12" s="24" t="n">
        <v>1.308515625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- 6 pallets'!$G$14)</f>
        <v>1.3835371874999998</v>
      </c>
      <c r="F13" s="8">
        <f>IF(AND(ISNUMBER(E13),ISNUMBER($D$8)),E13*$D$3,NA())</f>
        <v>70.837104</v>
      </c>
      <c r="G13" s="9">
        <f>F13/$D$8</f>
        <v>157.41578666666666</v>
      </c>
      <c r="H13" s="10">
        <f>G13*$D$4</f>
        <v>55.09552533333333</v>
      </c>
      <c r="I13" s="11">
        <f>G13-F13-H13</f>
        <v>31.483157333333338</v>
      </c>
      <c r="J13" s="12">
        <f>I13/G13</f>
        <v>0.20000000000000004</v>
      </c>
      <c r="K13" s="13">
        <f>G13*$D$6</f>
        <v>220.3821013333333</v>
      </c>
      <c r="L13" s="14">
        <f>F13/(1-$D$4)</f>
        <v>108.98016</v>
      </c>
      <c r="M13" s="14">
        <f>L13*$D$6</f>
        <v>152.57222399999998</v>
      </c>
      <c r="N13" s="15">
        <f>G13-F13</f>
        <v>86.57868266666667</v>
      </c>
      <c r="O13" s="16">
        <f>N13-H13</f>
        <v>31.483157333333338</v>
      </c>
      <c r="P13" s="40">
        <f>$F13/(1-$D$4-$P$9)</f>
        <v>202.39172571428568</v>
      </c>
      <c r="Q13" s="41">
        <f>P13*$D$4</f>
        <v>70.83710399999998</v>
      </c>
      <c r="R13" s="42">
        <f>P13-$F13-Q13</f>
        <v>60.71751771428572</v>
      </c>
      <c r="S13" s="43">
        <f>R13/P13</f>
        <v>0.30000000000000004</v>
      </c>
      <c r="T13" s="40">
        <f>P13*$D$6</f>
        <v>283.34841599999993</v>
      </c>
      <c r="U13" s="40">
        <f>$F13/(1-$D$4-$U$9)</f>
        <v>177.09275999999997</v>
      </c>
      <c r="V13" s="41">
        <f>U13*$D$4</f>
        <v>61.98246599999999</v>
      </c>
      <c r="W13" s="42">
        <f>U13-$F13-V13</f>
        <v>44.273189999999985</v>
      </c>
      <c r="X13" s="43">
        <f>W13/U13</f>
        <v>0.24999999999999997</v>
      </c>
      <c r="Y13" s="40">
        <f>U13*$D$6</f>
        <v>247.92986399999995</v>
      </c>
      <c r="Z13" s="40">
        <f>$F13/(1-$D$4-$Z$9)</f>
        <v>157.41578666666666</v>
      </c>
      <c r="AA13" s="41">
        <f>Z13*$D$4</f>
        <v>55.09552533333333</v>
      </c>
      <c r="AB13" s="42">
        <f>Z13-$F13-AA13</f>
        <v>31.483157333333338</v>
      </c>
      <c r="AC13" s="43">
        <f>AB13/Z13</f>
        <v>0.20000000000000004</v>
      </c>
      <c r="AD13" s="40">
        <f>Z13*$D$6</f>
        <v>220.3821013333333</v>
      </c>
      <c r="AE13" s="40">
        <f>$F13/(1-$D$4-$AE$9)</f>
        <v>141.674208</v>
      </c>
      <c r="AF13" s="41">
        <f>AE13*$D$4</f>
        <v>49.58597279999999</v>
      </c>
      <c r="AG13" s="42">
        <f>AE13-$F13-AF13</f>
        <v>21.251131200000003</v>
      </c>
      <c r="AH13" s="43">
        <f>AG13/AE13</f>
        <v>0.15000000000000002</v>
      </c>
      <c r="AI13" s="40">
        <f>AE13*$D$6</f>
        <v>198.34389119999997</v>
      </c>
      <c r="AL13" s="24" t="n">
        <v>1.134046875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- 6 pallets'!$G$14)</f>
        <v>1.3835371874999998</v>
      </c>
      <c r="F14" s="8">
        <f>IF(AND(ISNUMBER(E14),ISNUMBER($D$8)),E14*$D$3,NA())</f>
        <v>70.837104</v>
      </c>
      <c r="G14" s="9">
        <f>F14/$D$8</f>
        <v>157.41578666666666</v>
      </c>
      <c r="H14" s="10">
        <f>G14*$D$4</f>
        <v>55.09552533333333</v>
      </c>
      <c r="I14" s="11">
        <f>G14-F14-H14</f>
        <v>31.483157333333338</v>
      </c>
      <c r="J14" s="12">
        <f>I14/G14</f>
        <v>0.20000000000000004</v>
      </c>
      <c r="K14" s="13">
        <f>G14*$D$6</f>
        <v>220.3821013333333</v>
      </c>
      <c r="L14" s="14">
        <f>F14/(1-$D$4)</f>
        <v>108.98016</v>
      </c>
      <c r="M14" s="14">
        <f>L14*$D$6</f>
        <v>152.57222399999998</v>
      </c>
      <c r="N14" s="15">
        <f>G14-F14</f>
        <v>86.57868266666667</v>
      </c>
      <c r="O14" s="16">
        <f>N14-H14</f>
        <v>31.483157333333338</v>
      </c>
      <c r="P14" s="40">
        <f>$F14/(1-$D$4-$P$9)</f>
        <v>202.39172571428568</v>
      </c>
      <c r="Q14" s="41">
        <f>P14*$D$4</f>
        <v>70.83710399999998</v>
      </c>
      <c r="R14" s="42">
        <f>P14-$F14-Q14</f>
        <v>60.71751771428572</v>
      </c>
      <c r="S14" s="43">
        <f>R14/P14</f>
        <v>0.30000000000000004</v>
      </c>
      <c r="T14" s="40">
        <f>P14*$D$6</f>
        <v>283.34841599999993</v>
      </c>
      <c r="U14" s="40">
        <f>$F14/(1-$D$4-$U$9)</f>
        <v>177.09275999999997</v>
      </c>
      <c r="V14" s="41">
        <f>U14*$D$4</f>
        <v>61.98246599999999</v>
      </c>
      <c r="W14" s="42">
        <f>U14-$F14-V14</f>
        <v>44.273189999999985</v>
      </c>
      <c r="X14" s="43">
        <f>W14/U14</f>
        <v>0.24999999999999997</v>
      </c>
      <c r="Y14" s="40">
        <f>U14*$D$6</f>
        <v>247.92986399999995</v>
      </c>
      <c r="Z14" s="40">
        <f>$F14/(1-$D$4-$Z$9)</f>
        <v>157.41578666666666</v>
      </c>
      <c r="AA14" s="41">
        <f>Z14*$D$4</f>
        <v>55.09552533333333</v>
      </c>
      <c r="AB14" s="42">
        <f>Z14-$F14-AA14</f>
        <v>31.483157333333338</v>
      </c>
      <c r="AC14" s="43">
        <f>AB14/Z14</f>
        <v>0.20000000000000004</v>
      </c>
      <c r="AD14" s="40">
        <f>Z14*$D$6</f>
        <v>220.3821013333333</v>
      </c>
      <c r="AE14" s="40">
        <f>$F14/(1-$D$4-$AE$9)</f>
        <v>141.674208</v>
      </c>
      <c r="AF14" s="41">
        <f>AE14*$D$4</f>
        <v>49.58597279999999</v>
      </c>
      <c r="AG14" s="42">
        <f>AE14-$F14-AF14</f>
        <v>21.251131200000003</v>
      </c>
      <c r="AH14" s="43">
        <f>AG14/AE14</f>
        <v>0.15000000000000002</v>
      </c>
      <c r="AI14" s="40">
        <f>AE14*$D$6</f>
        <v>198.34389119999997</v>
      </c>
      <c r="AL14" s="24" t="n">
        <v>1.134046875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- 6 pallets'!$G$14)</f>
        <v>1.3835371874999998</v>
      </c>
      <c r="F15" s="8">
        <f>IF(AND(ISNUMBER(E15),ISNUMBER($D$8)),E15*$D$3,NA())</f>
        <v>70.837104</v>
      </c>
      <c r="G15" s="9">
        <f>F15/$D$8</f>
        <v>157.41578666666666</v>
      </c>
      <c r="H15" s="10">
        <f>G15*$D$4</f>
        <v>55.09552533333333</v>
      </c>
      <c r="I15" s="11">
        <f>G15-F15-H15</f>
        <v>31.483157333333338</v>
      </c>
      <c r="J15" s="12">
        <f>I15/G15</f>
        <v>0.20000000000000004</v>
      </c>
      <c r="K15" s="13">
        <f>G15*$D$6</f>
        <v>220.3821013333333</v>
      </c>
      <c r="L15" s="14">
        <f>F15/(1-$D$4)</f>
        <v>108.98016</v>
      </c>
      <c r="M15" s="14">
        <f>L15*$D$6</f>
        <v>152.57222399999998</v>
      </c>
      <c r="N15" s="15">
        <f>G15-F15</f>
        <v>86.57868266666667</v>
      </c>
      <c r="O15" s="16">
        <f>N15-H15</f>
        <v>31.483157333333338</v>
      </c>
      <c r="P15" s="40">
        <f>$F15/(1-$D$4-$P$9)</f>
        <v>202.39172571428568</v>
      </c>
      <c r="Q15" s="41">
        <f>P15*$D$4</f>
        <v>70.83710399999998</v>
      </c>
      <c r="R15" s="42">
        <f>P15-$F15-Q15</f>
        <v>60.71751771428572</v>
      </c>
      <c r="S15" s="43">
        <f>R15/P15</f>
        <v>0.30000000000000004</v>
      </c>
      <c r="T15" s="40">
        <f>P15*$D$6</f>
        <v>283.34841599999993</v>
      </c>
      <c r="U15" s="40">
        <f>$F15/(1-$D$4-$U$9)</f>
        <v>177.09275999999997</v>
      </c>
      <c r="V15" s="41">
        <f>U15*$D$4</f>
        <v>61.98246599999999</v>
      </c>
      <c r="W15" s="42">
        <f>U15-$F15-V15</f>
        <v>44.273189999999985</v>
      </c>
      <c r="X15" s="43">
        <f>W15/U15</f>
        <v>0.24999999999999997</v>
      </c>
      <c r="Y15" s="40">
        <f>U15*$D$6</f>
        <v>247.92986399999995</v>
      </c>
      <c r="Z15" s="40">
        <f>$F15/(1-$D$4-$Z$9)</f>
        <v>157.41578666666666</v>
      </c>
      <c r="AA15" s="41">
        <f>Z15*$D$4</f>
        <v>55.09552533333333</v>
      </c>
      <c r="AB15" s="42">
        <f>Z15-$F15-AA15</f>
        <v>31.483157333333338</v>
      </c>
      <c r="AC15" s="43">
        <f>AB15/Z15</f>
        <v>0.20000000000000004</v>
      </c>
      <c r="AD15" s="40">
        <f>Z15*$D$6</f>
        <v>220.3821013333333</v>
      </c>
      <c r="AE15" s="40">
        <f>$F15/(1-$D$4-$AE$9)</f>
        <v>141.674208</v>
      </c>
      <c r="AF15" s="41">
        <f>AE15*$D$4</f>
        <v>49.58597279999999</v>
      </c>
      <c r="AG15" s="42">
        <f>AE15-$F15-AF15</f>
        <v>21.251131200000003</v>
      </c>
      <c r="AH15" s="43">
        <f>AG15/AE15</f>
        <v>0.15000000000000002</v>
      </c>
      <c r="AI15" s="40">
        <f>AE15*$D$6</f>
        <v>198.34389119999997</v>
      </c>
      <c r="AL15" s="24" t="n">
        <v>1.134046875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- 6 pallets'!$G$14)</f>
        <v>1.3835371874999998</v>
      </c>
      <c r="F16" s="8">
        <f>IF(AND(ISNUMBER(E16),ISNUMBER($D$8)),E16*$D$3,NA())</f>
        <v>70.837104</v>
      </c>
      <c r="G16" s="9">
        <f>F16/$D$8</f>
        <v>157.41578666666666</v>
      </c>
      <c r="H16" s="10">
        <f>G16*$D$4</f>
        <v>55.09552533333333</v>
      </c>
      <c r="I16" s="11">
        <f>G16-F16-H16</f>
        <v>31.483157333333338</v>
      </c>
      <c r="J16" s="12">
        <f>I16/G16</f>
        <v>0.20000000000000004</v>
      </c>
      <c r="K16" s="13">
        <f>G16*$D$6</f>
        <v>220.3821013333333</v>
      </c>
      <c r="L16" s="14">
        <f>F16/(1-$D$4)</f>
        <v>108.98016</v>
      </c>
      <c r="M16" s="14">
        <f>L16*$D$6</f>
        <v>152.57222399999998</v>
      </c>
      <c r="N16" s="15">
        <f>G16-F16</f>
        <v>86.57868266666667</v>
      </c>
      <c r="O16" s="16">
        <f>N16-H16</f>
        <v>31.483157333333338</v>
      </c>
      <c r="P16" s="40">
        <f>$F16/(1-$D$4-$P$9)</f>
        <v>202.39172571428568</v>
      </c>
      <c r="Q16" s="41">
        <f>P16*$D$4</f>
        <v>70.83710399999998</v>
      </c>
      <c r="R16" s="42">
        <f>P16-$F16-Q16</f>
        <v>60.71751771428572</v>
      </c>
      <c r="S16" s="43">
        <f>R16/P16</f>
        <v>0.30000000000000004</v>
      </c>
      <c r="T16" s="40">
        <f>P16*$D$6</f>
        <v>283.34841599999993</v>
      </c>
      <c r="U16" s="40">
        <f>$F16/(1-$D$4-$U$9)</f>
        <v>177.09275999999997</v>
      </c>
      <c r="V16" s="41">
        <f>U16*$D$4</f>
        <v>61.98246599999999</v>
      </c>
      <c r="W16" s="42">
        <f>U16-$F16-V16</f>
        <v>44.273189999999985</v>
      </c>
      <c r="X16" s="43">
        <f>W16/U16</f>
        <v>0.24999999999999997</v>
      </c>
      <c r="Y16" s="40">
        <f>U16*$D$6</f>
        <v>247.92986399999995</v>
      </c>
      <c r="Z16" s="40">
        <f>$F16/(1-$D$4-$Z$9)</f>
        <v>157.41578666666666</v>
      </c>
      <c r="AA16" s="41">
        <f>Z16*$D$4</f>
        <v>55.09552533333333</v>
      </c>
      <c r="AB16" s="42">
        <f>Z16-$F16-AA16</f>
        <v>31.483157333333338</v>
      </c>
      <c r="AC16" s="43">
        <f>AB16/Z16</f>
        <v>0.20000000000000004</v>
      </c>
      <c r="AD16" s="40">
        <f>Z16*$D$6</f>
        <v>220.3821013333333</v>
      </c>
      <c r="AE16" s="40">
        <f>$F16/(1-$D$4-$AE$9)</f>
        <v>141.674208</v>
      </c>
      <c r="AF16" s="41">
        <f>AE16*$D$4</f>
        <v>49.58597279999999</v>
      </c>
      <c r="AG16" s="42">
        <f>AE16-$F16-AF16</f>
        <v>21.251131200000003</v>
      </c>
      <c r="AH16" s="43">
        <f>AG16/AE16</f>
        <v>0.15000000000000002</v>
      </c>
      <c r="AI16" s="40">
        <f>AE16*$D$6</f>
        <v>198.34389119999997</v>
      </c>
      <c r="AL16" s="24" t="n">
        <v>1.134046875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1.5963890625000001</v>
      </c>
      <c r="G22" s="29">
        <f>E12</f>
        <v>1.5963890625000001</v>
      </c>
      <c r="H22" s="29">
        <f>E13</f>
        <v>1.3835371874999998</v>
      </c>
      <c r="I22" s="29">
        <f>E14</f>
        <v>1.3835371874999998</v>
      </c>
      <c r="J22" s="29">
        <f>E15</f>
        <v>1.3835371874999998</v>
      </c>
      <c r="K22" s="29">
        <f>E16</f>
        <v>1.3835371874999998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81.73512000000001</v>
      </c>
      <c r="G24" s="31">
        <f>F12</f>
        <v>81.73512000000001</v>
      </c>
      <c r="H24" s="31">
        <f>F13</f>
        <v>70.837104</v>
      </c>
      <c r="I24" s="31">
        <f>F14</f>
        <v>70.837104</v>
      </c>
      <c r="J24" s="31">
        <f>F15</f>
        <v>70.837104</v>
      </c>
      <c r="K24" s="31">
        <f>F16</f>
        <v>70.837104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181.63360000000003</v>
      </c>
      <c r="G30" s="34">
        <f>G12</f>
        <v>181.63360000000003</v>
      </c>
      <c r="H30" s="34">
        <f>G13</f>
        <v>157.41578666666666</v>
      </c>
      <c r="I30" s="34">
        <f>G14</f>
        <v>157.41578666666666</v>
      </c>
      <c r="J30" s="34">
        <f>G15</f>
        <v>157.41578666666666</v>
      </c>
      <c r="K30" s="34">
        <f>G16</f>
        <v>157.41578666666666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99.89848000000002</v>
      </c>
      <c r="G31" s="31">
        <f>N12</f>
        <v>99.89848000000002</v>
      </c>
      <c r="H31" s="31">
        <f>N13</f>
        <v>86.57868266666667</v>
      </c>
      <c r="I31" s="31">
        <f>N14</f>
        <v>86.57868266666667</v>
      </c>
      <c r="J31" s="31">
        <f>N15</f>
        <v>86.57868266666667</v>
      </c>
      <c r="K31" s="31">
        <f>N16</f>
        <v>86.57868266666667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63.571760000000005</v>
      </c>
      <c r="G32" s="31">
        <f>H12</f>
        <v>63.571760000000005</v>
      </c>
      <c r="H32" s="31">
        <f>H13</f>
        <v>55.09552533333333</v>
      </c>
      <c r="I32" s="31">
        <f>H14</f>
        <v>55.09552533333333</v>
      </c>
      <c r="J32" s="31">
        <f>H15</f>
        <v>55.09552533333333</v>
      </c>
      <c r="K32" s="31">
        <f>H16</f>
        <v>55.09552533333333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36.326720000000016</v>
      </c>
      <c r="G33" s="36">
        <f>I12</f>
        <v>36.326720000000016</v>
      </c>
      <c r="H33" s="36">
        <f>I13</f>
        <v>31.483157333333338</v>
      </c>
      <c r="I33" s="36">
        <f>I14</f>
        <v>31.483157333333338</v>
      </c>
      <c r="J33" s="36">
        <f>I15</f>
        <v>31.483157333333338</v>
      </c>
      <c r="K33" s="36">
        <f>I16</f>
        <v>31.483157333333338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0.20000000000000007</v>
      </c>
      <c r="G34" s="37">
        <f>J12</f>
        <v>0.20000000000000007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254.28704000000002</v>
      </c>
      <c r="G37" s="34">
        <f>K12</f>
        <v>254.28704000000002</v>
      </c>
      <c r="H37" s="34">
        <f>K13</f>
        <v>220.3821013333333</v>
      </c>
      <c r="I37" s="34">
        <f>K14</f>
        <v>220.3821013333333</v>
      </c>
      <c r="J37" s="34">
        <f>K15</f>
        <v>220.3821013333333</v>
      </c>
      <c r="K37" s="34">
        <f>K16</f>
        <v>220.3821013333333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125.74633846153847</v>
      </c>
      <c r="G38" s="31">
        <f>L12</f>
        <v>125.74633846153847</v>
      </c>
      <c r="H38" s="31">
        <f>L13</f>
        <v>108.98016</v>
      </c>
      <c r="I38" s="31">
        <f>L14</f>
        <v>108.98016</v>
      </c>
      <c r="J38" s="31">
        <f>L15</f>
        <v>108.98016</v>
      </c>
      <c r="K38" s="31">
        <f>L16</f>
        <v>108.98016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176.04487384615385</v>
      </c>
      <c r="G39" s="31">
        <f>M12</f>
        <v>176.04487384615385</v>
      </c>
      <c r="H39" s="31">
        <f>M13</f>
        <v>152.57222399999998</v>
      </c>
      <c r="I39" s="31">
        <f>M14</f>
        <v>152.57222399999998</v>
      </c>
      <c r="J39" s="31">
        <f>M15</f>
        <v>152.57222399999998</v>
      </c>
      <c r="K39" s="31">
        <f>M16</f>
        <v>152.57222399999998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0" t="n">
        <v>0.3</v>
      </c>
      <c r="Q9" s="59" t="n"/>
      <c r="R9" s="59" t="n"/>
      <c r="S9" s="59" t="n"/>
      <c r="T9" s="60" t="n"/>
      <c r="U9" s="181" t="n">
        <v>0.25</v>
      </c>
      <c r="V9" s="59" t="n"/>
      <c r="W9" s="59" t="n"/>
      <c r="X9" s="59" t="n"/>
      <c r="Y9" s="60" t="n"/>
      <c r="Z9" s="180" t="n">
        <v>0.2</v>
      </c>
      <c r="AA9" s="59" t="n"/>
      <c r="AB9" s="59" t="n"/>
      <c r="AC9" s="59" t="n"/>
      <c r="AD9" s="60" t="n"/>
      <c r="AE9" s="181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- 33 pallets'!$G$14)</f>
        <v>1.2421200082056887</v>
      </c>
      <c r="F11" s="8">
        <f>IF(AND(ISNUMBER(E11),ISNUMBER($D$8)),E11*$D$3,NA())</f>
        <v>63.596544420131266</v>
      </c>
      <c r="G11" s="9">
        <f>F11/$D$8</f>
        <v>141.32565426695837</v>
      </c>
      <c r="H11" s="10">
        <f>G11*$D$4</f>
        <v>49.463978993435425</v>
      </c>
      <c r="I11" s="11">
        <f>G11-F11-H11</f>
        <v>28.265130853391675</v>
      </c>
      <c r="J11" s="12">
        <f>I11/G11</f>
        <v>0.2</v>
      </c>
      <c r="K11" s="13">
        <f>G11*$D$6</f>
        <v>197.8559159737417</v>
      </c>
      <c r="L11" s="14">
        <f>F11/(1-$D$4)</f>
        <v>97.84083756943271</v>
      </c>
      <c r="M11" s="14">
        <f>L11*$D$6</f>
        <v>136.9771725972058</v>
      </c>
      <c r="N11" s="15">
        <f>G11-F11</f>
        <v>77.7291098468271</v>
      </c>
      <c r="O11" s="16">
        <f>N11-H11</f>
        <v>28.265130853391675</v>
      </c>
      <c r="P11" s="40">
        <f>$F11/(1-$D$4-$P$9)</f>
        <v>181.70441262894647</v>
      </c>
      <c r="Q11" s="41">
        <f>P11*$D$4</f>
        <v>63.59654442013126</v>
      </c>
      <c r="R11" s="42">
        <f>P11-$F11-Q11</f>
        <v>54.511323788683946</v>
      </c>
      <c r="S11" s="43">
        <f>R11/P11</f>
        <v>0.30000000000000004</v>
      </c>
      <c r="T11" s="40">
        <f>P11*$D$6</f>
        <v>254.38617768052504</v>
      </c>
      <c r="U11" s="40">
        <f>$F11/(1-$D$4-$U$9)</f>
        <v>158.99136105032815</v>
      </c>
      <c r="V11" s="41">
        <f>U11*$D$4</f>
        <v>55.64697636761485</v>
      </c>
      <c r="W11" s="42">
        <f>U11-$F11-V11</f>
        <v>39.74784026258204</v>
      </c>
      <c r="X11" s="43">
        <f>W11/U11</f>
        <v>0.25</v>
      </c>
      <c r="Y11" s="40">
        <f>U11*$D$6</f>
        <v>222.5879054704594</v>
      </c>
      <c r="Z11" s="40">
        <f>$F11/(1-$D$4-$Z$9)</f>
        <v>141.32565426695837</v>
      </c>
      <c r="AA11" s="41">
        <f>Z11*$D$4</f>
        <v>49.463978993435425</v>
      </c>
      <c r="AB11" s="42">
        <f>Z11-$F11-AA11</f>
        <v>28.265130853391675</v>
      </c>
      <c r="AC11" s="43">
        <f>AB11/Z11</f>
        <v>0.2</v>
      </c>
      <c r="AD11" s="40">
        <f>Z11*$D$6</f>
        <v>197.8559159737417</v>
      </c>
      <c r="AE11" s="40">
        <f>$F11/(1-$D$4-$AE$9)</f>
        <v>127.19308884026253</v>
      </c>
      <c r="AF11" s="41">
        <f>AE11*$D$4</f>
        <v>44.51758109409188</v>
      </c>
      <c r="AG11" s="42">
        <f>AE11-$F11-AF11</f>
        <v>19.078963326039386</v>
      </c>
      <c r="AH11" s="43">
        <f>AG11/AE11</f>
        <v>0.15000000000000005</v>
      </c>
      <c r="AI11" s="40">
        <f>AE11*$D$6</f>
        <v>178.07032437636752</v>
      </c>
      <c r="AL11" s="24" t="n">
        <v>1.018131154266958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- 33 pallets'!$G$14)</f>
        <v>1.2421200082056887</v>
      </c>
      <c r="F12" s="8">
        <f>IF(AND(ISNUMBER(E12),ISNUMBER($D$8)),E12*$D$3,NA())</f>
        <v>63.596544420131266</v>
      </c>
      <c r="G12" s="9">
        <f>F12/$D$8</f>
        <v>141.32565426695837</v>
      </c>
      <c r="H12" s="10">
        <f>G12*$D$4</f>
        <v>49.463978993435425</v>
      </c>
      <c r="I12" s="11">
        <f>G12-F12-H12</f>
        <v>28.265130853391675</v>
      </c>
      <c r="J12" s="12">
        <f>I12/G12</f>
        <v>0.2</v>
      </c>
      <c r="K12" s="13">
        <f>G12*$D$6</f>
        <v>197.8559159737417</v>
      </c>
      <c r="L12" s="14">
        <f>F12/(1-$D$4)</f>
        <v>97.84083756943271</v>
      </c>
      <c r="M12" s="14">
        <f>L12*$D$6</f>
        <v>136.9771725972058</v>
      </c>
      <c r="N12" s="15">
        <f>G12-F12</f>
        <v>77.7291098468271</v>
      </c>
      <c r="O12" s="16">
        <f>N12-H12</f>
        <v>28.265130853391675</v>
      </c>
      <c r="P12" s="40">
        <f>$F12/(1-$D$4-$P$9)</f>
        <v>181.70441262894647</v>
      </c>
      <c r="Q12" s="41">
        <f>P12*$D$4</f>
        <v>63.59654442013126</v>
      </c>
      <c r="R12" s="42">
        <f>P12-$F12-Q12</f>
        <v>54.511323788683946</v>
      </c>
      <c r="S12" s="43">
        <f>R12/P12</f>
        <v>0.30000000000000004</v>
      </c>
      <c r="T12" s="40">
        <f>P12*$D$6</f>
        <v>254.38617768052504</v>
      </c>
      <c r="U12" s="40">
        <f>$F12/(1-$D$4-$U$9)</f>
        <v>158.99136105032815</v>
      </c>
      <c r="V12" s="41">
        <f>U12*$D$4</f>
        <v>55.64697636761485</v>
      </c>
      <c r="W12" s="42">
        <f>U12-$F12-V12</f>
        <v>39.74784026258204</v>
      </c>
      <c r="X12" s="43">
        <f>W12/U12</f>
        <v>0.25</v>
      </c>
      <c r="Y12" s="40">
        <f>U12*$D$6</f>
        <v>222.5879054704594</v>
      </c>
      <c r="Z12" s="40">
        <f>$F12/(1-$D$4-$Z$9)</f>
        <v>141.32565426695837</v>
      </c>
      <c r="AA12" s="41">
        <f>Z12*$D$4</f>
        <v>49.463978993435425</v>
      </c>
      <c r="AB12" s="42">
        <f>Z12-$F12-AA12</f>
        <v>28.265130853391675</v>
      </c>
      <c r="AC12" s="43">
        <f>AB12/Z12</f>
        <v>0.2</v>
      </c>
      <c r="AD12" s="40">
        <f>Z12*$D$6</f>
        <v>197.8559159737417</v>
      </c>
      <c r="AE12" s="40">
        <f>$F12/(1-$D$4-$AE$9)</f>
        <v>127.19308884026253</v>
      </c>
      <c r="AF12" s="41">
        <f>AE12*$D$4</f>
        <v>44.51758109409188</v>
      </c>
      <c r="AG12" s="42">
        <f>AE12-$F12-AF12</f>
        <v>19.078963326039386</v>
      </c>
      <c r="AH12" s="43">
        <f>AG12/AE12</f>
        <v>0.15000000000000005</v>
      </c>
      <c r="AI12" s="40">
        <f>AE12*$D$6</f>
        <v>178.07032437636752</v>
      </c>
      <c r="AL12" s="24" t="n">
        <v>1.018131154266958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- 33 pallets'!$G$14)</f>
        <v>1.0765040071115979</v>
      </c>
      <c r="F13" s="8">
        <f>IF(AND(ISNUMBER(E13),ISNUMBER($D$8)),E13*$D$3,NA())</f>
        <v>55.11700516411381</v>
      </c>
      <c r="G13" s="9">
        <f>F13/$D$8</f>
        <v>122.4822336980307</v>
      </c>
      <c r="H13" s="10">
        <f>G13*$D$4</f>
        <v>42.86878179431074</v>
      </c>
      <c r="I13" s="11">
        <f>G13-F13-H13</f>
        <v>24.496446739606135</v>
      </c>
      <c r="J13" s="12">
        <f>I13/G13</f>
        <v>0.19999999999999996</v>
      </c>
      <c r="K13" s="13">
        <f>G13*$D$6</f>
        <v>171.47512717724297</v>
      </c>
      <c r="L13" s="14">
        <f>F13/(1-$D$4)</f>
        <v>84.79539256017509</v>
      </c>
      <c r="M13" s="14">
        <f>L13*$D$6</f>
        <v>118.71354958424511</v>
      </c>
      <c r="N13" s="15">
        <f>G13-F13</f>
        <v>67.36522853391688</v>
      </c>
      <c r="O13" s="16">
        <f>N13-H13</f>
        <v>24.496446739606135</v>
      </c>
      <c r="P13" s="40">
        <f>$F13/(1-$D$4-$P$9)</f>
        <v>157.47715761175374</v>
      </c>
      <c r="Q13" s="41">
        <f>P13*$D$4</f>
        <v>55.117005164113806</v>
      </c>
      <c r="R13" s="42">
        <f>P13-$F13-Q13</f>
        <v>47.24314728352613</v>
      </c>
      <c r="S13" s="43">
        <f>R13/P13</f>
        <v>0.30000000000000004</v>
      </c>
      <c r="T13" s="40">
        <f>P13*$D$6</f>
        <v>220.46802065645522</v>
      </c>
      <c r="U13" s="40">
        <f>$F13/(1-$D$4-$U$9)</f>
        <v>137.79251291028453</v>
      </c>
      <c r="V13" s="41">
        <f>U13*$D$4</f>
        <v>48.227379518599584</v>
      </c>
      <c r="W13" s="42">
        <f>U13-$F13-V13</f>
        <v>34.44812822757114</v>
      </c>
      <c r="X13" s="43">
        <f>W13/U13</f>
        <v>0.25000000000000006</v>
      </c>
      <c r="Y13" s="40">
        <f>U13*$D$6</f>
        <v>192.90951807439833</v>
      </c>
      <c r="Z13" s="40">
        <f>$F13/(1-$D$4-$Z$9)</f>
        <v>122.4822336980307</v>
      </c>
      <c r="AA13" s="41">
        <f>Z13*$D$4</f>
        <v>42.86878179431074</v>
      </c>
      <c r="AB13" s="42">
        <f>Z13-$F13-AA13</f>
        <v>24.496446739606135</v>
      </c>
      <c r="AC13" s="43">
        <f>AB13/Z13</f>
        <v>0.19999999999999996</v>
      </c>
      <c r="AD13" s="40">
        <f>Z13*$D$6</f>
        <v>171.47512717724297</v>
      </c>
      <c r="AE13" s="40">
        <f>$F13/(1-$D$4-$AE$9)</f>
        <v>110.23401032822763</v>
      </c>
      <c r="AF13" s="41">
        <f>AE13*$D$4</f>
        <v>38.581903614879664</v>
      </c>
      <c r="AG13" s="42">
        <f>AE13-$F13-AF13</f>
        <v>16.53510154923415</v>
      </c>
      <c r="AH13" s="43">
        <f>AG13/AE13</f>
        <v>0.15000000000000005</v>
      </c>
      <c r="AI13" s="40">
        <f>AE13*$D$6</f>
        <v>154.32761445951866</v>
      </c>
      <c r="AL13" s="24" t="n">
        <v>0.8823803336980306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- 33 pallets'!$G$14)</f>
        <v>1.0765040071115979</v>
      </c>
      <c r="F14" s="8">
        <f>IF(AND(ISNUMBER(E14),ISNUMBER($D$8)),E14*$D$3,NA())</f>
        <v>55.11700516411381</v>
      </c>
      <c r="G14" s="9">
        <f>F14/$D$8</f>
        <v>122.4822336980307</v>
      </c>
      <c r="H14" s="10">
        <f>G14*$D$4</f>
        <v>42.86878179431074</v>
      </c>
      <c r="I14" s="11">
        <f>G14-F14-H14</f>
        <v>24.496446739606135</v>
      </c>
      <c r="J14" s="12">
        <f>I14/G14</f>
        <v>0.19999999999999996</v>
      </c>
      <c r="K14" s="13">
        <f>G14*$D$6</f>
        <v>171.47512717724297</v>
      </c>
      <c r="L14" s="14">
        <f>F14/(1-$D$4)</f>
        <v>84.79539256017509</v>
      </c>
      <c r="M14" s="14">
        <f>L14*$D$6</f>
        <v>118.71354958424511</v>
      </c>
      <c r="N14" s="15">
        <f>G14-F14</f>
        <v>67.36522853391688</v>
      </c>
      <c r="O14" s="16">
        <f>N14-H14</f>
        <v>24.496446739606135</v>
      </c>
      <c r="P14" s="40">
        <f>$F14/(1-$D$4-$P$9)</f>
        <v>157.47715761175374</v>
      </c>
      <c r="Q14" s="41">
        <f>P14*$D$4</f>
        <v>55.117005164113806</v>
      </c>
      <c r="R14" s="42">
        <f>P14-$F14-Q14</f>
        <v>47.24314728352613</v>
      </c>
      <c r="S14" s="43">
        <f>R14/P14</f>
        <v>0.30000000000000004</v>
      </c>
      <c r="T14" s="40">
        <f>P14*$D$6</f>
        <v>220.46802065645522</v>
      </c>
      <c r="U14" s="40">
        <f>$F14/(1-$D$4-$U$9)</f>
        <v>137.79251291028453</v>
      </c>
      <c r="V14" s="41">
        <f>U14*$D$4</f>
        <v>48.227379518599584</v>
      </c>
      <c r="W14" s="42">
        <f>U14-$F14-V14</f>
        <v>34.44812822757114</v>
      </c>
      <c r="X14" s="43">
        <f>W14/U14</f>
        <v>0.25000000000000006</v>
      </c>
      <c r="Y14" s="40">
        <f>U14*$D$6</f>
        <v>192.90951807439833</v>
      </c>
      <c r="Z14" s="40">
        <f>$F14/(1-$D$4-$Z$9)</f>
        <v>122.4822336980307</v>
      </c>
      <c r="AA14" s="41">
        <f>Z14*$D$4</f>
        <v>42.86878179431074</v>
      </c>
      <c r="AB14" s="42">
        <f>Z14-$F14-AA14</f>
        <v>24.496446739606135</v>
      </c>
      <c r="AC14" s="43">
        <f>AB14/Z14</f>
        <v>0.19999999999999996</v>
      </c>
      <c r="AD14" s="40">
        <f>Z14*$D$6</f>
        <v>171.47512717724297</v>
      </c>
      <c r="AE14" s="40">
        <f>$F14/(1-$D$4-$AE$9)</f>
        <v>110.23401032822763</v>
      </c>
      <c r="AF14" s="41">
        <f>AE14*$D$4</f>
        <v>38.581903614879664</v>
      </c>
      <c r="AG14" s="42">
        <f>AE14-$F14-AF14</f>
        <v>16.53510154923415</v>
      </c>
      <c r="AH14" s="43">
        <f>AG14/AE14</f>
        <v>0.15000000000000005</v>
      </c>
      <c r="AI14" s="40">
        <f>AE14*$D$6</f>
        <v>154.32761445951866</v>
      </c>
      <c r="AL14" s="24" t="n">
        <v>0.8823803336980306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- 33 pallets'!$G$14)</f>
        <v>1.0765040071115979</v>
      </c>
      <c r="F15" s="8">
        <f>IF(AND(ISNUMBER(E15),ISNUMBER($D$8)),E15*$D$3,NA())</f>
        <v>55.11700516411381</v>
      </c>
      <c r="G15" s="9">
        <f>F15/$D$8</f>
        <v>122.4822336980307</v>
      </c>
      <c r="H15" s="10">
        <f>G15*$D$4</f>
        <v>42.86878179431074</v>
      </c>
      <c r="I15" s="11">
        <f>G15-F15-H15</f>
        <v>24.496446739606135</v>
      </c>
      <c r="J15" s="12">
        <f>I15/G15</f>
        <v>0.19999999999999996</v>
      </c>
      <c r="K15" s="13">
        <f>G15*$D$6</f>
        <v>171.47512717724297</v>
      </c>
      <c r="L15" s="14">
        <f>F15/(1-$D$4)</f>
        <v>84.79539256017509</v>
      </c>
      <c r="M15" s="14">
        <f>L15*$D$6</f>
        <v>118.71354958424511</v>
      </c>
      <c r="N15" s="15">
        <f>G15-F15</f>
        <v>67.36522853391688</v>
      </c>
      <c r="O15" s="16">
        <f>N15-H15</f>
        <v>24.496446739606135</v>
      </c>
      <c r="P15" s="40">
        <f>$F15/(1-$D$4-$P$9)</f>
        <v>157.47715761175374</v>
      </c>
      <c r="Q15" s="41">
        <f>P15*$D$4</f>
        <v>55.117005164113806</v>
      </c>
      <c r="R15" s="42">
        <f>P15-$F15-Q15</f>
        <v>47.24314728352613</v>
      </c>
      <c r="S15" s="43">
        <f>R15/P15</f>
        <v>0.30000000000000004</v>
      </c>
      <c r="T15" s="40">
        <f>P15*$D$6</f>
        <v>220.46802065645522</v>
      </c>
      <c r="U15" s="40">
        <f>$F15/(1-$D$4-$U$9)</f>
        <v>137.79251291028453</v>
      </c>
      <c r="V15" s="41">
        <f>U15*$D$4</f>
        <v>48.227379518599584</v>
      </c>
      <c r="W15" s="42">
        <f>U15-$F15-V15</f>
        <v>34.44812822757114</v>
      </c>
      <c r="X15" s="43">
        <f>W15/U15</f>
        <v>0.25000000000000006</v>
      </c>
      <c r="Y15" s="40">
        <f>U15*$D$6</f>
        <v>192.90951807439833</v>
      </c>
      <c r="Z15" s="40">
        <f>$F15/(1-$D$4-$Z$9)</f>
        <v>122.4822336980307</v>
      </c>
      <c r="AA15" s="41">
        <f>Z15*$D$4</f>
        <v>42.86878179431074</v>
      </c>
      <c r="AB15" s="42">
        <f>Z15-$F15-AA15</f>
        <v>24.496446739606135</v>
      </c>
      <c r="AC15" s="43">
        <f>AB15/Z15</f>
        <v>0.19999999999999996</v>
      </c>
      <c r="AD15" s="40">
        <f>Z15*$D$6</f>
        <v>171.47512717724297</v>
      </c>
      <c r="AE15" s="40">
        <f>$F15/(1-$D$4-$AE$9)</f>
        <v>110.23401032822763</v>
      </c>
      <c r="AF15" s="41">
        <f>AE15*$D$4</f>
        <v>38.581903614879664</v>
      </c>
      <c r="AG15" s="42">
        <f>AE15-$F15-AF15</f>
        <v>16.53510154923415</v>
      </c>
      <c r="AH15" s="43">
        <f>AG15/AE15</f>
        <v>0.15000000000000005</v>
      </c>
      <c r="AI15" s="40">
        <f>AE15*$D$6</f>
        <v>154.32761445951866</v>
      </c>
      <c r="AL15" s="24" t="n">
        <v>0.8823803336980306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- 33 pallets'!$G$14)</f>
        <v>1.0765040071115979</v>
      </c>
      <c r="F16" s="8">
        <f>IF(AND(ISNUMBER(E16),ISNUMBER($D$8)),E16*$D$3,NA())</f>
        <v>55.11700516411381</v>
      </c>
      <c r="G16" s="9">
        <f>F16/$D$8</f>
        <v>122.4822336980307</v>
      </c>
      <c r="H16" s="10">
        <f>G16*$D$4</f>
        <v>42.86878179431074</v>
      </c>
      <c r="I16" s="11">
        <f>G16-F16-H16</f>
        <v>24.496446739606135</v>
      </c>
      <c r="J16" s="12">
        <f>I16/G16</f>
        <v>0.19999999999999996</v>
      </c>
      <c r="K16" s="13">
        <f>G16*$D$6</f>
        <v>171.47512717724297</v>
      </c>
      <c r="L16" s="14">
        <f>F16/(1-$D$4)</f>
        <v>84.79539256017509</v>
      </c>
      <c r="M16" s="14">
        <f>L16*$D$6</f>
        <v>118.71354958424511</v>
      </c>
      <c r="N16" s="15">
        <f>G16-F16</f>
        <v>67.36522853391688</v>
      </c>
      <c r="O16" s="16">
        <f>N16-H16</f>
        <v>24.496446739606135</v>
      </c>
      <c r="P16" s="40">
        <f>$F16/(1-$D$4-$P$9)</f>
        <v>157.47715761175374</v>
      </c>
      <c r="Q16" s="41">
        <f>P16*$D$4</f>
        <v>55.117005164113806</v>
      </c>
      <c r="R16" s="42">
        <f>P16-$F16-Q16</f>
        <v>47.24314728352613</v>
      </c>
      <c r="S16" s="43">
        <f>R16/P16</f>
        <v>0.30000000000000004</v>
      </c>
      <c r="T16" s="40">
        <f>P16*$D$6</f>
        <v>220.46802065645522</v>
      </c>
      <c r="U16" s="40">
        <f>$F16/(1-$D$4-$U$9)</f>
        <v>137.79251291028453</v>
      </c>
      <c r="V16" s="41">
        <f>U16*$D$4</f>
        <v>48.227379518599584</v>
      </c>
      <c r="W16" s="42">
        <f>U16-$F16-V16</f>
        <v>34.44812822757114</v>
      </c>
      <c r="X16" s="43">
        <f>W16/U16</f>
        <v>0.25000000000000006</v>
      </c>
      <c r="Y16" s="40">
        <f>U16*$D$6</f>
        <v>192.90951807439833</v>
      </c>
      <c r="Z16" s="40">
        <f>$F16/(1-$D$4-$Z$9)</f>
        <v>122.4822336980307</v>
      </c>
      <c r="AA16" s="41">
        <f>Z16*$D$4</f>
        <v>42.86878179431074</v>
      </c>
      <c r="AB16" s="42">
        <f>Z16-$F16-AA16</f>
        <v>24.496446739606135</v>
      </c>
      <c r="AC16" s="43">
        <f>AB16/Z16</f>
        <v>0.19999999999999996</v>
      </c>
      <c r="AD16" s="40">
        <f>Z16*$D$6</f>
        <v>171.47512717724297</v>
      </c>
      <c r="AE16" s="40">
        <f>$F16/(1-$D$4-$AE$9)</f>
        <v>110.23401032822763</v>
      </c>
      <c r="AF16" s="41">
        <f>AE16*$D$4</f>
        <v>38.581903614879664</v>
      </c>
      <c r="AG16" s="42">
        <f>AE16-$F16-AF16</f>
        <v>16.53510154923415</v>
      </c>
      <c r="AH16" s="43">
        <f>AG16/AE16</f>
        <v>0.15000000000000005</v>
      </c>
      <c r="AI16" s="40">
        <f>AE16*$D$6</f>
        <v>154.32761445951866</v>
      </c>
      <c r="AL16" s="24" t="n">
        <v>0.8823803336980306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1.2421200082056887</v>
      </c>
      <c r="G22" s="29">
        <f>E12</f>
        <v>1.2421200082056887</v>
      </c>
      <c r="H22" s="29">
        <f>E13</f>
        <v>1.0765040071115979</v>
      </c>
      <c r="I22" s="29">
        <f>E14</f>
        <v>1.0765040071115979</v>
      </c>
      <c r="J22" s="29">
        <f>E15</f>
        <v>1.0765040071115979</v>
      </c>
      <c r="K22" s="29">
        <f>E16</f>
        <v>1.0765040071115979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63.596544420131266</v>
      </c>
      <c r="G24" s="31">
        <f>F12</f>
        <v>63.596544420131266</v>
      </c>
      <c r="H24" s="31">
        <f>F13</f>
        <v>55.11700516411381</v>
      </c>
      <c r="I24" s="31">
        <f>F14</f>
        <v>55.11700516411381</v>
      </c>
      <c r="J24" s="31">
        <f>F15</f>
        <v>55.11700516411381</v>
      </c>
      <c r="K24" s="31">
        <f>F16</f>
        <v>55.11700516411381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141.32565426695837</v>
      </c>
      <c r="G30" s="34">
        <f>G12</f>
        <v>141.32565426695837</v>
      </c>
      <c r="H30" s="34">
        <f>G13</f>
        <v>122.4822336980307</v>
      </c>
      <c r="I30" s="34">
        <f>G14</f>
        <v>122.4822336980307</v>
      </c>
      <c r="J30" s="34">
        <f>G15</f>
        <v>122.4822336980307</v>
      </c>
      <c r="K30" s="34">
        <f>G16</f>
        <v>122.4822336980307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77.7291098468271</v>
      </c>
      <c r="G31" s="31">
        <f>N12</f>
        <v>77.7291098468271</v>
      </c>
      <c r="H31" s="31">
        <f>N13</f>
        <v>67.36522853391688</v>
      </c>
      <c r="I31" s="31">
        <f>N14</f>
        <v>67.36522853391688</v>
      </c>
      <c r="J31" s="31">
        <f>N15</f>
        <v>67.36522853391688</v>
      </c>
      <c r="K31" s="31">
        <f>N16</f>
        <v>67.36522853391688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49.463978993435425</v>
      </c>
      <c r="G32" s="31">
        <f>H12</f>
        <v>49.463978993435425</v>
      </c>
      <c r="H32" s="31">
        <f>H13</f>
        <v>42.86878179431074</v>
      </c>
      <c r="I32" s="31">
        <f>H14</f>
        <v>42.86878179431074</v>
      </c>
      <c r="J32" s="31">
        <f>H15</f>
        <v>42.86878179431074</v>
      </c>
      <c r="K32" s="31">
        <f>H16</f>
        <v>42.86878179431074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28.265130853391675</v>
      </c>
      <c r="G33" s="36">
        <f>I12</f>
        <v>28.265130853391675</v>
      </c>
      <c r="H33" s="36">
        <f>I13</f>
        <v>24.496446739606135</v>
      </c>
      <c r="I33" s="36">
        <f>I14</f>
        <v>24.496446739606135</v>
      </c>
      <c r="J33" s="36">
        <f>I15</f>
        <v>24.496446739606135</v>
      </c>
      <c r="K33" s="36">
        <f>I16</f>
        <v>24.496446739606135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</v>
      </c>
      <c r="G34" s="37">
        <f>J12</f>
        <v>0.2</v>
      </c>
      <c r="H34" s="37">
        <f>J13</f>
        <v>0.19999999999999996</v>
      </c>
      <c r="I34" s="37">
        <f>J14</f>
        <v>0.19999999999999996</v>
      </c>
      <c r="J34" s="37">
        <f>J15</f>
        <v>0.19999999999999996</v>
      </c>
      <c r="K34" s="37">
        <f>J16</f>
        <v>0.19999999999999996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197.8559159737417</v>
      </c>
      <c r="G37" s="34">
        <f>K12</f>
        <v>197.8559159737417</v>
      </c>
      <c r="H37" s="34">
        <f>K13</f>
        <v>171.47512717724297</v>
      </c>
      <c r="I37" s="34">
        <f>K14</f>
        <v>171.47512717724297</v>
      </c>
      <c r="J37" s="34">
        <f>K15</f>
        <v>171.47512717724297</v>
      </c>
      <c r="K37" s="34">
        <f>K16</f>
        <v>171.47512717724297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97.84083756943271</v>
      </c>
      <c r="G38" s="31">
        <f>L12</f>
        <v>97.84083756943271</v>
      </c>
      <c r="H38" s="31">
        <f>L13</f>
        <v>84.79539256017509</v>
      </c>
      <c r="I38" s="31">
        <f>L14</f>
        <v>84.79539256017509</v>
      </c>
      <c r="J38" s="31">
        <f>L15</f>
        <v>84.79539256017509</v>
      </c>
      <c r="K38" s="31">
        <f>L16</f>
        <v>84.79539256017509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136.9771725972058</v>
      </c>
      <c r="G39" s="31">
        <f>M12</f>
        <v>136.9771725972058</v>
      </c>
      <c r="H39" s="31">
        <f>M13</f>
        <v>118.71354958424511</v>
      </c>
      <c r="I39" s="31">
        <f>M14</f>
        <v>118.71354958424511</v>
      </c>
      <c r="J39" s="31">
        <f>M15</f>
        <v>118.71354958424511</v>
      </c>
      <c r="K39" s="31">
        <f>M16</f>
        <v>118.71354958424511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0.21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−68 % / −72 %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70.837104</v>
      </c>
      <c r="D4" s="101">
        <f>C4/(1-D14-C14)</f>
        <v>157.41578666666666</v>
      </c>
      <c r="E4" s="102">
        <f>D4*D14</f>
        <v>55.09552533333333</v>
      </c>
      <c r="F4" s="102">
        <f>D4-C4-E4</f>
        <v>31.483157333333338</v>
      </c>
      <c r="G4" s="102">
        <f>D4*(E14-1)</f>
        <v>62.96631466666665</v>
      </c>
      <c r="H4" s="103">
        <f>D4*E14</f>
        <v>220.3821013333333</v>
      </c>
    </row>
    <row r="5" ht="19.95" customHeight="1" s="71">
      <c r="A5" s="136" t="n"/>
      <c r="B5" s="137" t="n">
        <v>0.65</v>
      </c>
      <c r="C5" s="138">
        <f>C4/F14</f>
        <v>1.3835371874999998</v>
      </c>
      <c r="D5" s="139">
        <f>D4/F14</f>
        <v>3.074527083333333</v>
      </c>
      <c r="E5" s="139">
        <f>E4/F14</f>
        <v>1.0760844791666664</v>
      </c>
      <c r="F5" s="139">
        <f>F4/F14</f>
        <v>0.6149054166666668</v>
      </c>
      <c r="G5" s="139">
        <f>G4/F14</f>
        <v>1.2298108333333329</v>
      </c>
      <c r="H5" s="139">
        <f>H4/F14</f>
        <v>4.3043379166666655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81.73512000000001</v>
      </c>
      <c r="D6" s="109">
        <f>C6/(1-D14-C14)</f>
        <v>181.63360000000003</v>
      </c>
      <c r="E6" s="110">
        <f>D6*D14</f>
        <v>63.571760000000005</v>
      </c>
      <c r="F6" s="110">
        <f>D6-C6-E6</f>
        <v>36.326720000000016</v>
      </c>
      <c r="G6" s="110">
        <f>D6*(E14-1)</f>
        <v>72.65343999999999</v>
      </c>
      <c r="H6" s="111">
        <f>D6*E14</f>
        <v>254.28704000000002</v>
      </c>
    </row>
    <row r="7" ht="19.95" customHeight="1" s="71">
      <c r="A7" s="136" t="n"/>
      <c r="B7" s="137" t="n">
        <v>0.75</v>
      </c>
      <c r="C7" s="138">
        <f>C6/F14</f>
        <v>1.5963890625000001</v>
      </c>
      <c r="D7" s="140">
        <f>D6/F14</f>
        <v>3.5475312500000005</v>
      </c>
      <c r="E7" s="140">
        <f>E6/F14</f>
        <v>1.2416359375000001</v>
      </c>
      <c r="F7" s="140">
        <f>F6/F14</f>
        <v>0.7095062500000002</v>
      </c>
      <c r="G7" s="140">
        <f>G6/F14</f>
        <v>1.4190124999999998</v>
      </c>
      <c r="H7" s="140">
        <f>H6/F14</f>
        <v>4.9665437500000005</v>
      </c>
    </row>
    <row r="8" ht="25.95" customHeight="1" s="71">
      <c r="A8" s="114" t="inlineStr">
        <is>
          <t>AFTER · SIAS request
(all 6 SKUs)</t>
        </is>
      </c>
      <c r="B8" s="115">
        <f>B9*F14</f>
        <v>10.752</v>
      </c>
      <c r="C8" s="115">
        <f>B22</f>
        <v>38.1032352</v>
      </c>
      <c r="D8" s="115">
        <f>C8/(1-D14-C14)</f>
        <v>84.673856</v>
      </c>
      <c r="E8" s="116">
        <f>D8*D14</f>
        <v>29.635849599999997</v>
      </c>
      <c r="F8" s="116">
        <f>D8-C8-E8</f>
        <v>16.934771200000004</v>
      </c>
      <c r="G8" s="116">
        <f>D8*(E14-1)</f>
        <v>33.86954239999999</v>
      </c>
      <c r="H8" s="117">
        <f>D8*E14</f>
        <v>118.54339839999999</v>
      </c>
    </row>
    <row r="9" ht="19.95" customHeight="1" s="71">
      <c r="A9" s="136" t="n"/>
      <c r="B9" s="141">
        <f>B20</f>
        <v>0.21</v>
      </c>
      <c r="C9" s="142">
        <f>C8/F14</f>
        <v>0.7442038125</v>
      </c>
      <c r="D9" s="142">
        <f>D8/F14</f>
        <v>1.65378625</v>
      </c>
      <c r="E9" s="142">
        <f>E8/F14</f>
        <v>0.5788251874999999</v>
      </c>
      <c r="F9" s="142">
        <f>F8/F14</f>
        <v>0.33075725000000006</v>
      </c>
      <c r="G9" s="142">
        <f>G8/F14</f>
        <v>0.6615144999999998</v>
      </c>
      <c r="H9" s="142">
        <f>H8/F14</f>
        <v>2.3153007499999996</v>
      </c>
    </row>
    <row r="10" ht="24" customHeight="1" s="71">
      <c r="A10" s="121" t="inlineStr">
        <is>
          <t>CHANGE: AFTER − BEFORE (4 SKUs)</t>
        </is>
      </c>
      <c r="B10" s="143">
        <f>B8-B4</f>
        <v>-22.528</v>
      </c>
      <c r="C10" s="143">
        <f>C8-C4</f>
        <v>-32.733868799999996</v>
      </c>
      <c r="D10" s="143">
        <f>D8-D4</f>
        <v>-72.74193066666666</v>
      </c>
      <c r="E10" s="143">
        <f>E8-E4</f>
        <v>-25.45967573333333</v>
      </c>
      <c r="F10" s="143">
        <f>F8-F4</f>
        <v>-14.548386133333334</v>
      </c>
      <c r="G10" s="143">
        <f>G8-G4</f>
        <v>-29.096772266666655</v>
      </c>
      <c r="H10" s="143">
        <f>H8-H4</f>
        <v>-101.83870293333332</v>
      </c>
    </row>
    <row r="11" ht="18" customHeight="1" s="71">
      <c r="A11" s="136" t="n"/>
      <c r="B11" s="144">
        <f>B9-B5</f>
        <v>-0.44000000000000006</v>
      </c>
      <c r="C11" s="144">
        <f>C9-C5</f>
        <v>-0.6393333749999998</v>
      </c>
      <c r="D11" s="144">
        <f>D9-D5</f>
        <v>-1.420740833333333</v>
      </c>
      <c r="E11" s="144">
        <f>E9-E5</f>
        <v>-0.4972592916666665</v>
      </c>
      <c r="F11" s="144">
        <f>F9-F5</f>
        <v>-0.2841481666666667</v>
      </c>
      <c r="G11" s="144">
        <f>G9-G5</f>
        <v>-0.5682963333333331</v>
      </c>
      <c r="H11" s="144">
        <f>H9-H5</f>
        <v>-1.989037166666666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0.21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0.216093830325013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38.1032352</v>
      </c>
    </row>
    <row r="23"/>
    <row r="24" ht="30" customHeight="1" s="71">
      <c r="A24" s="54" t="inlineStr">
        <is>
          <t>Landed cost, 4 SKUs (Vegetable…), €/pack — Self-Cost (col. B) → after uplift (col. C)</t>
        </is>
      </c>
      <c r="B24" s="149">
        <f>'Model 6 pallets'!AL13</f>
        <v>1.134046875</v>
      </c>
      <c r="C24" s="182">
        <f>B24*(1+$G$14)</f>
        <v>1.3835371874999998</v>
      </c>
    </row>
    <row r="25" ht="30" customHeight="1" s="71">
      <c r="A25" s="54" t="inlineStr">
        <is>
          <t>Landed cost, 2 SKUs (Gouda, Carbonara), €/pack — Self-Cost (col. B) → after uplift (col. C)</t>
        </is>
      </c>
      <c r="B25" s="149">
        <f>'Model 6 pallets'!AL11</f>
        <v>1.308515625</v>
      </c>
      <c r="C25" s="182">
        <f>B25*(1+$G$14)</f>
        <v>1.5963890625000001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0.43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−34 % / −43 %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55.11700516411381</v>
      </c>
      <c r="D4" s="101">
        <f>C4/(1-D14-C14)</f>
        <v>122.4822336980307</v>
      </c>
      <c r="E4" s="102">
        <f>D4*D14</f>
        <v>42.86878179431074</v>
      </c>
      <c r="F4" s="102">
        <f>D4-C4-E4</f>
        <v>24.496446739606135</v>
      </c>
      <c r="G4" s="102">
        <f>D4*(E14-1)</f>
        <v>48.99289347921227</v>
      </c>
      <c r="H4" s="103">
        <f>D4*E14</f>
        <v>171.47512717724297</v>
      </c>
    </row>
    <row r="5">
      <c r="A5" s="136" t="n"/>
      <c r="B5" s="137" t="n">
        <v>0.65</v>
      </c>
      <c r="C5" s="138">
        <f>C4/F14</f>
        <v>1.0765040071115979</v>
      </c>
      <c r="D5" s="139">
        <f>D4/F14</f>
        <v>2.392231126914662</v>
      </c>
      <c r="E5" s="139">
        <f>E4/F14</f>
        <v>0.8372808944201316</v>
      </c>
      <c r="F5" s="139">
        <f>F4/F14</f>
        <v>0.4784462253829323</v>
      </c>
      <c r="G5" s="139">
        <f>G4/F14</f>
        <v>0.9568924507658646</v>
      </c>
      <c r="H5" s="139">
        <f>H4/F14</f>
        <v>3.3491235776805266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63.59654442013126</v>
      </c>
      <c r="D6" s="109">
        <f>C6/(1-D14-C14)</f>
        <v>141.32565426695834</v>
      </c>
      <c r="E6" s="110">
        <f>D6*D14</f>
        <v>49.46397899343542</v>
      </c>
      <c r="F6" s="110">
        <f>D6-C6-E6</f>
        <v>28.265130853391653</v>
      </c>
      <c r="G6" s="110">
        <f>D6*(E14-1)</f>
        <v>56.53026170678332</v>
      </c>
      <c r="H6" s="111">
        <f>D6*E14</f>
        <v>197.85591597374167</v>
      </c>
    </row>
    <row r="7" ht="19.95" customHeight="1" s="71">
      <c r="A7" s="136" t="n"/>
      <c r="B7" s="137" t="n">
        <v>0.75</v>
      </c>
      <c r="C7" s="138">
        <f>C6/F14</f>
        <v>1.2421200082056887</v>
      </c>
      <c r="D7" s="140">
        <f>D6/F14</f>
        <v>2.76026668490153</v>
      </c>
      <c r="E7" s="140">
        <f>E6/F14</f>
        <v>0.9660933397155355</v>
      </c>
      <c r="F7" s="140">
        <f>F6/F14</f>
        <v>0.5520533369803057</v>
      </c>
      <c r="G7" s="140">
        <f>G6/F14</f>
        <v>1.1041066739606116</v>
      </c>
      <c r="H7" s="140">
        <f>H6/F14</f>
        <v>3.864373358862142</v>
      </c>
    </row>
    <row r="8" ht="25.95" customHeight="1" s="71">
      <c r="A8" s="114" t="inlineStr">
        <is>
          <t>AFTER · SIAS request
(all 6 SKUs)</t>
        </is>
      </c>
      <c r="B8" s="115">
        <f>B9*F14</f>
        <v>22.016000000000002</v>
      </c>
      <c r="C8" s="115">
        <f>B21</f>
        <v>38.552141963636366</v>
      </c>
      <c r="D8" s="115">
        <f>C8/(1-D14-C14)</f>
        <v>85.67142658585858</v>
      </c>
      <c r="E8" s="116">
        <f>D8*D14</f>
        <v>29.9849993050505</v>
      </c>
      <c r="F8" s="116">
        <f>D8-C8-E8</f>
        <v>17.134285317171717</v>
      </c>
      <c r="G8" s="116">
        <f>D8*(E14-1)</f>
        <v>34.268570634343426</v>
      </c>
      <c r="H8" s="117">
        <f>D8*E14</f>
        <v>119.939997220202</v>
      </c>
    </row>
    <row r="9" ht="19.95" customHeight="1" s="71">
      <c r="A9" s="136" t="n"/>
      <c r="B9" s="141">
        <f>B19</f>
        <v>0.43</v>
      </c>
      <c r="C9" s="142">
        <f>C8/F14</f>
        <v>0.7529715227272727</v>
      </c>
      <c r="D9" s="142">
        <f>D8/F14</f>
        <v>1.6732700505050504</v>
      </c>
      <c r="E9" s="142">
        <f>E8/F14</f>
        <v>0.5856445176767675</v>
      </c>
      <c r="F9" s="142">
        <f>F8/F14</f>
        <v>0.3346540101010101</v>
      </c>
      <c r="G9" s="142">
        <f>G8/F14</f>
        <v>0.66930802020202</v>
      </c>
      <c r="H9" s="142">
        <f>H8/F14</f>
        <v>2.34257807070707</v>
      </c>
    </row>
    <row r="10" ht="24" customHeight="1" s="71">
      <c r="A10" s="121" t="inlineStr">
        <is>
          <t>CHANGE: AFTER − BEFORE (4 SKUs)</t>
        </is>
      </c>
      <c r="B10" s="143">
        <f>B8-B4</f>
        <v>-11.264</v>
      </c>
      <c r="C10" s="143">
        <f>C8-C4</f>
        <v>-16.564863200477447</v>
      </c>
      <c r="D10" s="143">
        <f>D8-D4</f>
        <v>-36.810807112172114</v>
      </c>
      <c r="E10" s="143">
        <f>E8-E4</f>
        <v>-12.883782489260241</v>
      </c>
      <c r="F10" s="143">
        <f>F8-F4</f>
        <v>-7.3621614224344185</v>
      </c>
      <c r="G10" s="143">
        <f>G8-G4</f>
        <v>-14.724322844868844</v>
      </c>
      <c r="H10" s="143">
        <f>H8-H4</f>
        <v>-51.535129957040965</v>
      </c>
    </row>
    <row r="11" ht="18" customHeight="1" s="71">
      <c r="A11" s="136" t="n"/>
      <c r="B11" s="144">
        <f>B9-B5</f>
        <v>-0.22000000000000003</v>
      </c>
      <c r="C11" s="144">
        <f>C9-C5</f>
        <v>-0.32353248438432514</v>
      </c>
      <c r="D11" s="144">
        <f>D9-D5</f>
        <v>-0.7189610764096117</v>
      </c>
      <c r="E11" s="144">
        <f>E9-E5</f>
        <v>-0.25163637674336414</v>
      </c>
      <c r="F11" s="144">
        <f>F9-F5</f>
        <v>-0.1437922152819222</v>
      </c>
      <c r="G11" s="144">
        <f>G9-G5</f>
        <v>-0.28758443056384464</v>
      </c>
      <c r="H11" s="144">
        <f>H9-H5</f>
        <v>-1.0065455069734566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0.43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0.43025102729470993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38.552141963636366</v>
      </c>
    </row>
    <row r="22"/>
    <row r="23" ht="30" customHeight="1" s="71">
      <c r="A23" s="54" t="inlineStr">
        <is>
          <t>Landed cost, 4 SKUs (Vegetable…), €/pack — Self-Cost (col. B) → after uplift (col. C)</t>
        </is>
      </c>
      <c r="B23" s="149">
        <f>'Model 33 pallets'!AL13</f>
        <v>0.882380333698031</v>
      </c>
      <c r="C23" s="182">
        <f>B23*(1+$G$14)</f>
        <v>1.0765040071115979</v>
      </c>
    </row>
    <row r="24" ht="30" customHeight="1" s="71">
      <c r="A24" s="54" t="inlineStr">
        <is>
          <t>Landed cost, 2 SKUs (Gouda, Carbonara), €/pack — Self-Cost (col. B) → after uplift (col. C)</t>
        </is>
      </c>
      <c r="B24" s="149">
        <f>'Model 33 pallets'!AL11</f>
        <v>1.018131154266958</v>
      </c>
      <c r="C24" s="182">
        <f>B24*(1+$G$14)</f>
        <v>1.2421200082056887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83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83">
        <f>M9/0.65-1</f>
        <v>-0.5076923076923077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83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83">
        <f>M11/0.65-1</f>
        <v>-0.5076923076923077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83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83">
        <f>M12/0.65-1</f>
        <v>-0.5076923076923077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83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83">
        <f>M13/0.65-1</f>
        <v>-0.5076923076923077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83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83">
        <f>M14/0.65-1</f>
        <v>-0.5076923076923077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83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83">
        <f>M16/0.65-1</f>
        <v>-0.4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83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83">
        <f>M17/0.65-1</f>
        <v>-0.49230769230769234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83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83">
        <f>M18/0.65-1</f>
        <v>-0.5846153846153845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83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83">
        <f>M19/0.65-1</f>
        <v>-0.6923076923076923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83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83">
        <f>M21/0.65-1</f>
        <v>-0.6153846153846154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83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83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83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83">
        <f>M24/0.65-1</f>
        <v>-0.4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83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83">
        <f>M25/0.65-1</f>
        <v>-0.29230769230769227</v>
      </c>
    </row>
    <row r="26"/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2026-10-16T13:15:51Z</dcterms:modified>
  <cp:lastModifiedBy/>
</cp:coreProperties>
</file>