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Landed cost blocks" sheetId="1" state="visible" r:id="rId1"/>
    <sheet xmlns:r="http://schemas.openxmlformats.org/officeDocument/2006/relationships" name="Model 6 pallets" sheetId="2" state="visible" r:id="rId2"/>
    <sheet xmlns:r="http://schemas.openxmlformats.org/officeDocument/2006/relationships" name="Model 33 pallets" sheetId="3" state="visible" r:id="rId3"/>
    <sheet xmlns:r="http://schemas.openxmlformats.org/officeDocument/2006/relationships" name="Price 120 UAH - 6 pallets" sheetId="4" state="visible" r:id="rId4"/>
    <sheet xmlns:r="http://schemas.openxmlformats.org/officeDocument/2006/relationships" name="Price 120 UAH - 33 pallets" sheetId="5" state="visible" r:id="rId5"/>
    <sheet xmlns:r="http://schemas.openxmlformats.org/officeDocument/2006/relationships"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2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+0%;-0%;0%"/>
    <numFmt numFmtId="180" formatCode="_(* #,##0.00_);_(* \(#,##0.00\);_(* \-??_);_(@_)"/>
    <numFmt numFmtId="181" formatCode="_(* #,##0_);_(* \(#,##0\);_(* \-_);_(@_)"/>
    <numFmt numFmtId="182" formatCode="_(\$* #,##0.00_);_(\$* \(#,##0.00\);_(\$* \-??_);_(@_)"/>
    <numFmt numFmtId="183" formatCode="_(\$* #,##0_);_(\$* \(#,##0\);_(\$* \-_);_(@_)"/>
    <numFmt numFmtId="184" formatCode="&quot;MARGIN &quot;0%"/>
    <numFmt numFmtId="185" formatCode="0.00;-0.00;&quot;OK&quot;"/>
  </numFmts>
  <fonts count="42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  <font>
      <name val="Arial"/>
      <color rgb="FF0000FF"/>
      <sz val="11"/>
    </font>
    <font>
      <name val="Arial"/>
      <b val="1"/>
      <color rgb="FFB03A3A"/>
      <sz val="11"/>
    </font>
  </fonts>
  <fills count="31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  <fill>
      <patternFill patternType="solid">
        <fgColor rgb="00FDE8E8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80" fontId="1" fillId="19" borderId="10"/>
    <xf numFmtId="181" fontId="1" fillId="19" borderId="10"/>
    <xf numFmtId="182" fontId="1" fillId="19" borderId="10"/>
    <xf numFmtId="183" fontId="1" fillId="19" borderId="10"/>
    <xf numFmtId="0" fontId="11" fillId="19" borderId="10"/>
    <xf numFmtId="9" fontId="1" fillId="19" borderId="10"/>
  </cellStyleXfs>
  <cellXfs count="185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171" fontId="40" fillId="28" borderId="30" applyAlignment="1" pivotButton="0" quotePrefix="0" xfId="0">
      <alignment horizontal="center" vertical="center" wrapText="1"/>
    </xf>
    <xf numFmtId="171" fontId="36" fillId="27" borderId="30" applyAlignment="1" pivotButton="0" quotePrefix="0" xfId="0">
      <alignment horizontal="center" vertical="center" wrapText="1"/>
    </xf>
    <xf numFmtId="171" fontId="41" fillId="30" borderId="30" applyAlignment="1" pivotButton="0" quotePrefix="0" xfId="0">
      <alignment horizontal="center" vertical="center" wrapText="1"/>
    </xf>
    <xf numFmtId="171" fontId="24" fillId="29" borderId="30" applyAlignment="1" pivotButton="0" quotePrefix="0" xfId="0">
      <alignment horizontal="center" vertical="center" wrapText="1"/>
    </xf>
    <xf numFmtId="185" fontId="30" fillId="25" borderId="30" applyAlignment="1" pivotButton="0" quotePrefix="0" xfId="0">
      <alignment horizontal="center" vertical="center" wrapText="1"/>
    </xf>
    <xf numFmtId="171" fontId="37" fillId="29" borderId="30" applyAlignment="1" pivotButton="0" quotePrefix="0" xfId="0">
      <alignment horizontal="center" vertical="center" wrapText="1"/>
    </xf>
    <xf numFmtId="184" fontId="8" fillId="15" borderId="9" applyAlignment="1" pivotButton="0" quotePrefix="0" xfId="0">
      <alignment horizontal="center" vertical="center" wrapText="1"/>
    </xf>
    <xf numFmtId="184" fontId="8" fillId="18" borderId="9" applyAlignment="1" pivotButton="0" quotePrefix="0" xfId="0">
      <alignment horizontal="center" vertical="center" wrapText="1"/>
    </xf>
    <xf numFmtId="172" fontId="36" fillId="23" borderId="17" applyAlignment="1" pivotButton="0" quotePrefix="0" xfId="0">
      <alignment horizontal="center" vertical="center" wrapText="1"/>
    </xf>
    <xf numFmtId="176" fontId="22" fillId="23" borderId="1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8" customWidth="1" style="71" min="1" max="1"/>
    <col width="17" customWidth="1" style="71" min="2" max="2"/>
    <col width="17" customWidth="1" style="71" min="3" max="3"/>
    <col width="17" customWidth="1" style="71" min="4" max="4"/>
    <col width="17" customWidth="1" style="71" min="5" max="5"/>
    <col width="17" customWidth="1" style="71" min="6" max="6"/>
    <col width="17" customWidth="1" style="71" min="7" max="7"/>
    <col width="17" customWidth="1" style="71" min="8" max="8"/>
    <col width="17" customWidth="1" style="71" min="9" max="9"/>
  </cols>
  <sheetData>
    <row r="1" ht="26" customHeight="1" s="71">
      <c r="A1" s="172" t="inlineStr">
        <is>
          <t>INTERNAL — not for SIAS · Landed-cost blocks with the proportional uplift · ₴ per pack</t>
        </is>
      </c>
    </row>
    <row r="2" ht="30" customHeight="1" s="71">
      <c r="A2" s="154" t="inlineStr">
        <is>
          <t>Purchase + delivery + import VAT + financing = real landed cost; the uplift (assumption, cell G14 on the "Price 120 UAH" sheets) is added on top as a separate block.</t>
        </is>
      </c>
    </row>
    <row r="4">
      <c r="A4" s="173" t="inlineStr">
        <is>
          <t>33 PALLETS · FULL TRUCK</t>
        </is>
      </c>
    </row>
    <row r="5" ht="44" customHeight="1" s="71">
      <c r="A5" s="161" t="inlineStr"/>
      <c r="B5" s="161" t="inlineStr">
        <is>
          <t>Purchase
pack price × rate</t>
        </is>
      </c>
      <c r="C5" s="161" t="inlineStr">
        <is>
          <t>Delivery
freight, broker, terminal</t>
        </is>
      </c>
      <c r="D5" s="161" t="inlineStr">
        <is>
          <t>Import VAT
20 % on goods and freight</t>
        </is>
      </c>
      <c r="E5" s="161" t="inlineStr">
        <is>
          <t>Financing
2.5 % of the sum</t>
        </is>
      </c>
      <c r="F5" s="161" t="inlineStr">
        <is>
          <t>Real landed cost, ₴</t>
        </is>
      </c>
      <c r="G5" s="161" t="inlineStr">
        <is>
          <t>Uplift (assumption), ₴</t>
        </is>
      </c>
      <c r="H5" s="161" t="inlineStr">
        <is>
          <t>Landed cost with uplift, ₴</t>
        </is>
      </c>
      <c r="I5" s="161" t="inlineStr">
        <is>
          <t>Check vs model sheet</t>
        </is>
      </c>
    </row>
    <row r="6" ht="34" customHeight="1" s="71">
      <c r="A6" s="163" t="inlineStr">
        <is>
          <t>BEFORE · 4 SKUs
(Vegetable, Spicy, Beef, Chicken)</t>
        </is>
      </c>
      <c r="B6" s="174" t="n">
        <v>33.28</v>
      </c>
      <c r="C6" s="174" t="n">
        <v>3.668446389496718</v>
      </c>
      <c r="D6" s="174" t="n">
        <v>7.127527352297594</v>
      </c>
      <c r="E6" s="174" t="n">
        <v>1.101899343544858</v>
      </c>
      <c r="F6" s="175">
        <f>SUM(B6:E6)</f>
        <v>45.17787308533917</v>
      </c>
      <c r="G6" s="176">
        <f>F6*'Price 120 UAH - 33 pallets'!G14</f>
        <v>5.6472341356673965</v>
      </c>
      <c r="H6" s="177">
        <f>F6+G6</f>
        <v>50.82510722100657</v>
      </c>
      <c r="I6" s="178">
        <f>ROUND(H6-'Price 120 UAH - 33 pallets'!C4,4)</f>
        <v>0</v>
      </c>
    </row>
    <row r="7" ht="34" customHeight="1" s="71">
      <c r="A7" s="163" t="inlineStr">
        <is>
          <t>BEFORE · 2 SKUs
(Gouda, Carbonara)</t>
        </is>
      </c>
      <c r="B7" s="174" t="n">
        <v>38.40000000000001</v>
      </c>
      <c r="C7" s="174" t="n">
        <v>4.232822757111598</v>
      </c>
      <c r="D7" s="174" t="n">
        <v>8.22407002188184</v>
      </c>
      <c r="E7" s="174" t="n">
        <v>1.271422319474836</v>
      </c>
      <c r="F7" s="175">
        <f>SUM(B7:E7)</f>
        <v>52.12831509846829</v>
      </c>
      <c r="G7" s="176">
        <f>F7*'Price 120 UAH - 33 pallets'!G14</f>
        <v>6.5160393873085365</v>
      </c>
      <c r="H7" s="177">
        <f>F7+G7</f>
        <v>58.64435448577683</v>
      </c>
      <c r="I7" s="178">
        <f>ROUND(H7-'Price 120 UAH - 33 pallets'!C6,4)</f>
        <v>0</v>
      </c>
    </row>
    <row r="8" ht="34" customHeight="1" s="71">
      <c r="A8" s="170" t="inlineStr">
        <is>
          <t>AFTER · SIAS request
(all 6 SKUs)</t>
        </is>
      </c>
      <c r="B8" s="179">
        <f>'Price 120 UAH - 33 pallets'!B19*'Price 120 UAH - 33 pallets'!F14</f>
        <v>27.648000000000003</v>
      </c>
      <c r="C8" s="179">
        <f>('Price 120 UAH - 33 pallets'!E16+'Price 120 UAH - 33 pallets'!F16+'Price 120 UAH - 33 pallets'!G16)/('Price 120 UAH - 33 pallets'!C18*'Price 120 UAH - 33 pallets'!D18)*'Price 120 UAH - 33 pallets'!F14</f>
        <v>3.907878787878788</v>
      </c>
      <c r="D8" s="179">
        <f>('Price 120 UAH - 33 pallets'!B19+'Price 120 UAH - 33 pallets'!E16*'Price 120 UAH - 33 pallets'!B18/('Price 120 UAH - 33 pallets'!C18*'Price 120 UAH - 33 pallets'!D18))*(1+'Price 120 UAH - 33 pallets'!D16)*'Price 120 UAH - 33 pallets'!B16*'Price 120 UAH - 33 pallets'!F14</f>
        <v>6.031903030303031</v>
      </c>
      <c r="E8" s="179">
        <f>(B8+C8+D8+('Price 120 UAH - 33 pallets'!B19+'Price 120 UAH - 33 pallets'!E16*'Price 120 UAH - 33 pallets'!B18/('Price 120 UAH - 33 pallets'!C18*'Price 120 UAH - 33 pallets'!D18))*'Price 120 UAH - 33 pallets'!D16*'Price 120 UAH - 33 pallets'!F14)*'Price 120 UAH - 33 pallets'!C16</f>
        <v>0.9396945454545457</v>
      </c>
      <c r="F8" s="175">
        <f>SUM(B8:E8)</f>
        <v>38.52747636363637</v>
      </c>
      <c r="G8" s="176">
        <f>F8*'Price 120 UAH - 33 pallets'!G14</f>
        <v>4.815934545454546</v>
      </c>
      <c r="H8" s="177">
        <f>F8+G8</f>
        <v>43.34341090909091</v>
      </c>
      <c r="I8" s="178">
        <f>ROUND(H8-'Price 120 UAH - 33 pallets'!C8,4)</f>
        <v>0</v>
      </c>
    </row>
    <row r="10">
      <c r="A10" s="173" t="inlineStr">
        <is>
          <t>6 PALLETS</t>
        </is>
      </c>
    </row>
    <row r="11" ht="44" customHeight="1" s="71">
      <c r="A11" s="161" t="inlineStr"/>
      <c r="B11" s="161" t="inlineStr">
        <is>
          <t>Purchase
pack price × rate</t>
        </is>
      </c>
      <c r="C11" s="161" t="inlineStr">
        <is>
          <t>Delivery
freight, broker, terminal</t>
        </is>
      </c>
      <c r="D11" s="161" t="inlineStr">
        <is>
          <t>Import VAT
20 % on goods and freight</t>
        </is>
      </c>
      <c r="E11" s="161" t="inlineStr">
        <is>
          <t>Financing
2.5 % of the sum</t>
        </is>
      </c>
      <c r="F11" s="161" t="inlineStr">
        <is>
          <t>Real landed cost, ₴</t>
        </is>
      </c>
      <c r="G11" s="161" t="inlineStr">
        <is>
          <t>Uplift (assumption), ₴</t>
        </is>
      </c>
      <c r="H11" s="161" t="inlineStr">
        <is>
          <t>Landed cost with uplift, ₴</t>
        </is>
      </c>
      <c r="I11" s="161" t="inlineStr">
        <is>
          <t>Check vs model sheet</t>
        </is>
      </c>
    </row>
    <row r="12" ht="34" customHeight="1" s="71">
      <c r="A12" s="163" t="inlineStr">
        <is>
          <t>BEFORE · 4 SKUs
(Vegetable, Spicy, Beef, Chicken)</t>
        </is>
      </c>
      <c r="B12" s="174" t="n">
        <v>33.28</v>
      </c>
      <c r="C12" s="174" t="n">
        <v>14.86439024390244</v>
      </c>
      <c r="D12" s="174" t="n">
        <v>8.502634146341462</v>
      </c>
      <c r="E12" s="174" t="n">
        <v>1.416175609756098</v>
      </c>
      <c r="F12" s="175">
        <f>SUM(B12:E12)</f>
        <v>58.0632</v>
      </c>
      <c r="G12" s="176">
        <f>F12*'Price 120 UAH - 6 pallets'!G14</f>
        <v>7.2579</v>
      </c>
      <c r="H12" s="177">
        <f>F12+G12</f>
        <v>65.3211</v>
      </c>
      <c r="I12" s="178">
        <f>ROUND(H12-'Price 120 UAH - 6 pallets'!C4,4)</f>
        <v>0</v>
      </c>
    </row>
    <row r="13" ht="34" customHeight="1" s="71">
      <c r="A13" s="163" t="inlineStr">
        <is>
          <t>BEFORE · 2 SKUs
(Gouda, Carbonara)</t>
        </is>
      </c>
      <c r="B13" s="174" t="n">
        <v>38.40000000000001</v>
      </c>
      <c r="C13" s="174" t="n">
        <v>17.15121951219512</v>
      </c>
      <c r="D13" s="174" t="n">
        <v>9.810731707317075</v>
      </c>
      <c r="E13" s="174" t="n">
        <v>1.634048780487805</v>
      </c>
      <c r="F13" s="175">
        <f>SUM(B13:E13)</f>
        <v>66.99600000000001</v>
      </c>
      <c r="G13" s="176">
        <f>F13*'Price 120 UAH - 6 pallets'!G14</f>
        <v>8.374500000000001</v>
      </c>
      <c r="H13" s="177">
        <f>F13+G13</f>
        <v>75.3705</v>
      </c>
      <c r="I13" s="178">
        <f>ROUND(H13-'Price 120 UAH - 6 pallets'!C6,4)</f>
        <v>0</v>
      </c>
    </row>
    <row r="14" ht="34" customHeight="1" s="71">
      <c r="A14" s="170" t="inlineStr">
        <is>
          <t>AFTER · SIAS request
(all 6 SKUs)</t>
        </is>
      </c>
      <c r="B14" s="179">
        <f>'Price 120 UAH - 6 pallets'!B20*'Price 120 UAH - 6 pallets'!F14</f>
        <v>16.384</v>
      </c>
      <c r="C14" s="179">
        <f>('Price 120 UAH - 6 pallets'!E16+'Price 120 UAH - 6 pallets'!F16+'Price 120 UAH - 6 pallets'!G16)/('Price 120 UAH - 6 pallets'!C18*'Price 120 UAH - 6 pallets'!D18)*'Price 120 UAH - 6 pallets'!F14</f>
        <v>15.626666666666669</v>
      </c>
      <c r="D14" s="179">
        <f>('Price 120 UAH - 6 pallets'!B20+'Price 120 UAH - 6 pallets'!E16*'Price 120 UAH - 6 pallets'!B18/('Price 120 UAH - 6 pallets'!C18*'Price 120 UAH - 6 pallets'!D18))*(1+'Price 120 UAH - 6 pallets'!D16)*'Price 120 UAH - 6 pallets'!B16*'Price 120 UAH - 6 pallets'!F14</f>
        <v>5.218133333333333</v>
      </c>
      <c r="E14" s="179">
        <f>(B14+C14+D14+('Price 120 UAH - 6 pallets'!B20+'Price 120 UAH - 6 pallets'!E16*'Price 120 UAH - 6 pallets'!B18/('Price 120 UAH - 6 pallets'!C18*'Price 120 UAH - 6 pallets'!D18))*'Price 120 UAH - 6 pallets'!D16*'Price 120 UAH - 6 pallets'!F14)*'Price 120 UAH - 6 pallets'!C16</f>
        <v>0.93072</v>
      </c>
      <c r="F14" s="175">
        <f>SUM(B14:E14)</f>
        <v>38.15952</v>
      </c>
      <c r="G14" s="176">
        <f>F14*'Price 120 UAH - 6 pallets'!G14</f>
        <v>4.76994</v>
      </c>
      <c r="H14" s="177">
        <f>F14+G14</f>
        <v>42.92946</v>
      </c>
      <c r="I14" s="178">
        <f>ROUND(H14-'Price 120 UAH - 6 pallets'!C8,4)</f>
        <v>0</v>
      </c>
    </row>
  </sheetData>
  <mergeCells count="2">
    <mergeCell ref="A1:I1"/>
    <mergeCell ref="A2:I2"/>
  </mergeCells>
  <pageMargins left="0.75" right="0.75" top="1" bottom="1" header="0.5" footer="0.5"/>
  <ignoredErrors>
    <ignoredError sqref="A1:I34" evalError="1" formula="1" formulaRange="1" unlockedFormula="1" numberStoredAsText="1" emptyCellReference="1" twoDigitTextYear="1" listDataValidation="1" calculatedColumn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  <col width="18" customWidth="1" style="71" min="38" max="38"/>
  </cols>
  <sheetData>
    <row r="1" ht="17.25" customHeight="1" s="71">
      <c r="A1" s="21" t="n"/>
      <c r="B1" s="85" t="inlineStr">
        <is>
          <t>Ramen. Partner price and shelf price — 6 pallets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6 pallets</t>
        </is>
      </c>
      <c r="E2" s="86" t="inlineStr">
        <is>
          <t>Landed cost = Self-Cost_Sias (col. AL) × (1 + uplift from G14 on the "Price 120 UAH" sheet).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0.35</v>
      </c>
      <c r="E4" s="68" t="str">
        <f>"Chain bonus "&amp;ROUND(D4*100,0)&amp;"%; shelf = partner price × "&amp;D6&amp;"."</f>
        <v>Chain bonus 35%;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>
        <f>'Price 120 UAH - 6 pallets'!C14</f>
        <v>0.14375000000000004</v>
      </c>
      <c r="E5" s="68" t="str">
        <f>ROUND(D5*100,0)&amp;"% = (partner price − landed cost − bonus) / full partner price."</f>
        <v>14%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0.50625</v>
      </c>
      <c r="E8" s="79" t="str">
        <f>"100% − bonus − margin. Current terms: 100% − "&amp;ROUND(D4*100,0)&amp;"% − "&amp;ROUND(D5*100,0)&amp;"% = "&amp;ROUND(D8*100,0)&amp;"%."</f>
        <v>100% − bonus − margin. Current terms: 100% − 35% − 14% = 51%.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80" t="n">
        <v>0.3</v>
      </c>
      <c r="Q9" s="59" t="n"/>
      <c r="R9" s="59" t="n"/>
      <c r="S9" s="59" t="n"/>
      <c r="T9" s="60" t="n"/>
      <c r="U9" s="181" t="n">
        <v>0.25</v>
      </c>
      <c r="V9" s="59" t="n"/>
      <c r="W9" s="59" t="n"/>
      <c r="X9" s="59" t="n"/>
      <c r="Y9" s="60" t="n"/>
      <c r="Z9" s="180" t="n">
        <v>0.2</v>
      </c>
      <c r="AA9" s="59" t="n"/>
      <c r="AB9" s="59" t="n"/>
      <c r="AC9" s="59" t="n"/>
      <c r="AD9" s="60" t="n"/>
      <c r="AE9" s="181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 incl. uplift,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  <c r="AL10" s="84" t="inlineStr">
        <is>
          <t>Self-Cost source, EUR/pack (before uplift)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>
        <f>AL11*(1+'Price 120 UAH - 6 pallets'!$G$14)</f>
        <v>1.472080078125</v>
      </c>
      <c r="F11" s="8">
        <f>IF(AND(ISNUMBER(E11),ISNUMBER($D$8)),E11*$D$3,NA())</f>
        <v>75.3705</v>
      </c>
      <c r="G11" s="9">
        <f>F11/$D$8</f>
        <v>148.88000000000002</v>
      </c>
      <c r="H11" s="10">
        <f>G11*$D$4</f>
        <v>52.108000000000004</v>
      </c>
      <c r="I11" s="11">
        <f>G11-F11-H11</f>
        <v>21.401500000000013</v>
      </c>
      <c r="J11" s="12">
        <f>I11/G11</f>
        <v>0.14375000000000007</v>
      </c>
      <c r="K11" s="13">
        <f>G11*$D$6</f>
        <v>208.43200000000002</v>
      </c>
      <c r="L11" s="14">
        <f>F11/(1-$D$4)</f>
        <v>115.9546153846154</v>
      </c>
      <c r="M11" s="14">
        <f>L11*$D$6</f>
        <v>162.33646153846155</v>
      </c>
      <c r="N11" s="15">
        <f>G11-F11</f>
        <v>73.50950000000002</v>
      </c>
      <c r="O11" s="16">
        <f>N11-H11</f>
        <v>21.401500000000013</v>
      </c>
      <c r="P11" s="40">
        <f>$F11/(1-$D$4-$P$9)</f>
        <v>215.34428571428572</v>
      </c>
      <c r="Q11" s="41">
        <f>P11*$D$4</f>
        <v>75.37049999999999</v>
      </c>
      <c r="R11" s="42">
        <f>P11-$F11-Q11</f>
        <v>64.60328571428573</v>
      </c>
      <c r="S11" s="43">
        <f>R11/P11</f>
        <v>0.3000000000000001</v>
      </c>
      <c r="T11" s="40">
        <f>P11*$D$6</f>
        <v>301.48199999999997</v>
      </c>
      <c r="U11" s="40">
        <f>$F11/(1-$D$4-$U$9)</f>
        <v>188.42625</v>
      </c>
      <c r="V11" s="41">
        <f>U11*$D$4</f>
        <v>65.9491875</v>
      </c>
      <c r="W11" s="42">
        <f>U11-$F11-V11</f>
        <v>47.10656250000001</v>
      </c>
      <c r="X11" s="43">
        <f>W11/U11</f>
        <v>0.25000000000000006</v>
      </c>
      <c r="Y11" s="40">
        <f>U11*$D$6</f>
        <v>263.79675</v>
      </c>
      <c r="Z11" s="40">
        <f>$F11/(1-$D$4-$Z$9)</f>
        <v>167.49</v>
      </c>
      <c r="AA11" s="41">
        <f>Z11*$D$4</f>
        <v>58.6215</v>
      </c>
      <c r="AB11" s="42">
        <f>Z11-$F11-AA11</f>
        <v>33.498000000000005</v>
      </c>
      <c r="AC11" s="43">
        <f>AB11/Z11</f>
        <v>0.2</v>
      </c>
      <c r="AD11" s="40">
        <f>Z11*$D$6</f>
        <v>234.486</v>
      </c>
      <c r="AE11" s="40">
        <f>$F11/(1-$D$4-$AE$9)</f>
        <v>150.741</v>
      </c>
      <c r="AF11" s="41">
        <f>AE11*$D$4</f>
        <v>52.759350000000005</v>
      </c>
      <c r="AG11" s="42">
        <f>AE11-$F11-AF11</f>
        <v>22.611150000000002</v>
      </c>
      <c r="AH11" s="43">
        <f>AG11/AE11</f>
        <v>0.15</v>
      </c>
      <c r="AI11" s="40">
        <f>AE11*$D$6</f>
        <v>211.03740000000002</v>
      </c>
      <c r="AL11" s="24" t="n">
        <v>1.308515625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>
        <f>AL12*(1+'Price 120 UAH - 6 pallets'!$G$14)</f>
        <v>1.472080078125</v>
      </c>
      <c r="F12" s="8">
        <f>IF(AND(ISNUMBER(E12),ISNUMBER($D$8)),E12*$D$3,NA())</f>
        <v>75.3705</v>
      </c>
      <c r="G12" s="9">
        <f>F12/$D$8</f>
        <v>148.88000000000002</v>
      </c>
      <c r="H12" s="10">
        <f>G12*$D$4</f>
        <v>52.108000000000004</v>
      </c>
      <c r="I12" s="11">
        <f>G12-F12-H12</f>
        <v>21.401500000000013</v>
      </c>
      <c r="J12" s="12">
        <f>I12/G12</f>
        <v>0.14375000000000007</v>
      </c>
      <c r="K12" s="13">
        <f>G12*$D$6</f>
        <v>208.43200000000002</v>
      </c>
      <c r="L12" s="14">
        <f>F12/(1-$D$4)</f>
        <v>115.9546153846154</v>
      </c>
      <c r="M12" s="14">
        <f>L12*$D$6</f>
        <v>162.33646153846155</v>
      </c>
      <c r="N12" s="15">
        <f>G12-F12</f>
        <v>73.50950000000002</v>
      </c>
      <c r="O12" s="16">
        <f>N12-H12</f>
        <v>21.401500000000013</v>
      </c>
      <c r="P12" s="40">
        <f>$F12/(1-$D$4-$P$9)</f>
        <v>215.34428571428572</v>
      </c>
      <c r="Q12" s="41">
        <f>P12*$D$4</f>
        <v>75.37049999999999</v>
      </c>
      <c r="R12" s="42">
        <f>P12-$F12-Q12</f>
        <v>64.60328571428573</v>
      </c>
      <c r="S12" s="43">
        <f>R12/P12</f>
        <v>0.3000000000000001</v>
      </c>
      <c r="T12" s="40">
        <f>P12*$D$6</f>
        <v>301.48199999999997</v>
      </c>
      <c r="U12" s="40">
        <f>$F12/(1-$D$4-$U$9)</f>
        <v>188.42625</v>
      </c>
      <c r="V12" s="41">
        <f>U12*$D$4</f>
        <v>65.9491875</v>
      </c>
      <c r="W12" s="42">
        <f>U12-$F12-V12</f>
        <v>47.10656250000001</v>
      </c>
      <c r="X12" s="43">
        <f>W12/U12</f>
        <v>0.25000000000000006</v>
      </c>
      <c r="Y12" s="40">
        <f>U12*$D$6</f>
        <v>263.79675</v>
      </c>
      <c r="Z12" s="40">
        <f>$F12/(1-$D$4-$Z$9)</f>
        <v>167.49</v>
      </c>
      <c r="AA12" s="41">
        <f>Z12*$D$4</f>
        <v>58.6215</v>
      </c>
      <c r="AB12" s="42">
        <f>Z12-$F12-AA12</f>
        <v>33.498000000000005</v>
      </c>
      <c r="AC12" s="43">
        <f>AB12/Z12</f>
        <v>0.2</v>
      </c>
      <c r="AD12" s="40">
        <f>Z12*$D$6</f>
        <v>234.486</v>
      </c>
      <c r="AE12" s="40">
        <f>$F12/(1-$D$4-$AE$9)</f>
        <v>150.741</v>
      </c>
      <c r="AF12" s="41">
        <f>AE12*$D$4</f>
        <v>52.759350000000005</v>
      </c>
      <c r="AG12" s="42">
        <f>AE12-$F12-AF12</f>
        <v>22.611150000000002</v>
      </c>
      <c r="AH12" s="43">
        <f>AG12/AE12</f>
        <v>0.15</v>
      </c>
      <c r="AI12" s="40">
        <f>AE12*$D$6</f>
        <v>211.03740000000002</v>
      </c>
      <c r="AL12" s="24" t="n">
        <v>1.308515625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>
        <f>AL13*(1+'Price 120 UAH - 6 pallets'!$G$14)</f>
        <v>1.2758027343749998</v>
      </c>
      <c r="F13" s="8">
        <f>IF(AND(ISNUMBER(E13),ISNUMBER($D$8)),E13*$D$3,NA())</f>
        <v>65.32109999999999</v>
      </c>
      <c r="G13" s="9">
        <f>F13/$D$8</f>
        <v>129.0293333333333</v>
      </c>
      <c r="H13" s="10">
        <f>G13*$D$4</f>
        <v>45.16026666666666</v>
      </c>
      <c r="I13" s="11">
        <f>G13-F13-H13</f>
        <v>18.547966666666667</v>
      </c>
      <c r="J13" s="12">
        <f>I13/G13</f>
        <v>0.14375000000000002</v>
      </c>
      <c r="K13" s="13">
        <f>G13*$D$6</f>
        <v>180.64106666666663</v>
      </c>
      <c r="L13" s="14">
        <f>F13/(1-$D$4)</f>
        <v>100.49399999999997</v>
      </c>
      <c r="M13" s="14">
        <f>L13*$D$6</f>
        <v>140.69159999999994</v>
      </c>
      <c r="N13" s="15">
        <f>G13-F13</f>
        <v>63.708233333333325</v>
      </c>
      <c r="O13" s="16">
        <f>N13-H13</f>
        <v>18.547966666666667</v>
      </c>
      <c r="P13" s="40">
        <f>$F13/(1-$D$4-$P$9)</f>
        <v>186.63171428571422</v>
      </c>
      <c r="Q13" s="41">
        <f>P13*$D$4</f>
        <v>65.32109999999997</v>
      </c>
      <c r="R13" s="42">
        <f>P13-$F13-Q13</f>
        <v>55.989514285714264</v>
      </c>
      <c r="S13" s="43">
        <f>R13/P13</f>
        <v>0.3</v>
      </c>
      <c r="T13" s="40">
        <f>P13*$D$6</f>
        <v>261.2843999999999</v>
      </c>
      <c r="U13" s="40">
        <f>$F13/(1-$D$4-$U$9)</f>
        <v>163.30274999999995</v>
      </c>
      <c r="V13" s="41">
        <f>U13*$D$4</f>
        <v>57.15596249999998</v>
      </c>
      <c r="W13" s="42">
        <f>U13-$F13-V13</f>
        <v>40.82568749999998</v>
      </c>
      <c r="X13" s="43">
        <f>W13/U13</f>
        <v>0.24999999999999994</v>
      </c>
      <c r="Y13" s="40">
        <f>U13*$D$6</f>
        <v>228.62384999999992</v>
      </c>
      <c r="Z13" s="40">
        <f>$F13/(1-$D$4-$Z$9)</f>
        <v>145.15799999999996</v>
      </c>
      <c r="AA13" s="41">
        <f>Z13*$D$4</f>
        <v>50.80529999999998</v>
      </c>
      <c r="AB13" s="42">
        <f>Z13-$F13-AA13</f>
        <v>29.03159999999999</v>
      </c>
      <c r="AC13" s="43">
        <f>AB13/Z13</f>
        <v>0.19999999999999998</v>
      </c>
      <c r="AD13" s="40">
        <f>Z13*$D$6</f>
        <v>203.22119999999993</v>
      </c>
      <c r="AE13" s="40">
        <f>$F13/(1-$D$4-$AE$9)</f>
        <v>130.64219999999997</v>
      </c>
      <c r="AF13" s="41">
        <f>AE13*$D$4</f>
        <v>45.724769999999985</v>
      </c>
      <c r="AG13" s="42">
        <f>AE13-$F13-AF13</f>
        <v>19.596330000000002</v>
      </c>
      <c r="AH13" s="43">
        <f>AG13/AE13</f>
        <v>0.15000000000000005</v>
      </c>
      <c r="AI13" s="40">
        <f>AE13*$D$6</f>
        <v>182.89907999999994</v>
      </c>
      <c r="AL13" s="24" t="n">
        <v>1.134046875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>
        <f>AL14*(1+'Price 120 UAH - 6 pallets'!$G$14)</f>
        <v>1.2758027343749998</v>
      </c>
      <c r="F14" s="8">
        <f>IF(AND(ISNUMBER(E14),ISNUMBER($D$8)),E14*$D$3,NA())</f>
        <v>65.32109999999999</v>
      </c>
      <c r="G14" s="9">
        <f>F14/$D$8</f>
        <v>129.0293333333333</v>
      </c>
      <c r="H14" s="10">
        <f>G14*$D$4</f>
        <v>45.16026666666666</v>
      </c>
      <c r="I14" s="11">
        <f>G14-F14-H14</f>
        <v>18.547966666666667</v>
      </c>
      <c r="J14" s="12">
        <f>I14/G14</f>
        <v>0.14375000000000002</v>
      </c>
      <c r="K14" s="13">
        <f>G14*$D$6</f>
        <v>180.64106666666663</v>
      </c>
      <c r="L14" s="14">
        <f>F14/(1-$D$4)</f>
        <v>100.49399999999997</v>
      </c>
      <c r="M14" s="14">
        <f>L14*$D$6</f>
        <v>140.69159999999994</v>
      </c>
      <c r="N14" s="15">
        <f>G14-F14</f>
        <v>63.708233333333325</v>
      </c>
      <c r="O14" s="16">
        <f>N14-H14</f>
        <v>18.547966666666667</v>
      </c>
      <c r="P14" s="40">
        <f>$F14/(1-$D$4-$P$9)</f>
        <v>186.63171428571422</v>
      </c>
      <c r="Q14" s="41">
        <f>P14*$D$4</f>
        <v>65.32109999999997</v>
      </c>
      <c r="R14" s="42">
        <f>P14-$F14-Q14</f>
        <v>55.989514285714264</v>
      </c>
      <c r="S14" s="43">
        <f>R14/P14</f>
        <v>0.3</v>
      </c>
      <c r="T14" s="40">
        <f>P14*$D$6</f>
        <v>261.2843999999999</v>
      </c>
      <c r="U14" s="40">
        <f>$F14/(1-$D$4-$U$9)</f>
        <v>163.30274999999995</v>
      </c>
      <c r="V14" s="41">
        <f>U14*$D$4</f>
        <v>57.15596249999998</v>
      </c>
      <c r="W14" s="42">
        <f>U14-$F14-V14</f>
        <v>40.82568749999998</v>
      </c>
      <c r="X14" s="43">
        <f>W14/U14</f>
        <v>0.24999999999999994</v>
      </c>
      <c r="Y14" s="40">
        <f>U14*$D$6</f>
        <v>228.62384999999992</v>
      </c>
      <c r="Z14" s="40">
        <f>$F14/(1-$D$4-$Z$9)</f>
        <v>145.15799999999996</v>
      </c>
      <c r="AA14" s="41">
        <f>Z14*$D$4</f>
        <v>50.80529999999998</v>
      </c>
      <c r="AB14" s="42">
        <f>Z14-$F14-AA14</f>
        <v>29.03159999999999</v>
      </c>
      <c r="AC14" s="43">
        <f>AB14/Z14</f>
        <v>0.19999999999999998</v>
      </c>
      <c r="AD14" s="40">
        <f>Z14*$D$6</f>
        <v>203.22119999999993</v>
      </c>
      <c r="AE14" s="40">
        <f>$F14/(1-$D$4-$AE$9)</f>
        <v>130.64219999999997</v>
      </c>
      <c r="AF14" s="41">
        <f>AE14*$D$4</f>
        <v>45.724769999999985</v>
      </c>
      <c r="AG14" s="42">
        <f>AE14-$F14-AF14</f>
        <v>19.596330000000002</v>
      </c>
      <c r="AH14" s="43">
        <f>AG14/AE14</f>
        <v>0.15000000000000005</v>
      </c>
      <c r="AI14" s="40">
        <f>AE14*$D$6</f>
        <v>182.89907999999994</v>
      </c>
      <c r="AL14" s="24" t="n">
        <v>1.134046875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>
        <f>AL15*(1+'Price 120 UAH - 6 pallets'!$G$14)</f>
        <v>1.2758027343749998</v>
      </c>
      <c r="F15" s="8">
        <f>IF(AND(ISNUMBER(E15),ISNUMBER($D$8)),E15*$D$3,NA())</f>
        <v>65.32109999999999</v>
      </c>
      <c r="G15" s="9">
        <f>F15/$D$8</f>
        <v>129.0293333333333</v>
      </c>
      <c r="H15" s="10">
        <f>G15*$D$4</f>
        <v>45.16026666666666</v>
      </c>
      <c r="I15" s="11">
        <f>G15-F15-H15</f>
        <v>18.547966666666667</v>
      </c>
      <c r="J15" s="12">
        <f>I15/G15</f>
        <v>0.14375000000000002</v>
      </c>
      <c r="K15" s="13">
        <f>G15*$D$6</f>
        <v>180.64106666666663</v>
      </c>
      <c r="L15" s="14">
        <f>F15/(1-$D$4)</f>
        <v>100.49399999999997</v>
      </c>
      <c r="M15" s="14">
        <f>L15*$D$6</f>
        <v>140.69159999999994</v>
      </c>
      <c r="N15" s="15">
        <f>G15-F15</f>
        <v>63.708233333333325</v>
      </c>
      <c r="O15" s="16">
        <f>N15-H15</f>
        <v>18.547966666666667</v>
      </c>
      <c r="P15" s="40">
        <f>$F15/(1-$D$4-$P$9)</f>
        <v>186.63171428571422</v>
      </c>
      <c r="Q15" s="41">
        <f>P15*$D$4</f>
        <v>65.32109999999997</v>
      </c>
      <c r="R15" s="42">
        <f>P15-$F15-Q15</f>
        <v>55.989514285714264</v>
      </c>
      <c r="S15" s="43">
        <f>R15/P15</f>
        <v>0.3</v>
      </c>
      <c r="T15" s="40">
        <f>P15*$D$6</f>
        <v>261.2843999999999</v>
      </c>
      <c r="U15" s="40">
        <f>$F15/(1-$D$4-$U$9)</f>
        <v>163.30274999999995</v>
      </c>
      <c r="V15" s="41">
        <f>U15*$D$4</f>
        <v>57.15596249999998</v>
      </c>
      <c r="W15" s="42">
        <f>U15-$F15-V15</f>
        <v>40.82568749999998</v>
      </c>
      <c r="X15" s="43">
        <f>W15/U15</f>
        <v>0.24999999999999994</v>
      </c>
      <c r="Y15" s="40">
        <f>U15*$D$6</f>
        <v>228.62384999999992</v>
      </c>
      <c r="Z15" s="40">
        <f>$F15/(1-$D$4-$Z$9)</f>
        <v>145.15799999999996</v>
      </c>
      <c r="AA15" s="41">
        <f>Z15*$D$4</f>
        <v>50.80529999999998</v>
      </c>
      <c r="AB15" s="42">
        <f>Z15-$F15-AA15</f>
        <v>29.03159999999999</v>
      </c>
      <c r="AC15" s="43">
        <f>AB15/Z15</f>
        <v>0.19999999999999998</v>
      </c>
      <c r="AD15" s="40">
        <f>Z15*$D$6</f>
        <v>203.22119999999993</v>
      </c>
      <c r="AE15" s="40">
        <f>$F15/(1-$D$4-$AE$9)</f>
        <v>130.64219999999997</v>
      </c>
      <c r="AF15" s="41">
        <f>AE15*$D$4</f>
        <v>45.724769999999985</v>
      </c>
      <c r="AG15" s="42">
        <f>AE15-$F15-AF15</f>
        <v>19.596330000000002</v>
      </c>
      <c r="AH15" s="43">
        <f>AG15/AE15</f>
        <v>0.15000000000000005</v>
      </c>
      <c r="AI15" s="40">
        <f>AE15*$D$6</f>
        <v>182.89907999999994</v>
      </c>
      <c r="AL15" s="24" t="n">
        <v>1.134046875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>
        <f>AL16*(1+'Price 120 UAH - 6 pallets'!$G$14)</f>
        <v>1.2758027343749998</v>
      </c>
      <c r="F16" s="8">
        <f>IF(AND(ISNUMBER(E16),ISNUMBER($D$8)),E16*$D$3,NA())</f>
        <v>65.32109999999999</v>
      </c>
      <c r="G16" s="9">
        <f>F16/$D$8</f>
        <v>129.0293333333333</v>
      </c>
      <c r="H16" s="10">
        <f>G16*$D$4</f>
        <v>45.16026666666666</v>
      </c>
      <c r="I16" s="11">
        <f>G16-F16-H16</f>
        <v>18.547966666666667</v>
      </c>
      <c r="J16" s="12">
        <f>I16/G16</f>
        <v>0.14375000000000002</v>
      </c>
      <c r="K16" s="13">
        <f>G16*$D$6</f>
        <v>180.64106666666663</v>
      </c>
      <c r="L16" s="14">
        <f>F16/(1-$D$4)</f>
        <v>100.49399999999997</v>
      </c>
      <c r="M16" s="14">
        <f>L16*$D$6</f>
        <v>140.69159999999994</v>
      </c>
      <c r="N16" s="15">
        <f>G16-F16</f>
        <v>63.708233333333325</v>
      </c>
      <c r="O16" s="16">
        <f>N16-H16</f>
        <v>18.547966666666667</v>
      </c>
      <c r="P16" s="40">
        <f>$F16/(1-$D$4-$P$9)</f>
        <v>186.63171428571422</v>
      </c>
      <c r="Q16" s="41">
        <f>P16*$D$4</f>
        <v>65.32109999999997</v>
      </c>
      <c r="R16" s="42">
        <f>P16-$F16-Q16</f>
        <v>55.989514285714264</v>
      </c>
      <c r="S16" s="43">
        <f>R16/P16</f>
        <v>0.3</v>
      </c>
      <c r="T16" s="40">
        <f>P16*$D$6</f>
        <v>261.2843999999999</v>
      </c>
      <c r="U16" s="40">
        <f>$F16/(1-$D$4-$U$9)</f>
        <v>163.30274999999995</v>
      </c>
      <c r="V16" s="41">
        <f>U16*$D$4</f>
        <v>57.15596249999998</v>
      </c>
      <c r="W16" s="42">
        <f>U16-$F16-V16</f>
        <v>40.82568749999998</v>
      </c>
      <c r="X16" s="43">
        <f>W16/U16</f>
        <v>0.24999999999999994</v>
      </c>
      <c r="Y16" s="40">
        <f>U16*$D$6</f>
        <v>228.62384999999992</v>
      </c>
      <c r="Z16" s="40">
        <f>$F16/(1-$D$4-$Z$9)</f>
        <v>145.15799999999996</v>
      </c>
      <c r="AA16" s="41">
        <f>Z16*$D$4</f>
        <v>50.80529999999998</v>
      </c>
      <c r="AB16" s="42">
        <f>Z16-$F16-AA16</f>
        <v>29.03159999999999</v>
      </c>
      <c r="AC16" s="43">
        <f>AB16/Z16</f>
        <v>0.19999999999999998</v>
      </c>
      <c r="AD16" s="40">
        <f>Z16*$D$6</f>
        <v>203.22119999999993</v>
      </c>
      <c r="AE16" s="40">
        <f>$F16/(1-$D$4-$AE$9)</f>
        <v>130.64219999999997</v>
      </c>
      <c r="AF16" s="41">
        <f>AE16*$D$4</f>
        <v>45.724769999999985</v>
      </c>
      <c r="AG16" s="42">
        <f>AE16-$F16-AF16</f>
        <v>19.596330000000002</v>
      </c>
      <c r="AH16" s="43">
        <f>AG16/AE16</f>
        <v>0.15000000000000005</v>
      </c>
      <c r="AI16" s="40">
        <f>AE16*$D$6</f>
        <v>182.89907999999994</v>
      </c>
      <c r="AL16" s="24" t="n">
        <v>1.134046875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1.472080078125</v>
      </c>
      <c r="G22" s="29">
        <f>E12</f>
        <v>1.472080078125</v>
      </c>
      <c r="H22" s="29">
        <f>E13</f>
        <v>1.2758027343749998</v>
      </c>
      <c r="I22" s="29">
        <f>E14</f>
        <v>1.2758027343749998</v>
      </c>
      <c r="J22" s="29">
        <f>E15</f>
        <v>1.2758027343749998</v>
      </c>
      <c r="K22" s="29">
        <f>E16</f>
        <v>1.2758027343749998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75.3705</v>
      </c>
      <c r="G24" s="31">
        <f>F12</f>
        <v>75.3705</v>
      </c>
      <c r="H24" s="31">
        <f>F13</f>
        <v>65.32109999999999</v>
      </c>
      <c r="I24" s="31">
        <f>F14</f>
        <v>65.32109999999999</v>
      </c>
      <c r="J24" s="31">
        <f>F15</f>
        <v>65.32109999999999</v>
      </c>
      <c r="K24" s="31">
        <f>F16</f>
        <v>65.32109999999999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0.14375000000000004</v>
      </c>
      <c r="G28" s="32">
        <f>$D$5</f>
        <v>0.14375000000000004</v>
      </c>
      <c r="H28" s="32">
        <f>$D$5</f>
        <v>0.14375000000000004</v>
      </c>
      <c r="I28" s="32">
        <f>$D$5</f>
        <v>0.14375000000000004</v>
      </c>
      <c r="J28" s="32">
        <f>$D$5</f>
        <v>0.14375000000000004</v>
      </c>
      <c r="K28" s="32">
        <f>$D$5</f>
        <v>0.14375000000000004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0.50625</v>
      </c>
      <c r="G29" s="32">
        <f>$D$8</f>
        <v>0.50625</v>
      </c>
      <c r="H29" s="32">
        <f>$D$8</f>
        <v>0.50625</v>
      </c>
      <c r="I29" s="32">
        <f>$D$8</f>
        <v>0.50625</v>
      </c>
      <c r="J29" s="32">
        <f>$D$8</f>
        <v>0.50625</v>
      </c>
      <c r="K29" s="32">
        <f>$D$8</f>
        <v>0.50625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148.88000000000002</v>
      </c>
      <c r="G30" s="34">
        <f>G12</f>
        <v>148.88000000000002</v>
      </c>
      <c r="H30" s="34">
        <f>G13</f>
        <v>129.0293333333333</v>
      </c>
      <c r="I30" s="34">
        <f>G14</f>
        <v>129.0293333333333</v>
      </c>
      <c r="J30" s="34">
        <f>G15</f>
        <v>129.0293333333333</v>
      </c>
      <c r="K30" s="34">
        <f>G16</f>
        <v>129.0293333333333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73.50950000000002</v>
      </c>
      <c r="G31" s="31">
        <f>N12</f>
        <v>73.50950000000002</v>
      </c>
      <c r="H31" s="31">
        <f>N13</f>
        <v>63.708233333333325</v>
      </c>
      <c r="I31" s="31">
        <f>N14</f>
        <v>63.708233333333325</v>
      </c>
      <c r="J31" s="31">
        <f>N15</f>
        <v>63.708233333333325</v>
      </c>
      <c r="K31" s="31">
        <f>N16</f>
        <v>63.708233333333325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52.108000000000004</v>
      </c>
      <c r="G32" s="31">
        <f>H12</f>
        <v>52.108000000000004</v>
      </c>
      <c r="H32" s="31">
        <f>H13</f>
        <v>45.16026666666666</v>
      </c>
      <c r="I32" s="31">
        <f>H14</f>
        <v>45.16026666666666</v>
      </c>
      <c r="J32" s="31">
        <f>H15</f>
        <v>45.16026666666666</v>
      </c>
      <c r="K32" s="31">
        <f>H16</f>
        <v>45.16026666666666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21.401500000000013</v>
      </c>
      <c r="G33" s="36">
        <f>I12</f>
        <v>21.401500000000013</v>
      </c>
      <c r="H33" s="36">
        <f>I13</f>
        <v>18.547966666666667</v>
      </c>
      <c r="I33" s="36">
        <f>I14</f>
        <v>18.547966666666667</v>
      </c>
      <c r="J33" s="36">
        <f>I15</f>
        <v>18.547966666666667</v>
      </c>
      <c r="K33" s="36">
        <f>I16</f>
        <v>18.547966666666667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0.14375000000000007</v>
      </c>
      <c r="G34" s="37">
        <f>J12</f>
        <v>0.14375000000000007</v>
      </c>
      <c r="H34" s="37">
        <f>J13</f>
        <v>0.14375000000000002</v>
      </c>
      <c r="I34" s="37">
        <f>J14</f>
        <v>0.14375000000000002</v>
      </c>
      <c r="J34" s="37">
        <f>J15</f>
        <v>0.14375000000000002</v>
      </c>
      <c r="K34" s="37">
        <f>J16</f>
        <v>0.14375000000000002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208.43200000000002</v>
      </c>
      <c r="G37" s="34">
        <f>K12</f>
        <v>208.43200000000002</v>
      </c>
      <c r="H37" s="34">
        <f>K13</f>
        <v>180.64106666666663</v>
      </c>
      <c r="I37" s="34">
        <f>K14</f>
        <v>180.64106666666663</v>
      </c>
      <c r="J37" s="34">
        <f>K15</f>
        <v>180.64106666666663</v>
      </c>
      <c r="K37" s="34">
        <f>K16</f>
        <v>180.64106666666663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115.9546153846154</v>
      </c>
      <c r="G38" s="31">
        <f>L12</f>
        <v>115.9546153846154</v>
      </c>
      <c r="H38" s="31">
        <f>L13</f>
        <v>100.49399999999997</v>
      </c>
      <c r="I38" s="31">
        <f>L14</f>
        <v>100.49399999999997</v>
      </c>
      <c r="J38" s="31">
        <f>L15</f>
        <v>100.49399999999997</v>
      </c>
      <c r="K38" s="31">
        <f>L16</f>
        <v>100.49399999999997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162.33646153846155</v>
      </c>
      <c r="G39" s="31">
        <f>M12</f>
        <v>162.33646153846155</v>
      </c>
      <c r="H39" s="31">
        <f>M13</f>
        <v>140.69159999999994</v>
      </c>
      <c r="I39" s="31">
        <f>M14</f>
        <v>140.69159999999994</v>
      </c>
      <c r="J39" s="31">
        <f>M15</f>
        <v>140.69159999999994</v>
      </c>
      <c r="K39" s="31">
        <f>M16</f>
        <v>140.69159999999994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L59" evalError="1" formula="1" formulaRange="1" unlockedFormula="1" numberStoredAsText="1" emptyCellReference="1" twoDigitTextYear="1" listDataValidation="1" calculatedColumn="1"/>
  </ignoredError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  <col width="18" customWidth="1" style="71" min="38" max="38"/>
  </cols>
  <sheetData>
    <row r="1" ht="17.25" customHeight="1" s="71">
      <c r="A1" s="21" t="n"/>
      <c r="B1" s="85" t="inlineStr">
        <is>
          <t>Ramen. Partner price and shelf price — 33 pallets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33 pallets</t>
        </is>
      </c>
      <c r="E2" s="86" t="inlineStr">
        <is>
          <t>Landed cost = Self-Cost_Sias (col. AL) × (1 + uplift from G14 on the "Price 120 UAH" sheet).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0.35</v>
      </c>
      <c r="E4" s="68" t="str">
        <f>"Chain bonus "&amp;ROUND(D4*100,0)&amp;"%; shelf = partner price × "&amp;D6&amp;"."</f>
        <v>Chain bonus 35%;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>
        <f>'Price 120 UAH - 33 pallets'!C14</f>
        <v>0.14375000000000004</v>
      </c>
      <c r="E5" s="68" t="str">
        <f>ROUND(D5*100,0)&amp;"% = (partner price − landed cost − bonus) / full partner price."</f>
        <v>14%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0.50625</v>
      </c>
      <c r="E8" s="79" t="str">
        <f>"100% − bonus − margin. Current terms: 100% − "&amp;ROUND(D4*100,0)&amp;"% − "&amp;ROUND(D5*100,0)&amp;"% = "&amp;ROUND(D8*100,0)&amp;"%."</f>
        <v>100% − bonus − margin. Current terms: 100% − 35% − 14% = 51%.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80" t="n">
        <v>0.3</v>
      </c>
      <c r="Q9" s="59" t="n"/>
      <c r="R9" s="59" t="n"/>
      <c r="S9" s="59" t="n"/>
      <c r="T9" s="60" t="n"/>
      <c r="U9" s="181" t="n">
        <v>0.25</v>
      </c>
      <c r="V9" s="59" t="n"/>
      <c r="W9" s="59" t="n"/>
      <c r="X9" s="59" t="n"/>
      <c r="Y9" s="60" t="n"/>
      <c r="Z9" s="180" t="n">
        <v>0.2</v>
      </c>
      <c r="AA9" s="59" t="n"/>
      <c r="AB9" s="59" t="n"/>
      <c r="AC9" s="59" t="n"/>
      <c r="AD9" s="60" t="n"/>
      <c r="AE9" s="181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 incl. uplift,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  <c r="AL10" s="84" t="inlineStr">
        <is>
          <t>Self-Cost source, EUR/pack (before uplift)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>
        <f>AL11*(1+'Price 120 UAH - 33 pallets'!$G$14)</f>
        <v>1.1453975485503278</v>
      </c>
      <c r="F11" s="8">
        <f>IF(AND(ISNUMBER(E11),ISNUMBER($D$8)),E11*$D$3,NA())</f>
        <v>58.64435448577679</v>
      </c>
      <c r="G11" s="9">
        <f>F11/$D$8</f>
        <v>115.84070021881836</v>
      </c>
      <c r="H11" s="10">
        <f>G11*$D$4</f>
        <v>40.54424507658642</v>
      </c>
      <c r="I11" s="11">
        <f>G11-F11-H11</f>
        <v>16.652100656455147</v>
      </c>
      <c r="J11" s="12">
        <f>I11/G11</f>
        <v>0.14375000000000007</v>
      </c>
      <c r="K11" s="13">
        <f>G11*$D$6</f>
        <v>162.17698030634568</v>
      </c>
      <c r="L11" s="14">
        <f>F11/(1-$D$4)</f>
        <v>90.22208382427198</v>
      </c>
      <c r="M11" s="14">
        <f>L11*$D$6</f>
        <v>126.31091735398076</v>
      </c>
      <c r="N11" s="15">
        <f>G11-F11</f>
        <v>57.19634573304157</v>
      </c>
      <c r="O11" s="16">
        <f>N11-H11</f>
        <v>16.652100656455147</v>
      </c>
      <c r="P11" s="40">
        <f>$F11/(1-$D$4-$P$9)</f>
        <v>167.5552985307908</v>
      </c>
      <c r="Q11" s="41">
        <f>P11*$D$4</f>
        <v>58.64435448577677</v>
      </c>
      <c r="R11" s="42">
        <f>P11-$F11-Q11</f>
        <v>50.26658955923723</v>
      </c>
      <c r="S11" s="43">
        <f>R11/P11</f>
        <v>0.3</v>
      </c>
      <c r="T11" s="40">
        <f>P11*$D$6</f>
        <v>234.5774179431071</v>
      </c>
      <c r="U11" s="40">
        <f>$F11/(1-$D$4-$U$9)</f>
        <v>146.61088621444196</v>
      </c>
      <c r="V11" s="41">
        <f>U11*$D$4</f>
        <v>51.313810175054684</v>
      </c>
      <c r="W11" s="42">
        <f>U11-$F11-V11</f>
        <v>36.65272155361049</v>
      </c>
      <c r="X11" s="43">
        <f>W11/U11</f>
        <v>0.25</v>
      </c>
      <c r="Y11" s="40">
        <f>U11*$D$6</f>
        <v>205.25524070021874</v>
      </c>
      <c r="Z11" s="40">
        <f>$F11/(1-$D$4-$Z$9)</f>
        <v>130.32078774617062</v>
      </c>
      <c r="AA11" s="41">
        <f>Z11*$D$4</f>
        <v>45.61227571115972</v>
      </c>
      <c r="AB11" s="42">
        <f>Z11-$F11-AA11</f>
        <v>26.064157549234118</v>
      </c>
      <c r="AC11" s="43">
        <f>AB11/Z11</f>
        <v>0.19999999999999996</v>
      </c>
      <c r="AD11" s="40">
        <f>Z11*$D$6</f>
        <v>182.44910284463887</v>
      </c>
      <c r="AE11" s="40">
        <f>$F11/(1-$D$4-$AE$9)</f>
        <v>117.28870897155358</v>
      </c>
      <c r="AF11" s="41">
        <f>AE11*$D$4</f>
        <v>41.05104814004375</v>
      </c>
      <c r="AG11" s="42">
        <f>AE11-$F11-AF11</f>
        <v>17.59330634573304</v>
      </c>
      <c r="AH11" s="43">
        <f>AG11/AE11</f>
        <v>0.15000000000000005</v>
      </c>
      <c r="AI11" s="40">
        <f>AE11*$D$6</f>
        <v>164.204192560175</v>
      </c>
      <c r="AL11" s="24" t="n">
        <v>1.018131154266958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>
        <f>AL12*(1+'Price 120 UAH - 33 pallets'!$G$14)</f>
        <v>1.1453975485503278</v>
      </c>
      <c r="F12" s="8">
        <f>IF(AND(ISNUMBER(E12),ISNUMBER($D$8)),E12*$D$3,NA())</f>
        <v>58.64435448577679</v>
      </c>
      <c r="G12" s="9">
        <f>F12/$D$8</f>
        <v>115.84070021881836</v>
      </c>
      <c r="H12" s="10">
        <f>G12*$D$4</f>
        <v>40.54424507658642</v>
      </c>
      <c r="I12" s="11">
        <f>G12-F12-H12</f>
        <v>16.652100656455147</v>
      </c>
      <c r="J12" s="12">
        <f>I12/G12</f>
        <v>0.14375000000000007</v>
      </c>
      <c r="K12" s="13">
        <f>G12*$D$6</f>
        <v>162.17698030634568</v>
      </c>
      <c r="L12" s="14">
        <f>F12/(1-$D$4)</f>
        <v>90.22208382427198</v>
      </c>
      <c r="M12" s="14">
        <f>L12*$D$6</f>
        <v>126.31091735398076</v>
      </c>
      <c r="N12" s="15">
        <f>G12-F12</f>
        <v>57.19634573304157</v>
      </c>
      <c r="O12" s="16">
        <f>N12-H12</f>
        <v>16.652100656455147</v>
      </c>
      <c r="P12" s="40">
        <f>$F12/(1-$D$4-$P$9)</f>
        <v>167.5552985307908</v>
      </c>
      <c r="Q12" s="41">
        <f>P12*$D$4</f>
        <v>58.64435448577677</v>
      </c>
      <c r="R12" s="42">
        <f>P12-$F12-Q12</f>
        <v>50.26658955923723</v>
      </c>
      <c r="S12" s="43">
        <f>R12/P12</f>
        <v>0.3</v>
      </c>
      <c r="T12" s="40">
        <f>P12*$D$6</f>
        <v>234.5774179431071</v>
      </c>
      <c r="U12" s="40">
        <f>$F12/(1-$D$4-$U$9)</f>
        <v>146.61088621444196</v>
      </c>
      <c r="V12" s="41">
        <f>U12*$D$4</f>
        <v>51.313810175054684</v>
      </c>
      <c r="W12" s="42">
        <f>U12-$F12-V12</f>
        <v>36.65272155361049</v>
      </c>
      <c r="X12" s="43">
        <f>W12/U12</f>
        <v>0.25</v>
      </c>
      <c r="Y12" s="40">
        <f>U12*$D$6</f>
        <v>205.25524070021874</v>
      </c>
      <c r="Z12" s="40">
        <f>$F12/(1-$D$4-$Z$9)</f>
        <v>130.32078774617062</v>
      </c>
      <c r="AA12" s="41">
        <f>Z12*$D$4</f>
        <v>45.61227571115972</v>
      </c>
      <c r="AB12" s="42">
        <f>Z12-$F12-AA12</f>
        <v>26.064157549234118</v>
      </c>
      <c r="AC12" s="43">
        <f>AB12/Z12</f>
        <v>0.19999999999999996</v>
      </c>
      <c r="AD12" s="40">
        <f>Z12*$D$6</f>
        <v>182.44910284463887</v>
      </c>
      <c r="AE12" s="40">
        <f>$F12/(1-$D$4-$AE$9)</f>
        <v>117.28870897155358</v>
      </c>
      <c r="AF12" s="41">
        <f>AE12*$D$4</f>
        <v>41.05104814004375</v>
      </c>
      <c r="AG12" s="42">
        <f>AE12-$F12-AF12</f>
        <v>17.59330634573304</v>
      </c>
      <c r="AH12" s="43">
        <f>AG12/AE12</f>
        <v>0.15000000000000005</v>
      </c>
      <c r="AI12" s="40">
        <f>AE12*$D$6</f>
        <v>164.204192560175</v>
      </c>
      <c r="AL12" s="24" t="n">
        <v>1.018131154266958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>
        <f>AL13*(1+'Price 120 UAH - 33 pallets'!$G$14)</f>
        <v>0.992677875410285</v>
      </c>
      <c r="F13" s="8">
        <f>IF(AND(ISNUMBER(E13),ISNUMBER($D$8)),E13*$D$3,NA())</f>
        <v>50.82510722100659</v>
      </c>
      <c r="G13" s="9">
        <f>F13/$D$8</f>
        <v>100.39527352297598</v>
      </c>
      <c r="H13" s="10">
        <f>G13*$D$4</f>
        <v>35.13834573304159</v>
      </c>
      <c r="I13" s="11">
        <f>G13-F13-H13</f>
        <v>14.431820568927805</v>
      </c>
      <c r="J13" s="12">
        <f>I13/G13</f>
        <v>0.14375000000000007</v>
      </c>
      <c r="K13" s="13">
        <f>G13*$D$6</f>
        <v>140.55338293216636</v>
      </c>
      <c r="L13" s="14">
        <f>F13/(1-$D$4)</f>
        <v>78.19247264770244</v>
      </c>
      <c r="M13" s="14">
        <f>L13*$D$6</f>
        <v>109.46946170678342</v>
      </c>
      <c r="N13" s="15">
        <f>G13-F13</f>
        <v>49.570166301969394</v>
      </c>
      <c r="O13" s="16">
        <f>N13-H13</f>
        <v>14.431820568927805</v>
      </c>
      <c r="P13" s="40">
        <f>$F13/(1-$D$4-$P$9)</f>
        <v>145.21459206001882</v>
      </c>
      <c r="Q13" s="41">
        <f>P13*$D$4</f>
        <v>50.82510722100658</v>
      </c>
      <c r="R13" s="42">
        <f>P13-$F13-Q13</f>
        <v>43.56437761800564</v>
      </c>
      <c r="S13" s="43">
        <f>R13/P13</f>
        <v>0.3</v>
      </c>
      <c r="T13" s="40">
        <f>P13*$D$6</f>
        <v>203.30042888402633</v>
      </c>
      <c r="U13" s="40">
        <f>$F13/(1-$D$4-$U$9)</f>
        <v>127.06276805251647</v>
      </c>
      <c r="V13" s="41">
        <f>U13*$D$4</f>
        <v>44.471968818380766</v>
      </c>
      <c r="W13" s="42">
        <f>U13-$F13-V13</f>
        <v>31.76569201312912</v>
      </c>
      <c r="X13" s="43">
        <f>W13/U13</f>
        <v>0.25</v>
      </c>
      <c r="Y13" s="40">
        <f>U13*$D$6</f>
        <v>177.88787527352306</v>
      </c>
      <c r="Z13" s="40">
        <f>$F13/(1-$D$4-$Z$9)</f>
        <v>112.94468271334797</v>
      </c>
      <c r="AA13" s="41">
        <f>Z13*$D$4</f>
        <v>39.53063894967179</v>
      </c>
      <c r="AB13" s="42">
        <f>Z13-$F13-AA13</f>
        <v>22.588936542669593</v>
      </c>
      <c r="AC13" s="43">
        <f>AB13/Z13</f>
        <v>0.19999999999999998</v>
      </c>
      <c r="AD13" s="40">
        <f>Z13*$D$6</f>
        <v>158.12255579868716</v>
      </c>
      <c r="AE13" s="40">
        <f>$F13/(1-$D$4-$AE$9)</f>
        <v>101.65021444201318</v>
      </c>
      <c r="AF13" s="41">
        <f>AE13*$D$4</f>
        <v>35.57757505470461</v>
      </c>
      <c r="AG13" s="42">
        <f>AE13-$F13-AF13</f>
        <v>15.24753216630198</v>
      </c>
      <c r="AH13" s="43">
        <f>AG13/AE13</f>
        <v>0.15000000000000002</v>
      </c>
      <c r="AI13" s="40">
        <f>AE13*$D$6</f>
        <v>142.31030021881844</v>
      </c>
      <c r="AL13" s="24" t="n">
        <v>0.8823803336980306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>
        <f>AL14*(1+'Price 120 UAH - 33 pallets'!$G$14)</f>
        <v>0.992677875410285</v>
      </c>
      <c r="F14" s="8">
        <f>IF(AND(ISNUMBER(E14),ISNUMBER($D$8)),E14*$D$3,NA())</f>
        <v>50.82510722100659</v>
      </c>
      <c r="G14" s="9">
        <f>F14/$D$8</f>
        <v>100.39527352297598</v>
      </c>
      <c r="H14" s="10">
        <f>G14*$D$4</f>
        <v>35.13834573304159</v>
      </c>
      <c r="I14" s="11">
        <f>G14-F14-H14</f>
        <v>14.431820568927805</v>
      </c>
      <c r="J14" s="12">
        <f>I14/G14</f>
        <v>0.14375000000000007</v>
      </c>
      <c r="K14" s="13">
        <f>G14*$D$6</f>
        <v>140.55338293216636</v>
      </c>
      <c r="L14" s="14">
        <f>F14/(1-$D$4)</f>
        <v>78.19247264770244</v>
      </c>
      <c r="M14" s="14">
        <f>L14*$D$6</f>
        <v>109.46946170678342</v>
      </c>
      <c r="N14" s="15">
        <f>G14-F14</f>
        <v>49.570166301969394</v>
      </c>
      <c r="O14" s="16">
        <f>N14-H14</f>
        <v>14.431820568927805</v>
      </c>
      <c r="P14" s="40">
        <f>$F14/(1-$D$4-$P$9)</f>
        <v>145.21459206001882</v>
      </c>
      <c r="Q14" s="41">
        <f>P14*$D$4</f>
        <v>50.82510722100658</v>
      </c>
      <c r="R14" s="42">
        <f>P14-$F14-Q14</f>
        <v>43.56437761800564</v>
      </c>
      <c r="S14" s="43">
        <f>R14/P14</f>
        <v>0.3</v>
      </c>
      <c r="T14" s="40">
        <f>P14*$D$6</f>
        <v>203.30042888402633</v>
      </c>
      <c r="U14" s="40">
        <f>$F14/(1-$D$4-$U$9)</f>
        <v>127.06276805251647</v>
      </c>
      <c r="V14" s="41">
        <f>U14*$D$4</f>
        <v>44.471968818380766</v>
      </c>
      <c r="W14" s="42">
        <f>U14-$F14-V14</f>
        <v>31.76569201312912</v>
      </c>
      <c r="X14" s="43">
        <f>W14/U14</f>
        <v>0.25</v>
      </c>
      <c r="Y14" s="40">
        <f>U14*$D$6</f>
        <v>177.88787527352306</v>
      </c>
      <c r="Z14" s="40">
        <f>$F14/(1-$D$4-$Z$9)</f>
        <v>112.94468271334797</v>
      </c>
      <c r="AA14" s="41">
        <f>Z14*$D$4</f>
        <v>39.53063894967179</v>
      </c>
      <c r="AB14" s="42">
        <f>Z14-$F14-AA14</f>
        <v>22.588936542669593</v>
      </c>
      <c r="AC14" s="43">
        <f>AB14/Z14</f>
        <v>0.19999999999999998</v>
      </c>
      <c r="AD14" s="40">
        <f>Z14*$D$6</f>
        <v>158.12255579868716</v>
      </c>
      <c r="AE14" s="40">
        <f>$F14/(1-$D$4-$AE$9)</f>
        <v>101.65021444201318</v>
      </c>
      <c r="AF14" s="41">
        <f>AE14*$D$4</f>
        <v>35.57757505470461</v>
      </c>
      <c r="AG14" s="42">
        <f>AE14-$F14-AF14</f>
        <v>15.24753216630198</v>
      </c>
      <c r="AH14" s="43">
        <f>AG14/AE14</f>
        <v>0.15000000000000002</v>
      </c>
      <c r="AI14" s="40">
        <f>AE14*$D$6</f>
        <v>142.31030021881844</v>
      </c>
      <c r="AL14" s="24" t="n">
        <v>0.8823803336980306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>
        <f>AL15*(1+'Price 120 UAH - 33 pallets'!$G$14)</f>
        <v>0.992677875410285</v>
      </c>
      <c r="F15" s="8">
        <f>IF(AND(ISNUMBER(E15),ISNUMBER($D$8)),E15*$D$3,NA())</f>
        <v>50.82510722100659</v>
      </c>
      <c r="G15" s="9">
        <f>F15/$D$8</f>
        <v>100.39527352297598</v>
      </c>
      <c r="H15" s="10">
        <f>G15*$D$4</f>
        <v>35.13834573304159</v>
      </c>
      <c r="I15" s="11">
        <f>G15-F15-H15</f>
        <v>14.431820568927805</v>
      </c>
      <c r="J15" s="12">
        <f>I15/G15</f>
        <v>0.14375000000000007</v>
      </c>
      <c r="K15" s="13">
        <f>G15*$D$6</f>
        <v>140.55338293216636</v>
      </c>
      <c r="L15" s="14">
        <f>F15/(1-$D$4)</f>
        <v>78.19247264770244</v>
      </c>
      <c r="M15" s="14">
        <f>L15*$D$6</f>
        <v>109.46946170678342</v>
      </c>
      <c r="N15" s="15">
        <f>G15-F15</f>
        <v>49.570166301969394</v>
      </c>
      <c r="O15" s="16">
        <f>N15-H15</f>
        <v>14.431820568927805</v>
      </c>
      <c r="P15" s="40">
        <f>$F15/(1-$D$4-$P$9)</f>
        <v>145.21459206001882</v>
      </c>
      <c r="Q15" s="41">
        <f>P15*$D$4</f>
        <v>50.82510722100658</v>
      </c>
      <c r="R15" s="42">
        <f>P15-$F15-Q15</f>
        <v>43.56437761800564</v>
      </c>
      <c r="S15" s="43">
        <f>R15/P15</f>
        <v>0.3</v>
      </c>
      <c r="T15" s="40">
        <f>P15*$D$6</f>
        <v>203.30042888402633</v>
      </c>
      <c r="U15" s="40">
        <f>$F15/(1-$D$4-$U$9)</f>
        <v>127.06276805251647</v>
      </c>
      <c r="V15" s="41">
        <f>U15*$D$4</f>
        <v>44.471968818380766</v>
      </c>
      <c r="W15" s="42">
        <f>U15-$F15-V15</f>
        <v>31.76569201312912</v>
      </c>
      <c r="X15" s="43">
        <f>W15/U15</f>
        <v>0.25</v>
      </c>
      <c r="Y15" s="40">
        <f>U15*$D$6</f>
        <v>177.88787527352306</v>
      </c>
      <c r="Z15" s="40">
        <f>$F15/(1-$D$4-$Z$9)</f>
        <v>112.94468271334797</v>
      </c>
      <c r="AA15" s="41">
        <f>Z15*$D$4</f>
        <v>39.53063894967179</v>
      </c>
      <c r="AB15" s="42">
        <f>Z15-$F15-AA15</f>
        <v>22.588936542669593</v>
      </c>
      <c r="AC15" s="43">
        <f>AB15/Z15</f>
        <v>0.19999999999999998</v>
      </c>
      <c r="AD15" s="40">
        <f>Z15*$D$6</f>
        <v>158.12255579868716</v>
      </c>
      <c r="AE15" s="40">
        <f>$F15/(1-$D$4-$AE$9)</f>
        <v>101.65021444201318</v>
      </c>
      <c r="AF15" s="41">
        <f>AE15*$D$4</f>
        <v>35.57757505470461</v>
      </c>
      <c r="AG15" s="42">
        <f>AE15-$F15-AF15</f>
        <v>15.24753216630198</v>
      </c>
      <c r="AH15" s="43">
        <f>AG15/AE15</f>
        <v>0.15000000000000002</v>
      </c>
      <c r="AI15" s="40">
        <f>AE15*$D$6</f>
        <v>142.31030021881844</v>
      </c>
      <c r="AL15" s="24" t="n">
        <v>0.8823803336980306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>
        <f>AL16*(1+'Price 120 UAH - 33 pallets'!$G$14)</f>
        <v>0.992677875410285</v>
      </c>
      <c r="F16" s="8">
        <f>IF(AND(ISNUMBER(E16),ISNUMBER($D$8)),E16*$D$3,NA())</f>
        <v>50.82510722100659</v>
      </c>
      <c r="G16" s="9">
        <f>F16/$D$8</f>
        <v>100.39527352297598</v>
      </c>
      <c r="H16" s="10">
        <f>G16*$D$4</f>
        <v>35.13834573304159</v>
      </c>
      <c r="I16" s="11">
        <f>G16-F16-H16</f>
        <v>14.431820568927805</v>
      </c>
      <c r="J16" s="12">
        <f>I16/G16</f>
        <v>0.14375000000000007</v>
      </c>
      <c r="K16" s="13">
        <f>G16*$D$6</f>
        <v>140.55338293216636</v>
      </c>
      <c r="L16" s="14">
        <f>F16/(1-$D$4)</f>
        <v>78.19247264770244</v>
      </c>
      <c r="M16" s="14">
        <f>L16*$D$6</f>
        <v>109.46946170678342</v>
      </c>
      <c r="N16" s="15">
        <f>G16-F16</f>
        <v>49.570166301969394</v>
      </c>
      <c r="O16" s="16">
        <f>N16-H16</f>
        <v>14.431820568927805</v>
      </c>
      <c r="P16" s="40">
        <f>$F16/(1-$D$4-$P$9)</f>
        <v>145.21459206001882</v>
      </c>
      <c r="Q16" s="41">
        <f>P16*$D$4</f>
        <v>50.82510722100658</v>
      </c>
      <c r="R16" s="42">
        <f>P16-$F16-Q16</f>
        <v>43.56437761800564</v>
      </c>
      <c r="S16" s="43">
        <f>R16/P16</f>
        <v>0.3</v>
      </c>
      <c r="T16" s="40">
        <f>P16*$D$6</f>
        <v>203.30042888402633</v>
      </c>
      <c r="U16" s="40">
        <f>$F16/(1-$D$4-$U$9)</f>
        <v>127.06276805251647</v>
      </c>
      <c r="V16" s="41">
        <f>U16*$D$4</f>
        <v>44.471968818380766</v>
      </c>
      <c r="W16" s="42">
        <f>U16-$F16-V16</f>
        <v>31.76569201312912</v>
      </c>
      <c r="X16" s="43">
        <f>W16/U16</f>
        <v>0.25</v>
      </c>
      <c r="Y16" s="40">
        <f>U16*$D$6</f>
        <v>177.88787527352306</v>
      </c>
      <c r="Z16" s="40">
        <f>$F16/(1-$D$4-$Z$9)</f>
        <v>112.94468271334797</v>
      </c>
      <c r="AA16" s="41">
        <f>Z16*$D$4</f>
        <v>39.53063894967179</v>
      </c>
      <c r="AB16" s="42">
        <f>Z16-$F16-AA16</f>
        <v>22.588936542669593</v>
      </c>
      <c r="AC16" s="43">
        <f>AB16/Z16</f>
        <v>0.19999999999999998</v>
      </c>
      <c r="AD16" s="40">
        <f>Z16*$D$6</f>
        <v>158.12255579868716</v>
      </c>
      <c r="AE16" s="40">
        <f>$F16/(1-$D$4-$AE$9)</f>
        <v>101.65021444201318</v>
      </c>
      <c r="AF16" s="41">
        <f>AE16*$D$4</f>
        <v>35.57757505470461</v>
      </c>
      <c r="AG16" s="42">
        <f>AE16-$F16-AF16</f>
        <v>15.24753216630198</v>
      </c>
      <c r="AH16" s="43">
        <f>AG16/AE16</f>
        <v>0.15000000000000002</v>
      </c>
      <c r="AI16" s="40">
        <f>AE16*$D$6</f>
        <v>142.31030021881844</v>
      </c>
      <c r="AL16" s="24" t="n">
        <v>0.8823803336980306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1.1453975485503278</v>
      </c>
      <c r="G22" s="29">
        <f>E12</f>
        <v>1.1453975485503278</v>
      </c>
      <c r="H22" s="29">
        <f>E13</f>
        <v>0.992677875410285</v>
      </c>
      <c r="I22" s="29">
        <f>E14</f>
        <v>0.992677875410285</v>
      </c>
      <c r="J22" s="29">
        <f>E15</f>
        <v>0.992677875410285</v>
      </c>
      <c r="K22" s="29">
        <f>E16</f>
        <v>0.992677875410285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58.64435448577679</v>
      </c>
      <c r="G24" s="31">
        <f>F12</f>
        <v>58.64435448577679</v>
      </c>
      <c r="H24" s="31">
        <f>F13</f>
        <v>50.82510722100659</v>
      </c>
      <c r="I24" s="31">
        <f>F14</f>
        <v>50.82510722100659</v>
      </c>
      <c r="J24" s="31">
        <f>F15</f>
        <v>50.82510722100659</v>
      </c>
      <c r="K24" s="31">
        <f>F16</f>
        <v>50.82510722100659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0.14375000000000004</v>
      </c>
      <c r="G28" s="32">
        <f>$D$5</f>
        <v>0.14375000000000004</v>
      </c>
      <c r="H28" s="32">
        <f>$D$5</f>
        <v>0.14375000000000004</v>
      </c>
      <c r="I28" s="32">
        <f>$D$5</f>
        <v>0.14375000000000004</v>
      </c>
      <c r="J28" s="32">
        <f>$D$5</f>
        <v>0.14375000000000004</v>
      </c>
      <c r="K28" s="32">
        <f>$D$5</f>
        <v>0.14375000000000004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0.50625</v>
      </c>
      <c r="G29" s="32">
        <f>$D$8</f>
        <v>0.50625</v>
      </c>
      <c r="H29" s="32">
        <f>$D$8</f>
        <v>0.50625</v>
      </c>
      <c r="I29" s="32">
        <f>$D$8</f>
        <v>0.50625</v>
      </c>
      <c r="J29" s="32">
        <f>$D$8</f>
        <v>0.50625</v>
      </c>
      <c r="K29" s="32">
        <f>$D$8</f>
        <v>0.50625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115.84070021881836</v>
      </c>
      <c r="G30" s="34">
        <f>G12</f>
        <v>115.84070021881836</v>
      </c>
      <c r="H30" s="34">
        <f>G13</f>
        <v>100.39527352297598</v>
      </c>
      <c r="I30" s="34">
        <f>G14</f>
        <v>100.39527352297598</v>
      </c>
      <c r="J30" s="34">
        <f>G15</f>
        <v>100.39527352297598</v>
      </c>
      <c r="K30" s="34">
        <f>G16</f>
        <v>100.39527352297598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57.19634573304157</v>
      </c>
      <c r="G31" s="31">
        <f>N12</f>
        <v>57.19634573304157</v>
      </c>
      <c r="H31" s="31">
        <f>N13</f>
        <v>49.570166301969394</v>
      </c>
      <c r="I31" s="31">
        <f>N14</f>
        <v>49.570166301969394</v>
      </c>
      <c r="J31" s="31">
        <f>N15</f>
        <v>49.570166301969394</v>
      </c>
      <c r="K31" s="31">
        <f>N16</f>
        <v>49.570166301969394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40.54424507658642</v>
      </c>
      <c r="G32" s="31">
        <f>H12</f>
        <v>40.54424507658642</v>
      </c>
      <c r="H32" s="31">
        <f>H13</f>
        <v>35.13834573304159</v>
      </c>
      <c r="I32" s="31">
        <f>H14</f>
        <v>35.13834573304159</v>
      </c>
      <c r="J32" s="31">
        <f>H15</f>
        <v>35.13834573304159</v>
      </c>
      <c r="K32" s="31">
        <f>H16</f>
        <v>35.13834573304159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16.652100656455147</v>
      </c>
      <c r="G33" s="36">
        <f>I12</f>
        <v>16.652100656455147</v>
      </c>
      <c r="H33" s="36">
        <f>I13</f>
        <v>14.431820568927805</v>
      </c>
      <c r="I33" s="36">
        <f>I14</f>
        <v>14.431820568927805</v>
      </c>
      <c r="J33" s="36">
        <f>I15</f>
        <v>14.431820568927805</v>
      </c>
      <c r="K33" s="36">
        <f>I16</f>
        <v>14.431820568927805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0.14375000000000007</v>
      </c>
      <c r="G34" s="37">
        <f>J12</f>
        <v>0.14375000000000007</v>
      </c>
      <c r="H34" s="37">
        <f>J13</f>
        <v>0.14375000000000007</v>
      </c>
      <c r="I34" s="37">
        <f>J14</f>
        <v>0.14375000000000007</v>
      </c>
      <c r="J34" s="37">
        <f>J15</f>
        <v>0.14375000000000007</v>
      </c>
      <c r="K34" s="37">
        <f>J16</f>
        <v>0.14375000000000007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162.17698030634568</v>
      </c>
      <c r="G37" s="34">
        <f>K12</f>
        <v>162.17698030634568</v>
      </c>
      <c r="H37" s="34">
        <f>K13</f>
        <v>140.55338293216636</v>
      </c>
      <c r="I37" s="34">
        <f>K14</f>
        <v>140.55338293216636</v>
      </c>
      <c r="J37" s="34">
        <f>K15</f>
        <v>140.55338293216636</v>
      </c>
      <c r="K37" s="34">
        <f>K16</f>
        <v>140.55338293216636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90.22208382427198</v>
      </c>
      <c r="G38" s="31">
        <f>L12</f>
        <v>90.22208382427198</v>
      </c>
      <c r="H38" s="31">
        <f>L13</f>
        <v>78.19247264770244</v>
      </c>
      <c r="I38" s="31">
        <f>L14</f>
        <v>78.19247264770244</v>
      </c>
      <c r="J38" s="31">
        <f>L15</f>
        <v>78.19247264770244</v>
      </c>
      <c r="K38" s="31">
        <f>L16</f>
        <v>78.19247264770244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126.31091735398076</v>
      </c>
      <c r="G39" s="31">
        <f>M12</f>
        <v>126.31091735398076</v>
      </c>
      <c r="H39" s="31">
        <f>M13</f>
        <v>109.46946170678342</v>
      </c>
      <c r="I39" s="31">
        <f>M14</f>
        <v>109.46946170678342</v>
      </c>
      <c r="J39" s="31">
        <f>M15</f>
        <v>109.46946170678342</v>
      </c>
      <c r="K39" s="31">
        <f>M16</f>
        <v>109.46946170678342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L59" evalError="1" formula="1" formulaRange="1" unlockedFormula="1" numberStoredAsText="1" emptyCellReference="1" twoDigitTextYear="1" listDataValidation="1" calculatedColumn="1"/>
  </ignoredErrors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22" customWidth="1" style="71" min="8" max="8"/>
    <col width="2" customWidth="1" style="71" min="9" max="9"/>
  </cols>
  <sheetData>
    <row r="1">
      <c r="A1" s="134" t="inlineStr">
        <is>
          <t>INTERNAL — not for SIAS · real bonus 35 %, proportional cost uplift (G14) · 6 pallets</t>
        </is>
      </c>
    </row>
    <row r="2" ht="26.4" customHeight="1" s="71">
      <c r="A2" s="125" t="inlineStr">
        <is>
          <t>REQUEST TO SIAS, €/pack</t>
        </is>
      </c>
      <c r="B2" s="135">
        <f>B20</f>
        <v>0.32</v>
      </c>
      <c r="C2" s="63" t="n"/>
      <c r="D2" s="129" t="str">
        <f>"now €"&amp;B5&amp;" (4 SKUs) / €"&amp;B7&amp;" (2 SKUs)"</f>
        <v>now €0.65 (4 SKUs) / €0.75 (2 SKUs)</v>
      </c>
      <c r="E2" s="63" t="n"/>
      <c r="F2" s="128" t="str">
        <f>"reduction −"&amp;ROUND((1-B20/B5)*100,0)&amp;" % / −"&amp;ROUND((1-B20/B7)*100,0)&amp;" %"</f>
        <v>reduction −51 % / −57 %</v>
      </c>
      <c r="G2" s="63" t="n"/>
      <c r="H2" s="129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"&amp;ROUND(G14*100,1)&amp;" % uplift","")</f>
        <v>Landed cost in Ukraine
product + costs in Ukraine + 12.5 % uplift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35 % of partner price</v>
      </c>
      <c r="F3" s="99" t="str">
        <f>"Our profit"&amp;CHAR(10)&amp;ROUND(C14*100,0)&amp;" % of partner price"</f>
        <v>Our profit
14 %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$B$24*F14*(1+$G$14)</f>
        <v>65.3211</v>
      </c>
      <c r="D4" s="101">
        <f>C4/(1-D14-C14)</f>
        <v>129.02933333333334</v>
      </c>
      <c r="E4" s="102">
        <f>D4*D14</f>
        <v>45.160266666666665</v>
      </c>
      <c r="F4" s="102">
        <f>D4-C4-E4</f>
        <v>18.547966666666674</v>
      </c>
      <c r="G4" s="102">
        <f>D4*(E14-1)</f>
        <v>51.611733333333326</v>
      </c>
      <c r="H4" s="103">
        <f>D4*E14</f>
        <v>180.64106666666666</v>
      </c>
    </row>
    <row r="5" ht="19.95" customHeight="1" s="71">
      <c r="A5" s="136" t="n"/>
      <c r="B5" s="137" t="n">
        <v>0.65</v>
      </c>
      <c r="C5" s="138">
        <f>C4/F14</f>
        <v>1.275802734375</v>
      </c>
      <c r="D5" s="139">
        <f>D4/F14</f>
        <v>2.5201041666666666</v>
      </c>
      <c r="E5" s="139">
        <f>E4/F14</f>
        <v>0.8820364583333332</v>
      </c>
      <c r="F5" s="139">
        <f>F4/F14</f>
        <v>0.36226497395833346</v>
      </c>
      <c r="G5" s="139">
        <f>G4/F14</f>
        <v>1.0080416666666665</v>
      </c>
      <c r="H5" s="139">
        <f>H4/F14</f>
        <v>3.528145833333333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$B$25*F14*(1+$G$14)</f>
        <v>75.3705</v>
      </c>
      <c r="D6" s="109">
        <f>C6/(1-D14-C14)</f>
        <v>148.88000000000002</v>
      </c>
      <c r="E6" s="110">
        <f>D6*D14</f>
        <v>52.108000000000004</v>
      </c>
      <c r="F6" s="110">
        <f>D6-C6-E6</f>
        <v>21.401500000000013</v>
      </c>
      <c r="G6" s="110">
        <f>D6*(E14-1)</f>
        <v>59.552</v>
      </c>
      <c r="H6" s="111">
        <f>D6*E14</f>
        <v>208.43200000000002</v>
      </c>
    </row>
    <row r="7" ht="19.95" customHeight="1" s="71">
      <c r="A7" s="136" t="n"/>
      <c r="B7" s="137" t="n">
        <v>0.75</v>
      </c>
      <c r="C7" s="138">
        <f>C6/F14</f>
        <v>1.472080078125</v>
      </c>
      <c r="D7" s="140">
        <f>D6/F14</f>
        <v>2.9078125000000004</v>
      </c>
      <c r="E7" s="140">
        <f>E6/F14</f>
        <v>1.017734375</v>
      </c>
      <c r="F7" s="140">
        <f>F6/F14</f>
        <v>0.41799804687500025</v>
      </c>
      <c r="G7" s="140">
        <f>G6/F14</f>
        <v>1.163125</v>
      </c>
      <c r="H7" s="140">
        <f>H6/F14</f>
        <v>4.0709375</v>
      </c>
    </row>
    <row r="8" ht="25.95" customHeight="1" s="71">
      <c r="A8" s="114" t="inlineStr">
        <is>
          <t>AFTER · SIAS request
(all 6 SKUs)</t>
        </is>
      </c>
      <c r="B8" s="115">
        <f>B9*F14</f>
        <v>16.384</v>
      </c>
      <c r="C8" s="115">
        <f>B22</f>
        <v>42.92945999999999</v>
      </c>
      <c r="D8" s="115">
        <f>C8/(1-D14-C14)</f>
        <v>84.79893333333332</v>
      </c>
      <c r="E8" s="116">
        <f>D8*D14</f>
        <v>29.67962666666666</v>
      </c>
      <c r="F8" s="116">
        <f>D8-C8-E8</f>
        <v>12.189846666666671</v>
      </c>
      <c r="G8" s="116">
        <f>D8*(E14-1)</f>
        <v>33.919573333333325</v>
      </c>
      <c r="H8" s="117">
        <f>D8*E14</f>
        <v>118.71850666666664</v>
      </c>
    </row>
    <row r="9" ht="19.95" customHeight="1" s="71">
      <c r="A9" s="136" t="n"/>
      <c r="B9" s="141">
        <f>B20</f>
        <v>0.32</v>
      </c>
      <c r="C9" s="142">
        <f>C8/F14</f>
        <v>0.8384660156249998</v>
      </c>
      <c r="D9" s="142">
        <f>D8/F14</f>
        <v>1.6562291666666664</v>
      </c>
      <c r="E9" s="142">
        <f>E8/F14</f>
        <v>0.5796802083333332</v>
      </c>
      <c r="F9" s="142">
        <f>F8/F14</f>
        <v>0.2380829427083334</v>
      </c>
      <c r="G9" s="142">
        <f>G8/F14</f>
        <v>0.6624916666666665</v>
      </c>
      <c r="H9" s="142">
        <f>H8/F14</f>
        <v>2.318720833333333</v>
      </c>
    </row>
    <row r="10" ht="24" customHeight="1" s="71">
      <c r="A10" s="121" t="inlineStr">
        <is>
          <t>CHANGE: AFTER − BEFORE (4 SKUs)</t>
        </is>
      </c>
      <c r="B10" s="143">
        <f>B8-B4</f>
        <v>-16.896</v>
      </c>
      <c r="C10" s="143">
        <f>C8-C4</f>
        <v>-22.39164000000001</v>
      </c>
      <c r="D10" s="143">
        <f>D8-D4</f>
        <v>-44.23040000000002</v>
      </c>
      <c r="E10" s="143">
        <f>E8-E4</f>
        <v>-15.480640000000005</v>
      </c>
      <c r="F10" s="143">
        <f>F8-F4</f>
        <v>-6.358120000000003</v>
      </c>
      <c r="G10" s="143">
        <f>G8-G4</f>
        <v>-17.69216</v>
      </c>
      <c r="H10" s="143">
        <f>H8-H4</f>
        <v>-61.92256000000002</v>
      </c>
    </row>
    <row r="11" ht="18" customHeight="1" s="71">
      <c r="A11" s="136" t="n"/>
      <c r="B11" s="144">
        <f>B9-B5</f>
        <v>-0.33</v>
      </c>
      <c r="C11" s="144">
        <f>C9-C5</f>
        <v>-0.43733671875000024</v>
      </c>
      <c r="D11" s="144">
        <f>D9-D5</f>
        <v>-0.8638750000000002</v>
      </c>
      <c r="E11" s="144">
        <f>E9-E5</f>
        <v>-0.30235625</v>
      </c>
      <c r="F11" s="144">
        <f>F9-F5</f>
        <v>-0.12418203125000005</v>
      </c>
      <c r="G11" s="144">
        <f>G9-G5</f>
        <v>-0.34555</v>
      </c>
      <c r="H11" s="144">
        <f>H9-H5</f>
        <v>-1.209425</v>
      </c>
    </row>
    <row r="12" ht="15" customHeight="1" s="71" thickBot="1">
      <c r="A12" s="90" t="inlineStr">
        <is>
          <t>INPUTS — yellow cells can be changed, green ones are linked from the sheet "Model 6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Margin shown (auto: offsets the cost uplift)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Cost uplift, % of landed cost (assumption)</t>
        </is>
      </c>
      <c r="H13" s="45" t="inlineStr">
        <is>
          <t>Base share of price for cost (real model: 1 − 25 % − 30 %)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82">
        <f>1-D14-H14*(1+G14)</f>
        <v>0.14375000000000004</v>
      </c>
      <c r="D14" s="146">
        <f>'Model 6 pallets'!D4</f>
        <v>0.35</v>
      </c>
      <c r="E14" s="50">
        <f>'Model 6 pallets'!D6</f>
        <v>1.4</v>
      </c>
      <c r="F14" s="51">
        <f>'Model 6 pallets'!D3</f>
        <v>51.2</v>
      </c>
      <c r="G14" s="145" t="n">
        <v>0.125</v>
      </c>
      <c r="H14" s="145" t="n">
        <v>0.45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6</v>
      </c>
      <c r="D18" s="52" t="n">
        <v>1600</v>
      </c>
    </row>
    <row r="19"/>
    <row r="20">
      <c r="A20" s="54" t="inlineStr">
        <is>
          <t>Request to SIAS, €/pack (rounded down to the euro cent)</t>
        </is>
      </c>
      <c r="B20" s="147">
        <f>ROUNDDOWN(((B14/E14*(1-D14-C14)/(1+G14))/F14/(1+C16)-(E16+F16+G16+E16*B18*(D16+B16*(1+D16)))/(C18*D18))/((1+D16)*(1+B16)),2)</f>
        <v>0.32</v>
      </c>
    </row>
    <row r="21">
      <c r="A21" s="54" t="inlineStr">
        <is>
          <t>Maximum purchase price before rounding, €/pack</t>
        </is>
      </c>
      <c r="B21" s="148">
        <f>((B14/E14*(1-D14-C14)/(1+G14))/F14/(1+C16)-(E16+F16+G16+E16*B18*(D16+B16*(1+D16)))/(C18*D18))/((1+D16)*(1+B16))</f>
        <v>0.3265407229965157</v>
      </c>
    </row>
    <row r="22" ht="30" customHeight="1" s="71">
      <c r="A22" s="54" t="inlineStr">
        <is>
          <t>Landed cost in Ukraine at the request (incl. uplift), ₴/pack</t>
        </is>
      </c>
      <c r="B22" s="57">
        <f>(B20*F14+(E16+F16+G16)/(C18*D18)*F14+(B20+E16*B18/(C18*D18))*D16*F14+(B20+E16*B18/(C18*D18))*(1+D16)*B16*F14)*(1+C16)*(1+G14)</f>
        <v>42.92945999999999</v>
      </c>
    </row>
    <row r="23"/>
    <row r="24" ht="30" customHeight="1" s="71">
      <c r="A24" s="54" t="inlineStr">
        <is>
          <t>Landed cost, 4 SKUs (Vegetable…), €/pack — Self-Cost (col. B) → after uplift (col. C)</t>
        </is>
      </c>
      <c r="B24" s="149">
        <f>'Model 6 pallets'!AL13</f>
        <v>1.134046875</v>
      </c>
      <c r="C24" s="183">
        <f>B24*(1+$G$14)</f>
        <v>1.2758027343749998</v>
      </c>
    </row>
    <row r="25" ht="30" customHeight="1" s="71">
      <c r="A25" s="54" t="inlineStr">
        <is>
          <t>Landed cost, 2 SKUs (Gouda, Carbonara), €/pack — Self-Cost (col. B) → after uplift (col. C)</t>
        </is>
      </c>
      <c r="B25" s="149">
        <f>'Model 6 pallets'!AL11</f>
        <v>1.308515625</v>
      </c>
      <c r="C25" s="183">
        <f>B25*(1+$G$14)</f>
        <v>1.472080078125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5" evalError="1" formula="1" formulaRange="1" unlockedFormula="1" numberStoredAsText="1" emptyCellReference="1" twoDigitTextYear="1" listDataValidation="1" calculatedColumn="1"/>
  </ignoredErrors>
</worksheet>
</file>

<file path=xl/worksheets/sheet5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22" customWidth="1" style="71" min="8" max="8"/>
    <col width="2" customWidth="1" style="71" min="9" max="9"/>
  </cols>
  <sheetData>
    <row r="1">
      <c r="A1" s="150" t="inlineStr">
        <is>
          <t>INTERNAL — not for SIAS · real bonus 35 %, proportional cost uplift (G14) · 33 pallets (Full Truck)</t>
        </is>
      </c>
    </row>
    <row r="2" ht="26.4" customHeight="1" s="71">
      <c r="A2" s="92" t="inlineStr">
        <is>
          <t>REQUEST TO SIAS, €/pack</t>
        </is>
      </c>
      <c r="B2" s="151">
        <f>B19</f>
        <v>0.54</v>
      </c>
      <c r="C2" s="152" t="n"/>
      <c r="D2" s="98" t="str">
        <f>"now €"&amp;B5&amp;" (4 SKUs) / €"&amp;B7&amp;" (2 SKUs)"</f>
        <v>now €0.65 (4 SKUs) / €0.75 (2 SKUs)</v>
      </c>
      <c r="E2" s="152" t="n"/>
      <c r="F2" s="97" t="str">
        <f>"reduction −"&amp;ROUND((1-B19/B5)*100,0)&amp;" % / −"&amp;ROUND((1-B19/B7)*100,0)&amp;" %"</f>
        <v>reduction −17 % / −28 %</v>
      </c>
      <c r="G2" s="152" t="n"/>
      <c r="H2" s="98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"&amp;ROUND(G14*100,1)&amp;" % uplift","")</f>
        <v>Landed cost in Ukraine
product + costs in Ukraine + 12.5 % uplift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35 % of partner price</v>
      </c>
      <c r="F3" s="99" t="str">
        <f>"Our profit"&amp;CHAR(10)&amp;ROUND(C14*100,0)&amp;" % of partner price"</f>
        <v>Our profit
14 %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$B$23*F14*(1+$G$14)</f>
        <v>50.82510722100659</v>
      </c>
      <c r="D4" s="101">
        <f>C4/(1-D14-C14)</f>
        <v>100.39527352297598</v>
      </c>
      <c r="E4" s="102">
        <f>D4*D14</f>
        <v>35.13834573304159</v>
      </c>
      <c r="F4" s="102">
        <f>D4-C4-E4</f>
        <v>14.431820568927805</v>
      </c>
      <c r="G4" s="102">
        <f>D4*(E14-1)</f>
        <v>40.15810940919039</v>
      </c>
      <c r="H4" s="103">
        <f>D4*E14</f>
        <v>140.55338293216636</v>
      </c>
    </row>
    <row r="5">
      <c r="A5" s="136" t="n"/>
      <c r="B5" s="137" t="n">
        <v>0.65</v>
      </c>
      <c r="C5" s="138">
        <f>C4/F14</f>
        <v>0.992677875410285</v>
      </c>
      <c r="D5" s="139">
        <f>D4/F14</f>
        <v>1.9608451859956246</v>
      </c>
      <c r="E5" s="139">
        <f>E4/F14</f>
        <v>0.6862958150984685</v>
      </c>
      <c r="F5" s="139">
        <f>F4/F14</f>
        <v>0.2818714954868712</v>
      </c>
      <c r="G5" s="139">
        <f>G4/F14</f>
        <v>0.7843380743982498</v>
      </c>
      <c r="H5" s="139">
        <f>H4/F14</f>
        <v>2.745183260393874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$B$24*F14*(1+$G$14)</f>
        <v>58.64435448577678</v>
      </c>
      <c r="D6" s="109">
        <f>C6/(1-D14-C14)</f>
        <v>115.84070021881834</v>
      </c>
      <c r="E6" s="110">
        <f>D6*D14</f>
        <v>40.544245076586414</v>
      </c>
      <c r="F6" s="110">
        <f>D6-C6-E6</f>
        <v>16.652100656455147</v>
      </c>
      <c r="G6" s="110">
        <f>D6*(E14-1)</f>
        <v>46.33628008752733</v>
      </c>
      <c r="H6" s="111">
        <f>D6*E14</f>
        <v>162.17698030634565</v>
      </c>
    </row>
    <row r="7" ht="19.95" customHeight="1" s="71">
      <c r="A7" s="136" t="n"/>
      <c r="B7" s="137" t="n">
        <v>0.75</v>
      </c>
      <c r="C7" s="138">
        <f>C6/F14</f>
        <v>1.1453975485503276</v>
      </c>
      <c r="D7" s="140">
        <f>D6/F14</f>
        <v>2.2625136761487954</v>
      </c>
      <c r="E7" s="140">
        <f>E6/F14</f>
        <v>0.7918797866520784</v>
      </c>
      <c r="F7" s="140">
        <f>F6/F14</f>
        <v>0.3252363409463896</v>
      </c>
      <c r="G7" s="140">
        <f>G6/F14</f>
        <v>0.9050054704595181</v>
      </c>
      <c r="H7" s="140">
        <f>H6/F14</f>
        <v>3.1675191466083135</v>
      </c>
    </row>
    <row r="8" ht="25.95" customHeight="1" s="71">
      <c r="A8" s="114" t="inlineStr">
        <is>
          <t>AFTER · SIAS request
(all 6 SKUs)</t>
        </is>
      </c>
      <c r="B8" s="115">
        <f>B9*F14</f>
        <v>27.648000000000003</v>
      </c>
      <c r="C8" s="115">
        <f>B21</f>
        <v>43.34341090909091</v>
      </c>
      <c r="D8" s="115">
        <f>C8/(1-D14-C14)</f>
        <v>85.61661414141415</v>
      </c>
      <c r="E8" s="116">
        <f>D8*D14</f>
        <v>29.96581494949495</v>
      </c>
      <c r="F8" s="116">
        <f>D8-C8-E8</f>
        <v>12.307388282828285</v>
      </c>
      <c r="G8" s="116">
        <f>D8*(E14-1)</f>
        <v>34.246645656565654</v>
      </c>
      <c r="H8" s="117">
        <f>D8*E14</f>
        <v>119.8632597979798</v>
      </c>
    </row>
    <row r="9" ht="19.95" customHeight="1" s="71">
      <c r="A9" s="136" t="n"/>
      <c r="B9" s="141">
        <f>B19</f>
        <v>0.54</v>
      </c>
      <c r="C9" s="142">
        <f>C8/F14</f>
        <v>0.8465509943181818</v>
      </c>
      <c r="D9" s="142">
        <f>D8/F14</f>
        <v>1.672199494949495</v>
      </c>
      <c r="E9" s="142">
        <f>E8/F14</f>
        <v>0.5852698232323231</v>
      </c>
      <c r="F9" s="142">
        <f>F8/F14</f>
        <v>0.24037867739898994</v>
      </c>
      <c r="G9" s="142">
        <f>G8/F14</f>
        <v>0.6688797979797979</v>
      </c>
      <c r="H9" s="142">
        <f>H8/F14</f>
        <v>2.3410792929292925</v>
      </c>
    </row>
    <row r="10" ht="24" customHeight="1" s="71">
      <c r="A10" s="121" t="inlineStr">
        <is>
          <t>CHANGE: AFTER − BEFORE (4 SKUs)</t>
        </is>
      </c>
      <c r="B10" s="143">
        <f>B8-B4</f>
        <v>-5.631999999999998</v>
      </c>
      <c r="C10" s="143">
        <f>C8-C4</f>
        <v>-7.481696311915677</v>
      </c>
      <c r="D10" s="143">
        <f>D8-D4</f>
        <v>-14.778659381561837</v>
      </c>
      <c r="E10" s="143">
        <f>E8-E4</f>
        <v>-5.172530783546641</v>
      </c>
      <c r="F10" s="143">
        <f>F8-F4</f>
        <v>-2.1244322860995197</v>
      </c>
      <c r="G10" s="143">
        <f>G8-G4</f>
        <v>-5.911463752624734</v>
      </c>
      <c r="H10" s="143">
        <f>H8-H4</f>
        <v>-20.690123134186564</v>
      </c>
    </row>
    <row r="11" ht="18" customHeight="1" s="71">
      <c r="A11" s="136" t="n"/>
      <c r="B11" s="144">
        <f>B9-B5</f>
        <v>-0.10999999999999999</v>
      </c>
      <c r="C11" s="144">
        <f>C9-C5</f>
        <v>-0.14612688109210314</v>
      </c>
      <c r="D11" s="144">
        <f>D9-D5</f>
        <v>-0.2886456910461297</v>
      </c>
      <c r="E11" s="144">
        <f>E9-E5</f>
        <v>-0.10102599186614536</v>
      </c>
      <c r="F11" s="144">
        <f>F9-F5</f>
        <v>-0.041492818087881245</v>
      </c>
      <c r="G11" s="144">
        <f>G9-G5</f>
        <v>-0.11545827641845186</v>
      </c>
      <c r="H11" s="144">
        <f>H9-H5</f>
        <v>-0.40410396746458144</v>
      </c>
    </row>
    <row r="12" ht="15" customHeight="1" s="71" thickBot="1">
      <c r="A12" s="90" t="inlineStr">
        <is>
          <t>INPUTS — yellow cells can be changed, green ones are linked from the sheet "Model 33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Margin shown (auto: offsets the cost uplift)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Cost uplift, % of landed cost (assumption)</t>
        </is>
      </c>
      <c r="H13" s="45" t="inlineStr">
        <is>
          <t>Base share of price for cost (real model: 1 − 25 % − 30 %)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82">
        <f>1-D14-H14*(1+G14)</f>
        <v>0.14375000000000004</v>
      </c>
      <c r="D14" s="146">
        <f>'Model 33 pallets'!D4</f>
        <v>0.35</v>
      </c>
      <c r="E14" s="50">
        <f>'Model 33 pallets'!D6</f>
        <v>1.4</v>
      </c>
      <c r="F14" s="51">
        <f>'Model 33 pallets'!D3</f>
        <v>51.2</v>
      </c>
      <c r="G14" s="145" t="n">
        <v>0.125</v>
      </c>
      <c r="H14" s="145" t="n">
        <v>0.45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Request to SIAS, €/pack (rounded down to the euro cent)</t>
        </is>
      </c>
      <c r="B19" s="147">
        <f>ROUNDDOWN(((B14/E14*(1-D14-C14)/(1+G14))/F14/(1+C16)-(E16+F16+G16+E16*B18*(D16+B16*(1+D16)))/(C18*D18))/((1+D16)*(1+B16)),2)</f>
        <v>0.54</v>
      </c>
    </row>
    <row r="20">
      <c r="A20" s="54" t="inlineStr">
        <is>
          <t>Maximum purchase price before rounding, €/pack</t>
        </is>
      </c>
      <c r="B20" s="148">
        <f>((B14/E14*(1-D14-C14)/(1+G14))/F14/(1+C16)-(E16+F16+G16+E16*B18*(D16+B16*(1+D16)))/(C18*D18))/((1+D16)*(1+B16))</f>
        <v>0.5406979199662126</v>
      </c>
    </row>
    <row r="21" ht="30" customHeight="1" s="71">
      <c r="A21" s="54" t="inlineStr">
        <is>
          <t>Landed cost in Ukraine at the request (incl. uplift), ₴/pack</t>
        </is>
      </c>
      <c r="B21" s="57">
        <f>(B19*F14+(E16+F16+G16)/(C18*D18)*F14+(B19+E16*B18/(C18*D18))*D16*F14+(B19+E16*B18/(C18*D18))*(1+D16)*B16*F14)*(1+C16)*(1+G14)</f>
        <v>43.34341090909091</v>
      </c>
    </row>
    <row r="22"/>
    <row r="23" ht="30" customHeight="1" s="71">
      <c r="A23" s="54" t="inlineStr">
        <is>
          <t>Landed cost, 4 SKUs (Vegetable…), €/pack — Self-Cost (col. B) → after uplift (col. C)</t>
        </is>
      </c>
      <c r="B23" s="149">
        <f>'Model 33 pallets'!AL13</f>
        <v>0.882380333698031</v>
      </c>
      <c r="C23" s="183">
        <f>B23*(1+$G$14)</f>
        <v>0.992677875410285</v>
      </c>
    </row>
    <row r="24" ht="30" customHeight="1" s="71">
      <c r="A24" s="54" t="inlineStr">
        <is>
          <t>Landed cost, 2 SKUs (Gouda, Carbonara), €/pack — Self-Cost (col. B) → after uplift (col. C)</t>
        </is>
      </c>
      <c r="B24" s="149">
        <f>'Model 33 pallets'!AL11</f>
        <v>1.018131154266958</v>
      </c>
      <c r="C24" s="183">
        <f>B24*(1+$G$14)</f>
        <v>1.1453975485503278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4" evalError="1" formula="1" formulaRange="1" unlockedFormula="1" numberStoredAsText="1" emptyCellReference="1" twoDigitTextYear="1" listDataValidation="1" calculatedColumn="1"/>
  </ignoredError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INTERNAL FILE — for us only · Price-structure scenarios with a proportional cost uplift</t>
        </is>
      </c>
    </row>
    <row r="2" ht="30" customHeight="1" s="71">
      <c r="A2" s="154" t="str">
        <f>"Allowed (shown) landed cost = partner price × (1 − bonus − margin); product landed cost = that budget ÷ (1 + uplift). 1 p.p. of margin or bonus = "&amp;ROUND(E5/100,2)&amp;" ₴ per pack = €"&amp;ROUND(E5/100/D5/(1+C5)/((1+G5)*(1+F5)),4)&amp;" on the request."</f>
        <v>Allowed (shown) landed cost = partner price × (1 − bonus − margin); product landed cost = that budget ÷ (1 + uplift). 1 p.p. of margin or bonus = 0.86 ₴ per pack = €0.0136 on the request.</v>
      </c>
    </row>
    <row r="3"/>
    <row r="4" ht="24" customHeight="1" s="71">
      <c r="A4" s="155" t="inlineStr">
        <is>
          <t>Shelf price, ₴</t>
        </is>
      </c>
      <c r="B4" s="155" t="inlineStr">
        <is>
          <t>Shelf multiplier</t>
        </is>
      </c>
      <c r="C4" s="155" t="inlineStr">
        <is>
          <t>Financing</t>
        </is>
      </c>
      <c r="D4" s="155" t="inlineStr">
        <is>
          <t>Rate ₴/€</t>
        </is>
      </c>
      <c r="E4" s="155" t="inlineStr">
        <is>
          <t>Partner price at shelf price, ₴</t>
        </is>
      </c>
      <c r="F4" s="155" t="inlineStr">
        <is>
          <t>Import VAT</t>
        </is>
      </c>
      <c r="G4" s="155" t="inlineStr">
        <is>
          <t>Customs duty</t>
        </is>
      </c>
    </row>
    <row r="5" ht="22" customHeight="1" s="71">
      <c r="A5" s="156">
        <f>'Price 120 UAH - 33 pallets'!B14</f>
        <v>120</v>
      </c>
      <c r="B5" s="157">
        <f>'Price 120 UAH - 33 pallets'!E14</f>
        <v>1.4</v>
      </c>
      <c r="C5" s="158">
        <f>'Price 120 UAH - 33 pallets'!C16</f>
        <v>0.025</v>
      </c>
      <c r="D5" s="159">
        <f>'Price 120 UAH - 33 pallets'!F14</f>
        <v>51.2</v>
      </c>
      <c r="E5" s="160">
        <f>A5/B5</f>
        <v>85.71428571428572</v>
      </c>
      <c r="F5" s="158">
        <f>'Price 120 UAH - 33 pallets'!B16</f>
        <v>0.2</v>
      </c>
      <c r="G5" s="158">
        <f>'Price 120 UAH - 33 pallets'!D16</f>
        <v>0</v>
      </c>
    </row>
    <row r="6"/>
    <row r="7" ht="52" customHeight="1" s="71">
      <c r="A7" s="161" t="inlineStr">
        <is>
          <t>Scenario</t>
        </is>
      </c>
      <c r="B7" s="161" t="inlineStr">
        <is>
          <t>Chain bonus</t>
        </is>
      </c>
      <c r="C7" s="161" t="inlineStr">
        <is>
          <t>Margin shown</t>
        </is>
      </c>
      <c r="D7" s="161" t="inlineStr">
        <is>
          <t>Cost uplift, % of landed cost</t>
        </is>
      </c>
      <c r="E7" s="161" t="inlineStr">
        <is>
          <t>Chain bonus, ₴</t>
        </is>
      </c>
      <c r="F7" s="161" t="inlineStr">
        <is>
          <t>Our profit, ₴</t>
        </is>
      </c>
      <c r="G7" s="161" t="inlineStr">
        <is>
          <t>Landed-cost budget (shown cost), ₴</t>
        </is>
      </c>
      <c r="H7" s="161" t="inlineStr">
        <is>
          <t>Product landed cost allowed (budget ÷ (1 + uplift)), ₴</t>
        </is>
      </c>
      <c r="I7" s="161" t="inlineStr">
        <is>
          <t>33 pallets: max purchase, €</t>
        </is>
      </c>
      <c r="J7" s="161" t="inlineStr">
        <is>
          <t>33 pallets: REQUEST TO SIAS, €</t>
        </is>
      </c>
      <c r="K7" s="161" t="inlineStr">
        <is>
          <t>vs current €0.65, %</t>
        </is>
      </c>
      <c r="L7" s="161" t="inlineStr">
        <is>
          <t>6 pallets: max purchase, €</t>
        </is>
      </c>
      <c r="M7" s="161" t="inlineStr">
        <is>
          <t>6 pallets: REQUEST TO SIAS, €</t>
        </is>
      </c>
      <c r="N7" s="161" t="inlineStr">
        <is>
          <t>vs current €0.65, %</t>
        </is>
      </c>
    </row>
    <row r="8" ht="20" customHeight="1" s="71">
      <c r="A8" s="162" t="inlineStr">
        <is>
          <t>BASE · previous version of the model</t>
        </is>
      </c>
    </row>
    <row r="9" ht="34" customHeight="1" s="71">
      <c r="A9" s="163" t="inlineStr">
        <is>
          <t>Previous: bonus 25 % + margin 30 %</t>
        </is>
      </c>
      <c r="B9" s="164" t="n">
        <v>0.25</v>
      </c>
      <c r="C9" s="164" t="n">
        <v>0.3</v>
      </c>
      <c r="D9" s="164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G9/(1+D9)</f>
        <v>38.57142857142858</v>
      </c>
      <c r="I9" s="167">
        <f>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9" s="168">
        <f>ROUNDDOWN((($H9/$D$5/(1+$C$5)-('Price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9" s="184">
        <f>J9/0.65-1</f>
        <v>-0.16923076923076918</v>
      </c>
      <c r="L9" s="167">
        <f>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9" s="168">
        <f>ROUNDDOWN((($H9/$D$5/(1+$C$5)-('Price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9" s="184">
        <f>M9/0.65-1</f>
        <v>-0.5076923076923077</v>
      </c>
    </row>
    <row r="10" ht="20" customHeight="1" s="71">
      <c r="A10" s="162" t="inlineStr">
        <is>
          <t>SAME REQUEST PRICE, different structure (uplift matched to the sum of bonus + margin)</t>
        </is>
      </c>
    </row>
    <row r="11" ht="34" customHeight="1" s="71">
      <c r="A11" s="170" t="inlineStr">
        <is>
          <t>★ Chain bonus 35 % + margin 20 % (no uplift)</t>
        </is>
      </c>
      <c r="B11" s="164" t="n">
        <v>0.35</v>
      </c>
      <c r="C11" s="164" t="n">
        <v>0.2</v>
      </c>
      <c r="D11" s="164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G11/(1+D11)</f>
        <v>38.57142857142858</v>
      </c>
      <c r="I11" s="167">
        <f>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1" s="168">
        <f>ROUNDDOWN((($H11/$D$5/(1+$C$5)-('Price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1" s="184">
        <f>J11/0.65-1</f>
        <v>-0.16923076923076918</v>
      </c>
      <c r="L11" s="167">
        <f>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1" s="168">
        <f>ROUNDDOWN((($H11/$D$5/(1+$C$5)-('Price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1" s="184">
        <f>M11/0.65-1</f>
        <v>-0.5076923076923077</v>
      </c>
    </row>
    <row r="12" ht="34" customHeight="1" s="71">
      <c r="A12" s="163" t="inlineStr">
        <is>
          <t>Bonus 30 % + margin 25 % (no uplift)</t>
        </is>
      </c>
      <c r="B12" s="164" t="n">
        <v>0.3</v>
      </c>
      <c r="C12" s="164" t="n">
        <v>0.25</v>
      </c>
      <c r="D12" s="164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G12/(1+D12)</f>
        <v>38.57142857142858</v>
      </c>
      <c r="I12" s="167">
        <f>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2" s="168">
        <f>ROUNDDOWN((($H12/$D$5/(1+$C$5)-('Price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2" s="184">
        <f>J12/0.65-1</f>
        <v>-0.16923076923076918</v>
      </c>
      <c r="L12" s="167">
        <f>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2" s="168">
        <f>ROUNDDOWN((($H12/$D$5/(1+$C$5)-('Price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2" s="184">
        <f>M12/0.65-1</f>
        <v>-0.5076923076923077</v>
      </c>
    </row>
    <row r="13" ht="34" customHeight="1" s="71">
      <c r="A13" s="163" t="inlineStr">
        <is>
          <t>Bonus 25 % + margin 20 % + uplift matched to the same request</t>
        </is>
      </c>
      <c r="B13" s="164" t="n">
        <v>0.25</v>
      </c>
      <c r="C13" s="164" t="n">
        <v>0.2</v>
      </c>
      <c r="D13" s="164">
        <f>(1-B13-C13)/(1-$B$9-$C$9)-1</f>
        <v>0.22222222222222232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G13/(1+D13)</f>
        <v>38.57142857142857</v>
      </c>
      <c r="I13" s="167">
        <f>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3" s="168">
        <f>ROUNDDOWN((($H13/$D$5/(1+$C$5)-('Price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3" s="184">
        <f>J13/0.65-1</f>
        <v>-0.16923076923076918</v>
      </c>
      <c r="L13" s="167">
        <f>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3" s="168">
        <f>ROUNDDOWN((($H13/$D$5/(1+$C$5)-('Price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3" s="184">
        <f>M13/0.65-1</f>
        <v>-0.5076923076923077</v>
      </c>
    </row>
    <row r="14" ht="34" customHeight="1" s="71">
      <c r="A14" s="163" t="inlineStr">
        <is>
          <t>Bonus 25 % + margin 25 % + uplift matched to the same request</t>
        </is>
      </c>
      <c r="B14" s="164" t="n">
        <v>0.25</v>
      </c>
      <c r="C14" s="164" t="n">
        <v>0.25</v>
      </c>
      <c r="D14" s="164">
        <f>(1-B14-C14)/(1-$B$9-$C$9)-1</f>
        <v>0.11111111111111116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G14/(1+D14)</f>
        <v>38.57142857142858</v>
      </c>
      <c r="I14" s="167">
        <f>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4" s="168">
        <f>ROUNDDOWN((($H14/$D$5/(1+$C$5)-('Price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4" s="184">
        <f>J14/0.65-1</f>
        <v>-0.16923076923076918</v>
      </c>
      <c r="L14" s="167">
        <f>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4" s="168">
        <f>ROUNDDOWN((($H14/$D$5/(1+$C$5)-('Price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4" s="184">
        <f>M14/0.65-1</f>
        <v>-0.5076923076923077</v>
      </c>
    </row>
    <row r="15" ht="20" customHeight="1" s="71">
      <c r="A15" s="162" t="inlineStr">
        <is>
          <t>EXAMPLE: +10 % proportional uplift of landed cost (the request gets lower)</t>
        </is>
      </c>
    </row>
    <row r="16" ht="34" customHeight="1" s="71">
      <c r="A16" s="163" t="inlineStr">
        <is>
          <t>Bonus 25 % + margin 20 % + 10 % uplift</t>
        </is>
      </c>
      <c r="B16" s="164" t="n">
        <v>0.25</v>
      </c>
      <c r="C16" s="164" t="n">
        <v>0.2</v>
      </c>
      <c r="D16" s="164" t="n">
        <v>0.1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G16/(1+D16)</f>
        <v>42.857142857142854</v>
      </c>
      <c r="I16" s="167">
        <f>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0.6087510558547143</v>
      </c>
      <c r="J16" s="168">
        <f>ROUNDDOWN((($H16/$D$5/(1+$C$5)-('Price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</v>
      </c>
      <c r="K16" s="184">
        <f>J16/0.65-1</f>
        <v>-0.07692307692307698</v>
      </c>
      <c r="L16" s="167">
        <f>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0.3945938588850174</v>
      </c>
      <c r="M16" s="168">
        <f>ROUNDDOWN((($H16/$D$5/(1+$C$5)-('Price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0.39</v>
      </c>
      <c r="N16" s="184">
        <f>M16/0.65-1</f>
        <v>-0.4</v>
      </c>
    </row>
    <row r="17" ht="34" customHeight="1" s="71">
      <c r="A17" s="163" t="inlineStr">
        <is>
          <t>Bonus 25 % + margin 25 % + 10 % uplift</t>
        </is>
      </c>
      <c r="B17" s="164" t="n">
        <v>0.25</v>
      </c>
      <c r="C17" s="164" t="n">
        <v>0.25</v>
      </c>
      <c r="D17" s="164" t="n">
        <v>0.1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G17/(1+D17)</f>
        <v>38.96103896103896</v>
      </c>
      <c r="I17" s="167">
        <f>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0.5468845686833491</v>
      </c>
      <c r="J17" s="168">
        <f>ROUNDDOWN((($H17/$D$5/(1+$C$5)-('Price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7" s="184">
        <f>J17/0.65-1</f>
        <v>-0.16923076923076918</v>
      </c>
      <c r="L17" s="167">
        <f>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0.3327273717136522</v>
      </c>
      <c r="M17" s="168">
        <f>ROUNDDOWN((($H17/$D$5/(1+$C$5)-('Price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0.33</v>
      </c>
      <c r="N17" s="184">
        <f>M17/0.65-1</f>
        <v>-0.49230769230769234</v>
      </c>
    </row>
    <row r="18" ht="34" customHeight="1" s="71">
      <c r="A18" s="163" t="inlineStr">
        <is>
          <t>Bonus 35 % + margin 20 % + 10 % uplift</t>
        </is>
      </c>
      <c r="B18" s="164" t="n">
        <v>0.35</v>
      </c>
      <c r="C18" s="164" t="n">
        <v>0.2</v>
      </c>
      <c r="D18" s="164" t="n">
        <v>0.1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G18/(1+D18)</f>
        <v>35.064935064935064</v>
      </c>
      <c r="I18" s="167">
        <f>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0.4850180815119839</v>
      </c>
      <c r="J18" s="168">
        <f>ROUNDDOWN((($H18/$D$5/(1+$C$5)-('Price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0.48</v>
      </c>
      <c r="K18" s="184">
        <f>J18/0.65-1</f>
        <v>-0.2615384615384616</v>
      </c>
      <c r="L18" s="167">
        <f>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0.2708608845422869</v>
      </c>
      <c r="M18" s="168">
        <f>ROUNDDOWN((($H18/$D$5/(1+$C$5)-('Price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0.27</v>
      </c>
      <c r="N18" s="184">
        <f>M18/0.65-1</f>
        <v>-0.5846153846153845</v>
      </c>
    </row>
    <row r="19" ht="34" customHeight="1" s="71">
      <c r="A19" s="163" t="inlineStr">
        <is>
          <t>Bonus 35 % + margin 25 % + 10 % uplift</t>
        </is>
      </c>
      <c r="B19" s="164" t="n">
        <v>0.35</v>
      </c>
      <c r="C19" s="164" t="n">
        <v>0.25</v>
      </c>
      <c r="D19" s="164" t="n">
        <v>0.1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G19/(1+D19)</f>
        <v>31.168831168831172</v>
      </c>
      <c r="I19" s="167">
        <f>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0.42315159434061883</v>
      </c>
      <c r="J19" s="168">
        <f>ROUNDDOWN((($H19/$D$5/(1+$C$5)-('Price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0.42</v>
      </c>
      <c r="K19" s="184">
        <f>J19/0.65-1</f>
        <v>-0.3538461538461539</v>
      </c>
      <c r="L19" s="167">
        <f>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0.20899439737092185</v>
      </c>
      <c r="M19" s="168">
        <f>ROUNDDOWN((($H19/$D$5/(1+$C$5)-('Price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</v>
      </c>
      <c r="N19" s="184">
        <f>M19/0.65-1</f>
        <v>-0.6923076923076923</v>
      </c>
    </row>
    <row r="20" ht="20" customHeight="1" s="71">
      <c r="A20" s="162" t="inlineStr">
        <is>
          <t>CHAIN BONUS 35 %: if the margin must stay above 20 %, the request falls</t>
        </is>
      </c>
    </row>
    <row r="21" ht="34" customHeight="1" s="71">
      <c r="A21" s="163" t="inlineStr">
        <is>
          <t>Bonus 35 % + margin 25 % (no uplift)</t>
        </is>
      </c>
      <c r="B21" s="164" t="n">
        <v>0.35</v>
      </c>
      <c r="C21" s="164" t="n">
        <v>0.25</v>
      </c>
      <c r="D21" s="164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G21/(1+D21)</f>
        <v>34.28571428571429</v>
      </c>
      <c r="I21" s="167">
        <f>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0.47264478407771093</v>
      </c>
      <c r="J21" s="168">
        <f>ROUNDDOWN((($H21/$D$5/(1+$C$5)-('Price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0.47</v>
      </c>
      <c r="K21" s="184">
        <f>J21/0.65-1</f>
        <v>-0.27692307692307694</v>
      </c>
      <c r="L21" s="167">
        <f>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0.258487587108014</v>
      </c>
      <c r="M21" s="168">
        <f>ROUNDDOWN((($H21/$D$5/(1+$C$5)-('Price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0.25</v>
      </c>
      <c r="N21" s="184">
        <f>M21/0.65-1</f>
        <v>-0.6153846153846154</v>
      </c>
    </row>
    <row r="22" ht="34" customHeight="1" s="71">
      <c r="A22" s="163" t="inlineStr">
        <is>
          <t>Bonus 35 % + margin 30 % (no uplift)</t>
        </is>
      </c>
      <c r="B22" s="164" t="n">
        <v>0.35</v>
      </c>
      <c r="C22" s="164" t="n">
        <v>0.3</v>
      </c>
      <c r="D22" s="164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G22/(1+D22)</f>
        <v>30.000000000000007</v>
      </c>
      <c r="I22" s="167">
        <f>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0.4045916481892093</v>
      </c>
      <c r="J22" s="168">
        <f>ROUNDDOWN((($H22/$D$5/(1+$C$5)-('Price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</v>
      </c>
      <c r="K22" s="184">
        <f>J22/0.65-1</f>
        <v>-0.3846153846153846</v>
      </c>
      <c r="L22" s="167">
        <f>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0.1904344512195123</v>
      </c>
      <c r="M22" s="168">
        <f>ROUNDDOWN((($H22/$D$5/(1+$C$5)-('Price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0.19</v>
      </c>
      <c r="N22" s="184">
        <f>M22/0.65-1</f>
        <v>-0.7076923076923076</v>
      </c>
    </row>
    <row r="23" ht="20" customHeight="1" s="71">
      <c r="A23" s="162" t="inlineStr">
        <is>
          <t>ONLY THE MARGIN LOWERED (bonus 25 %, no extra cost): the allowed purchase price rises — the argument toward SIAS weakens</t>
        </is>
      </c>
    </row>
    <row r="24" ht="34" customHeight="1" s="71">
      <c r="A24" s="163" t="inlineStr">
        <is>
          <t>Bonus 25 % + margin 25 % (no uplift)</t>
        </is>
      </c>
      <c r="B24" s="164" t="n">
        <v>0.25</v>
      </c>
      <c r="C24" s="164" t="n">
        <v>0.25</v>
      </c>
      <c r="D24" s="164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G24/(1+D24)</f>
        <v>42.85714285714286</v>
      </c>
      <c r="I24" s="167">
        <f>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0.6087510558547146</v>
      </c>
      <c r="J24" s="168">
        <f>ROUNDDOWN((($H24/$D$5/(1+$C$5)-('Price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</v>
      </c>
      <c r="K24" s="184">
        <f>J24/0.65-1</f>
        <v>-0.07692307692307698</v>
      </c>
      <c r="L24" s="167">
        <f>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0.3945938588850176</v>
      </c>
      <c r="M24" s="168">
        <f>ROUNDDOWN((($H24/$D$5/(1+$C$5)-('Price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0.39</v>
      </c>
      <c r="N24" s="184">
        <f>M24/0.65-1</f>
        <v>-0.4</v>
      </c>
    </row>
    <row r="25" ht="34" customHeight="1" s="71">
      <c r="A25" s="163" t="inlineStr">
        <is>
          <t>Bonus 25 % + margin 20 % (no uplift)</t>
        </is>
      </c>
      <c r="B25" s="164" t="n">
        <v>0.25</v>
      </c>
      <c r="C25" s="164" t="n">
        <v>0.2</v>
      </c>
      <c r="D25" s="164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G25/(1+D25)</f>
        <v>47.142857142857146</v>
      </c>
      <c r="I25" s="167">
        <f>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0.6768041917432163</v>
      </c>
      <c r="J25" s="168">
        <f>ROUNDDOWN((($H25/$D$5/(1+$C$5)-('Price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0.67</v>
      </c>
      <c r="K25" s="184">
        <f>J25/0.65-1</f>
        <v>0.030769230769230882</v>
      </c>
      <c r="L25" s="167">
        <f>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0.4626469947735193</v>
      </c>
      <c r="M25" s="168">
        <f>ROUNDDOWN((($H25/$D$5/(1+$C$5)-('Price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0.46</v>
      </c>
      <c r="N25" s="184">
        <f>M25/0.65-1</f>
        <v>-0.29230769230769227</v>
      </c>
    </row>
    <row r="26"/>
    <row r="27" ht="28" customHeight="1" s="71">
      <c r="A27" s="171" t="inlineStr">
        <is>
          <t>How to read: yellow cells (bonus, margin, cost uplift) can be changed — requests recalculate. Shelf price and batch parameters come from the "Price 120 UAH" sheets.</t>
        </is>
      </c>
    </row>
    <row r="28" ht="28" customHeight="1" s="71">
      <c r="A28" s="171" t="inlineStr">
        <is>
          <t>Assumptions: bonus and margin are taken from the partner price (incl. VAT), as in the main model; the uplift is applied to the whole landed cost (after financing). Current SIAS purchase price: €0.65 (4 SKUs) / €0.75 (2 SKUs).</t>
        </is>
      </c>
    </row>
    <row r="29" ht="28" customHeight="1" s="71">
      <c r="A29" s="171" t="inlineStr">
        <is>
          <t>What to show SIAS is your decision. Any margin, bonus and extra cost shown externally should match the real price structure: SIAS may ask for confirmation.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  <ignoredErrors>
    <ignoredError sqref="A1:N49" evalError="1" formula="1" formulaRange="1" unlockedFormula="1" numberStoredAsText="1" emptyCellReference="1" twoDigitTextYear="1" listDataValidation="1" calculatedColumn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Ramen financial model — internal (EN)</dc:title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2026-10-16T13:38:52Z</dcterms:modified>
  <cp:lastModifiedBy/>
</cp:coreProperties>
</file>