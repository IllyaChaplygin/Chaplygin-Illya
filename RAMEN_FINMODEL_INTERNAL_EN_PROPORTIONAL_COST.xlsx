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Model 6 pallets" sheetId="2" state="visible" r:id="rId2"/>
    <sheet xmlns:r="http://schemas.openxmlformats.org/officeDocument/2006/relationships" name="Model 33 pallets" sheetId="3" state="visible" r:id="rId3"/>
    <sheet xmlns:r="http://schemas.openxmlformats.org/officeDocument/2006/relationships" name="Price 120 UAH - 6 pallets" sheetId="4" state="visible" r:id="rId4"/>
    <sheet xmlns:r="http://schemas.openxmlformats.org/officeDocument/2006/relationships" name="Price 120 UAH - 33 pallets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  <numFmt numFmtId="185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1"/>
    </font>
    <font>
      <name val="Arial"/>
      <b val="1"/>
      <color rgb="FFB03A3A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  <fill>
      <patternFill patternType="solid">
        <fgColor rgb="00FDE8E8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5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0" fillId="28" borderId="30" applyAlignment="1" pivotButton="0" quotePrefix="0" xfId="0">
      <alignment horizontal="center" vertical="center" wrapText="1"/>
    </xf>
    <xf numFmtId="171" fontId="36" fillId="27" borderId="30" applyAlignment="1" pivotButton="0" quotePrefix="0" xfId="0">
      <alignment horizontal="center" vertical="center" wrapText="1"/>
    </xf>
    <xf numFmtId="171" fontId="41" fillId="30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85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2" fontId="36" fillId="23" borderId="17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  <col width="17" customWidth="1" style="71" min="9" max="9"/>
  </cols>
  <sheetData>
    <row r="1" ht="26" customHeight="1" s="71">
      <c r="A1" s="172" t="inlineStr">
        <is>
          <t>INTERNAL — not for SIAS · Landed-cost blocks with the proportional uplift · ₴ per pack</t>
        </is>
      </c>
    </row>
    <row r="2" ht="30" customHeight="1" s="71">
      <c r="A2" s="154" t="inlineStr">
        <is>
          <t>Purchase + delivery + import VAT + financing = real landed cost; the uplift (assumption, cell G14 on the "Price 120 UAH" sheets) is added on top as a separate block.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Real landed cost, ₴</t>
        </is>
      </c>
      <c r="G5" s="161" t="inlineStr">
        <is>
          <t>Uplift (assumption), ₴</t>
        </is>
      </c>
      <c r="H5" s="161" t="inlineStr">
        <is>
          <t>Landed cost with uplift, ₴</t>
        </is>
      </c>
      <c r="I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F6*'Price 120 UAH - 33 pallets'!G14</f>
        <v>5.6472341356673965</v>
      </c>
      <c r="H6" s="177">
        <f>F6+G6</f>
        <v>50.82510722100657</v>
      </c>
      <c r="I6" s="178">
        <f>ROUND(H6-'Price 120 UAH - 33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F7*'Price 120 UAH - 33 pallets'!G14</f>
        <v>6.5160393873085365</v>
      </c>
      <c r="H7" s="177">
        <f>F7+G7</f>
        <v>58.64435448577683</v>
      </c>
      <c r="I7" s="178">
        <f>ROUND(H7-'Price 120 UAH - 33 pallets'!C6,4)</f>
        <v>0</v>
      </c>
    </row>
    <row r="8" ht="34" customHeight="1" s="71">
      <c r="A8" s="170" t="inlineStr">
        <is>
          <t>AFTER · SIAS request
(all 6 SKUs)</t>
        </is>
      </c>
      <c r="B8" s="179">
        <f>'Price 120 UAH - 33 pallets'!B19*'Price 120 UAH - 33 pallets'!F14</f>
        <v>27.648000000000003</v>
      </c>
      <c r="C8" s="179">
        <f>('Price 120 UAH - 33 pallets'!E16+'Price 120 UAH - 33 pallets'!F16+'Price 120 UAH - 33 pallets'!G16)/('Price 120 UAH - 33 pallets'!C18*'Price 120 UAH - 33 pallets'!D18)*'Price 120 UAH - 33 pallets'!F14</f>
        <v>3.907878787878788</v>
      </c>
      <c r="D8" s="179">
        <f>('Price 120 UAH - 33 pallets'!B19+'Price 120 UAH - 33 pallets'!E16*'Price 120 UAH - 33 pallets'!B18/('Price 120 UAH - 33 pallets'!C18*'Price 120 UAH - 33 pallets'!D18))*(1+'Price 120 UAH - 33 pallets'!D16)*'Price 120 UAH - 33 pallets'!B16*'Price 120 UAH - 33 pallets'!F14</f>
        <v>6.031903030303031</v>
      </c>
      <c r="E8" s="179">
        <f>(B8+C8+D8+('Price 120 UAH - 33 pallets'!B19+'Price 120 UAH - 33 pallets'!E16*'Price 120 UAH - 33 pallets'!B18/('Price 120 UAH - 33 pallets'!C18*'Price 120 UAH - 33 pallets'!D18))*'Price 120 UAH - 33 pallets'!D16*'Price 120 UAH - 33 pallets'!F14)*'Price 120 UAH - 33 pallets'!C16</f>
        <v>0.9396945454545457</v>
      </c>
      <c r="F8" s="175">
        <f>SUM(B8:E8)</f>
        <v>38.52747636363637</v>
      </c>
      <c r="G8" s="176">
        <f>F8*'Price 120 UAH - 33 pallets'!G14</f>
        <v>4.815934545454546</v>
      </c>
      <c r="H8" s="177">
        <f>F8+G8</f>
        <v>43.34341090909091</v>
      </c>
      <c r="I8" s="178">
        <f>ROUND(H8-'Price 120 UAH - 33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Real landed cost, ₴</t>
        </is>
      </c>
      <c r="G11" s="161" t="inlineStr">
        <is>
          <t>Uplift (assumption), ₴</t>
        </is>
      </c>
      <c r="H11" s="161" t="inlineStr">
        <is>
          <t>Landed cost with uplift, ₴</t>
        </is>
      </c>
      <c r="I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F12*'Price 120 UAH - 6 pallets'!G14</f>
        <v>7.2579</v>
      </c>
      <c r="H12" s="177">
        <f>F12+G12</f>
        <v>65.3211</v>
      </c>
      <c r="I12" s="178">
        <f>ROUND(H12-'Price 120 UAH - 6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F13*'Price 120 UAH - 6 pallets'!G14</f>
        <v>8.374500000000001</v>
      </c>
      <c r="H13" s="177">
        <f>F13+G13</f>
        <v>75.3705</v>
      </c>
      <c r="I13" s="178">
        <f>ROUND(H13-'Price 120 UAH - 6 pallets'!C6,4)</f>
        <v>0</v>
      </c>
    </row>
    <row r="14" ht="34" customHeight="1" s="71">
      <c r="A14" s="170" t="inlineStr">
        <is>
          <t>AFTER · SIAS request
(all 6 SKUs)</t>
        </is>
      </c>
      <c r="B14" s="179">
        <f>'Price 120 UAH - 6 pallets'!B20*'Price 120 UAH - 6 pallets'!F14</f>
        <v>16.384</v>
      </c>
      <c r="C14" s="179">
        <f>('Price 120 UAH - 6 pallets'!E16+'Price 120 UAH - 6 pallets'!F16+'Price 120 UAH - 6 pallets'!G16)/('Price 120 UAH - 6 pallets'!C18*'Price 120 UAH - 6 pallets'!D18)*'Price 120 UAH - 6 pallets'!F14</f>
        <v>15.626666666666669</v>
      </c>
      <c r="D14" s="179">
        <f>('Price 120 UAH - 6 pallets'!B20+'Price 120 UAH - 6 pallets'!E16*'Price 120 UAH - 6 pallets'!B18/('Price 120 UAH - 6 pallets'!C18*'Price 120 UAH - 6 pallets'!D18))*(1+'Price 120 UAH - 6 pallets'!D16)*'Price 120 UAH - 6 pallets'!B16*'Price 120 UAH - 6 pallets'!F14</f>
        <v>5.218133333333333</v>
      </c>
      <c r="E14" s="179">
        <f>(B14+C14+D14+('Price 120 UAH - 6 pallets'!B20+'Price 120 UAH - 6 pallets'!E16*'Price 120 UAH - 6 pallets'!B18/('Price 120 UAH - 6 pallets'!C18*'Price 120 UAH - 6 pallets'!D18))*'Price 120 UAH - 6 pallets'!D16*'Price 120 UAH - 6 pallets'!F14)*'Price 120 UAH - 6 pallets'!C16</f>
        <v>0.93072</v>
      </c>
      <c r="F14" s="175">
        <f>SUM(B14:E14)</f>
        <v>38.15952</v>
      </c>
      <c r="G14" s="176">
        <f>F14*'Price 120 UAH - 6 pallets'!G14</f>
        <v>4.76994</v>
      </c>
      <c r="H14" s="177">
        <f>F14+G14</f>
        <v>42.92946</v>
      </c>
      <c r="I14" s="178">
        <f>ROUND(H14-'Price 120 UAH - 6 pallets'!C8,4)</f>
        <v>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- 6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- 6 pallets'!$G$14)</f>
        <v>1.472080078125</v>
      </c>
      <c r="F11" s="8">
        <f>IF(AND(ISNUMBER(E11),ISNUMBER($D$8)),E11*$D$3,NA())</f>
        <v>75.3705</v>
      </c>
      <c r="G11" s="9">
        <f>F11/$D$8</f>
        <v>148.88000000000002</v>
      </c>
      <c r="H11" s="10">
        <f>G11*$D$4</f>
        <v>52.108000000000004</v>
      </c>
      <c r="I11" s="11">
        <f>G11-F11-H11</f>
        <v>21.401500000000013</v>
      </c>
      <c r="J11" s="12">
        <f>I11/G11</f>
        <v>0.14375000000000007</v>
      </c>
      <c r="K11" s="13">
        <f>G11*$D$6</f>
        <v>208.43200000000002</v>
      </c>
      <c r="L11" s="14">
        <f>F11/(1-$D$4)</f>
        <v>115.9546153846154</v>
      </c>
      <c r="M11" s="14">
        <f>L11*$D$6</f>
        <v>162.33646153846155</v>
      </c>
      <c r="N11" s="15">
        <f>G11-F11</f>
        <v>73.50950000000002</v>
      </c>
      <c r="O11" s="16">
        <f>N11-H11</f>
        <v>21.401500000000013</v>
      </c>
      <c r="P11" s="40">
        <f>$F11/(1-$D$4-$P$9)</f>
        <v>215.34428571428572</v>
      </c>
      <c r="Q11" s="41">
        <f>P11*$D$4</f>
        <v>75.37049999999999</v>
      </c>
      <c r="R11" s="42">
        <f>P11-$F11-Q11</f>
        <v>64.60328571428573</v>
      </c>
      <c r="S11" s="43">
        <f>R11/P11</f>
        <v>0.3000000000000001</v>
      </c>
      <c r="T11" s="40">
        <f>P11*$D$6</f>
        <v>301.48199999999997</v>
      </c>
      <c r="U11" s="40">
        <f>$F11/(1-$D$4-$U$9)</f>
        <v>188.42625</v>
      </c>
      <c r="V11" s="41">
        <f>U11*$D$4</f>
        <v>65.9491875</v>
      </c>
      <c r="W11" s="42">
        <f>U11-$F11-V11</f>
        <v>47.10656250000001</v>
      </c>
      <c r="X11" s="43">
        <f>W11/U11</f>
        <v>0.25000000000000006</v>
      </c>
      <c r="Y11" s="40">
        <f>U11*$D$6</f>
        <v>263.79675</v>
      </c>
      <c r="Z11" s="40">
        <f>$F11/(1-$D$4-$Z$9)</f>
        <v>167.49</v>
      </c>
      <c r="AA11" s="41">
        <f>Z11*$D$4</f>
        <v>58.6215</v>
      </c>
      <c r="AB11" s="42">
        <f>Z11-$F11-AA11</f>
        <v>33.498000000000005</v>
      </c>
      <c r="AC11" s="43">
        <f>AB11/Z11</f>
        <v>0.2</v>
      </c>
      <c r="AD11" s="40">
        <f>Z11*$D$6</f>
        <v>234.486</v>
      </c>
      <c r="AE11" s="40">
        <f>$F11/(1-$D$4-$AE$9)</f>
        <v>150.741</v>
      </c>
      <c r="AF11" s="41">
        <f>AE11*$D$4</f>
        <v>52.759350000000005</v>
      </c>
      <c r="AG11" s="42">
        <f>AE11-$F11-AF11</f>
        <v>22.611150000000002</v>
      </c>
      <c r="AH11" s="43">
        <f>AG11/AE11</f>
        <v>0.15</v>
      </c>
      <c r="AI11" s="40">
        <f>AE11*$D$6</f>
        <v>211.03740000000002</v>
      </c>
      <c r="AL11" s="24" t="n">
        <v>1.308515625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- 6 pallets'!$G$14)</f>
        <v>1.472080078125</v>
      </c>
      <c r="F12" s="8">
        <f>IF(AND(ISNUMBER(E12),ISNUMBER($D$8)),E12*$D$3,NA())</f>
        <v>75.3705</v>
      </c>
      <c r="G12" s="9">
        <f>F12/$D$8</f>
        <v>148.88000000000002</v>
      </c>
      <c r="H12" s="10">
        <f>G12*$D$4</f>
        <v>52.108000000000004</v>
      </c>
      <c r="I12" s="11">
        <f>G12-F12-H12</f>
        <v>21.401500000000013</v>
      </c>
      <c r="J12" s="12">
        <f>I12/G12</f>
        <v>0.14375000000000007</v>
      </c>
      <c r="K12" s="13">
        <f>G12*$D$6</f>
        <v>208.43200000000002</v>
      </c>
      <c r="L12" s="14">
        <f>F12/(1-$D$4)</f>
        <v>115.9546153846154</v>
      </c>
      <c r="M12" s="14">
        <f>L12*$D$6</f>
        <v>162.33646153846155</v>
      </c>
      <c r="N12" s="15">
        <f>G12-F12</f>
        <v>73.50950000000002</v>
      </c>
      <c r="O12" s="16">
        <f>N12-H12</f>
        <v>21.401500000000013</v>
      </c>
      <c r="P12" s="40">
        <f>$F12/(1-$D$4-$P$9)</f>
        <v>215.34428571428572</v>
      </c>
      <c r="Q12" s="41">
        <f>P12*$D$4</f>
        <v>75.37049999999999</v>
      </c>
      <c r="R12" s="42">
        <f>P12-$F12-Q12</f>
        <v>64.60328571428573</v>
      </c>
      <c r="S12" s="43">
        <f>R12/P12</f>
        <v>0.3000000000000001</v>
      </c>
      <c r="T12" s="40">
        <f>P12*$D$6</f>
        <v>301.48199999999997</v>
      </c>
      <c r="U12" s="40">
        <f>$F12/(1-$D$4-$U$9)</f>
        <v>188.42625</v>
      </c>
      <c r="V12" s="41">
        <f>U12*$D$4</f>
        <v>65.9491875</v>
      </c>
      <c r="W12" s="42">
        <f>U12-$F12-V12</f>
        <v>47.10656250000001</v>
      </c>
      <c r="X12" s="43">
        <f>W12/U12</f>
        <v>0.25000000000000006</v>
      </c>
      <c r="Y12" s="40">
        <f>U12*$D$6</f>
        <v>263.79675</v>
      </c>
      <c r="Z12" s="40">
        <f>$F12/(1-$D$4-$Z$9)</f>
        <v>167.49</v>
      </c>
      <c r="AA12" s="41">
        <f>Z12*$D$4</f>
        <v>58.6215</v>
      </c>
      <c r="AB12" s="42">
        <f>Z12-$F12-AA12</f>
        <v>33.498000000000005</v>
      </c>
      <c r="AC12" s="43">
        <f>AB12/Z12</f>
        <v>0.2</v>
      </c>
      <c r="AD12" s="40">
        <f>Z12*$D$6</f>
        <v>234.486</v>
      </c>
      <c r="AE12" s="40">
        <f>$F12/(1-$D$4-$AE$9)</f>
        <v>150.741</v>
      </c>
      <c r="AF12" s="41">
        <f>AE12*$D$4</f>
        <v>52.759350000000005</v>
      </c>
      <c r="AG12" s="42">
        <f>AE12-$F12-AF12</f>
        <v>22.611150000000002</v>
      </c>
      <c r="AH12" s="43">
        <f>AG12/AE12</f>
        <v>0.15</v>
      </c>
      <c r="AI12" s="40">
        <f>AE12*$D$6</f>
        <v>211.03740000000002</v>
      </c>
      <c r="AL12" s="24" t="n">
        <v>1.308515625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- 6 pallets'!$G$14)</f>
        <v>1.2758027343749998</v>
      </c>
      <c r="F13" s="8">
        <f>IF(AND(ISNUMBER(E13),ISNUMBER($D$8)),E13*$D$3,NA())</f>
        <v>65.32109999999999</v>
      </c>
      <c r="G13" s="9">
        <f>F13/$D$8</f>
        <v>129.0293333333333</v>
      </c>
      <c r="H13" s="10">
        <f>G13*$D$4</f>
        <v>45.16026666666666</v>
      </c>
      <c r="I13" s="11">
        <f>G13-F13-H13</f>
        <v>18.547966666666667</v>
      </c>
      <c r="J13" s="12">
        <f>I13/G13</f>
        <v>0.14375000000000002</v>
      </c>
      <c r="K13" s="13">
        <f>G13*$D$6</f>
        <v>180.64106666666663</v>
      </c>
      <c r="L13" s="14">
        <f>F13/(1-$D$4)</f>
        <v>100.49399999999997</v>
      </c>
      <c r="M13" s="14">
        <f>L13*$D$6</f>
        <v>140.69159999999994</v>
      </c>
      <c r="N13" s="15">
        <f>G13-F13</f>
        <v>63.708233333333325</v>
      </c>
      <c r="O13" s="16">
        <f>N13-H13</f>
        <v>18.547966666666667</v>
      </c>
      <c r="P13" s="40">
        <f>$F13/(1-$D$4-$P$9)</f>
        <v>186.63171428571422</v>
      </c>
      <c r="Q13" s="41">
        <f>P13*$D$4</f>
        <v>65.32109999999997</v>
      </c>
      <c r="R13" s="42">
        <f>P13-$F13-Q13</f>
        <v>55.989514285714264</v>
      </c>
      <c r="S13" s="43">
        <f>R13/P13</f>
        <v>0.3</v>
      </c>
      <c r="T13" s="40">
        <f>P13*$D$6</f>
        <v>261.2843999999999</v>
      </c>
      <c r="U13" s="40">
        <f>$F13/(1-$D$4-$U$9)</f>
        <v>163.30274999999995</v>
      </c>
      <c r="V13" s="41">
        <f>U13*$D$4</f>
        <v>57.15596249999998</v>
      </c>
      <c r="W13" s="42">
        <f>U13-$F13-V13</f>
        <v>40.82568749999998</v>
      </c>
      <c r="X13" s="43">
        <f>W13/U13</f>
        <v>0.24999999999999994</v>
      </c>
      <c r="Y13" s="40">
        <f>U13*$D$6</f>
        <v>228.62384999999992</v>
      </c>
      <c r="Z13" s="40">
        <f>$F13/(1-$D$4-$Z$9)</f>
        <v>145.15799999999996</v>
      </c>
      <c r="AA13" s="41">
        <f>Z13*$D$4</f>
        <v>50.80529999999998</v>
      </c>
      <c r="AB13" s="42">
        <f>Z13-$F13-AA13</f>
        <v>29.03159999999999</v>
      </c>
      <c r="AC13" s="43">
        <f>AB13/Z13</f>
        <v>0.19999999999999998</v>
      </c>
      <c r="AD13" s="40">
        <f>Z13*$D$6</f>
        <v>203.22119999999993</v>
      </c>
      <c r="AE13" s="40">
        <f>$F13/(1-$D$4-$AE$9)</f>
        <v>130.64219999999997</v>
      </c>
      <c r="AF13" s="41">
        <f>AE13*$D$4</f>
        <v>45.724769999999985</v>
      </c>
      <c r="AG13" s="42">
        <f>AE13-$F13-AF13</f>
        <v>19.596330000000002</v>
      </c>
      <c r="AH13" s="43">
        <f>AG13/AE13</f>
        <v>0.15000000000000005</v>
      </c>
      <c r="AI13" s="40">
        <f>AE13*$D$6</f>
        <v>182.89907999999994</v>
      </c>
      <c r="AL13" s="24" t="n">
        <v>1.134046875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- 6 pallets'!$G$14)</f>
        <v>1.2758027343749998</v>
      </c>
      <c r="F14" s="8">
        <f>IF(AND(ISNUMBER(E14),ISNUMBER($D$8)),E14*$D$3,NA())</f>
        <v>65.32109999999999</v>
      </c>
      <c r="G14" s="9">
        <f>F14/$D$8</f>
        <v>129.0293333333333</v>
      </c>
      <c r="H14" s="10">
        <f>G14*$D$4</f>
        <v>45.16026666666666</v>
      </c>
      <c r="I14" s="11">
        <f>G14-F14-H14</f>
        <v>18.547966666666667</v>
      </c>
      <c r="J14" s="12">
        <f>I14/G14</f>
        <v>0.14375000000000002</v>
      </c>
      <c r="K14" s="13">
        <f>G14*$D$6</f>
        <v>180.64106666666663</v>
      </c>
      <c r="L14" s="14">
        <f>F14/(1-$D$4)</f>
        <v>100.49399999999997</v>
      </c>
      <c r="M14" s="14">
        <f>L14*$D$6</f>
        <v>140.69159999999994</v>
      </c>
      <c r="N14" s="15">
        <f>G14-F14</f>
        <v>63.708233333333325</v>
      </c>
      <c r="O14" s="16">
        <f>N14-H14</f>
        <v>18.547966666666667</v>
      </c>
      <c r="P14" s="40">
        <f>$F14/(1-$D$4-$P$9)</f>
        <v>186.63171428571422</v>
      </c>
      <c r="Q14" s="41">
        <f>P14*$D$4</f>
        <v>65.32109999999997</v>
      </c>
      <c r="R14" s="42">
        <f>P14-$F14-Q14</f>
        <v>55.989514285714264</v>
      </c>
      <c r="S14" s="43">
        <f>R14/P14</f>
        <v>0.3</v>
      </c>
      <c r="T14" s="40">
        <f>P14*$D$6</f>
        <v>261.2843999999999</v>
      </c>
      <c r="U14" s="40">
        <f>$F14/(1-$D$4-$U$9)</f>
        <v>163.30274999999995</v>
      </c>
      <c r="V14" s="41">
        <f>U14*$D$4</f>
        <v>57.15596249999998</v>
      </c>
      <c r="W14" s="42">
        <f>U14-$F14-V14</f>
        <v>40.82568749999998</v>
      </c>
      <c r="X14" s="43">
        <f>W14/U14</f>
        <v>0.24999999999999994</v>
      </c>
      <c r="Y14" s="40">
        <f>U14*$D$6</f>
        <v>228.62384999999992</v>
      </c>
      <c r="Z14" s="40">
        <f>$F14/(1-$D$4-$Z$9)</f>
        <v>145.15799999999996</v>
      </c>
      <c r="AA14" s="41">
        <f>Z14*$D$4</f>
        <v>50.80529999999998</v>
      </c>
      <c r="AB14" s="42">
        <f>Z14-$F14-AA14</f>
        <v>29.03159999999999</v>
      </c>
      <c r="AC14" s="43">
        <f>AB14/Z14</f>
        <v>0.19999999999999998</v>
      </c>
      <c r="AD14" s="40">
        <f>Z14*$D$6</f>
        <v>203.22119999999993</v>
      </c>
      <c r="AE14" s="40">
        <f>$F14/(1-$D$4-$AE$9)</f>
        <v>130.64219999999997</v>
      </c>
      <c r="AF14" s="41">
        <f>AE14*$D$4</f>
        <v>45.724769999999985</v>
      </c>
      <c r="AG14" s="42">
        <f>AE14-$F14-AF14</f>
        <v>19.596330000000002</v>
      </c>
      <c r="AH14" s="43">
        <f>AG14/AE14</f>
        <v>0.15000000000000005</v>
      </c>
      <c r="AI14" s="40">
        <f>AE14*$D$6</f>
        <v>182.89907999999994</v>
      </c>
      <c r="AL14" s="24" t="n">
        <v>1.134046875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- 6 pallets'!$G$14)</f>
        <v>1.2758027343749998</v>
      </c>
      <c r="F15" s="8">
        <f>IF(AND(ISNUMBER(E15),ISNUMBER($D$8)),E15*$D$3,NA())</f>
        <v>65.32109999999999</v>
      </c>
      <c r="G15" s="9">
        <f>F15/$D$8</f>
        <v>129.0293333333333</v>
      </c>
      <c r="H15" s="10">
        <f>G15*$D$4</f>
        <v>45.16026666666666</v>
      </c>
      <c r="I15" s="11">
        <f>G15-F15-H15</f>
        <v>18.547966666666667</v>
      </c>
      <c r="J15" s="12">
        <f>I15/G15</f>
        <v>0.14375000000000002</v>
      </c>
      <c r="K15" s="13">
        <f>G15*$D$6</f>
        <v>180.64106666666663</v>
      </c>
      <c r="L15" s="14">
        <f>F15/(1-$D$4)</f>
        <v>100.49399999999997</v>
      </c>
      <c r="M15" s="14">
        <f>L15*$D$6</f>
        <v>140.69159999999994</v>
      </c>
      <c r="N15" s="15">
        <f>G15-F15</f>
        <v>63.708233333333325</v>
      </c>
      <c r="O15" s="16">
        <f>N15-H15</f>
        <v>18.547966666666667</v>
      </c>
      <c r="P15" s="40">
        <f>$F15/(1-$D$4-$P$9)</f>
        <v>186.63171428571422</v>
      </c>
      <c r="Q15" s="41">
        <f>P15*$D$4</f>
        <v>65.32109999999997</v>
      </c>
      <c r="R15" s="42">
        <f>P15-$F15-Q15</f>
        <v>55.989514285714264</v>
      </c>
      <c r="S15" s="43">
        <f>R15/P15</f>
        <v>0.3</v>
      </c>
      <c r="T15" s="40">
        <f>P15*$D$6</f>
        <v>261.2843999999999</v>
      </c>
      <c r="U15" s="40">
        <f>$F15/(1-$D$4-$U$9)</f>
        <v>163.30274999999995</v>
      </c>
      <c r="V15" s="41">
        <f>U15*$D$4</f>
        <v>57.15596249999998</v>
      </c>
      <c r="W15" s="42">
        <f>U15-$F15-V15</f>
        <v>40.82568749999998</v>
      </c>
      <c r="X15" s="43">
        <f>W15/U15</f>
        <v>0.24999999999999994</v>
      </c>
      <c r="Y15" s="40">
        <f>U15*$D$6</f>
        <v>228.62384999999992</v>
      </c>
      <c r="Z15" s="40">
        <f>$F15/(1-$D$4-$Z$9)</f>
        <v>145.15799999999996</v>
      </c>
      <c r="AA15" s="41">
        <f>Z15*$D$4</f>
        <v>50.80529999999998</v>
      </c>
      <c r="AB15" s="42">
        <f>Z15-$F15-AA15</f>
        <v>29.03159999999999</v>
      </c>
      <c r="AC15" s="43">
        <f>AB15/Z15</f>
        <v>0.19999999999999998</v>
      </c>
      <c r="AD15" s="40">
        <f>Z15*$D$6</f>
        <v>203.22119999999993</v>
      </c>
      <c r="AE15" s="40">
        <f>$F15/(1-$D$4-$AE$9)</f>
        <v>130.64219999999997</v>
      </c>
      <c r="AF15" s="41">
        <f>AE15*$D$4</f>
        <v>45.724769999999985</v>
      </c>
      <c r="AG15" s="42">
        <f>AE15-$F15-AF15</f>
        <v>19.596330000000002</v>
      </c>
      <c r="AH15" s="43">
        <f>AG15/AE15</f>
        <v>0.15000000000000005</v>
      </c>
      <c r="AI15" s="40">
        <f>AE15*$D$6</f>
        <v>182.89907999999994</v>
      </c>
      <c r="AL15" s="24" t="n">
        <v>1.134046875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- 6 pallets'!$G$14)</f>
        <v>1.2758027343749998</v>
      </c>
      <c r="F16" s="8">
        <f>IF(AND(ISNUMBER(E16),ISNUMBER($D$8)),E16*$D$3,NA())</f>
        <v>65.32109999999999</v>
      </c>
      <c r="G16" s="9">
        <f>F16/$D$8</f>
        <v>129.0293333333333</v>
      </c>
      <c r="H16" s="10">
        <f>G16*$D$4</f>
        <v>45.16026666666666</v>
      </c>
      <c r="I16" s="11">
        <f>G16-F16-H16</f>
        <v>18.547966666666667</v>
      </c>
      <c r="J16" s="12">
        <f>I16/G16</f>
        <v>0.14375000000000002</v>
      </c>
      <c r="K16" s="13">
        <f>G16*$D$6</f>
        <v>180.64106666666663</v>
      </c>
      <c r="L16" s="14">
        <f>F16/(1-$D$4)</f>
        <v>100.49399999999997</v>
      </c>
      <c r="M16" s="14">
        <f>L16*$D$6</f>
        <v>140.69159999999994</v>
      </c>
      <c r="N16" s="15">
        <f>G16-F16</f>
        <v>63.708233333333325</v>
      </c>
      <c r="O16" s="16">
        <f>N16-H16</f>
        <v>18.547966666666667</v>
      </c>
      <c r="P16" s="40">
        <f>$F16/(1-$D$4-$P$9)</f>
        <v>186.63171428571422</v>
      </c>
      <c r="Q16" s="41">
        <f>P16*$D$4</f>
        <v>65.32109999999997</v>
      </c>
      <c r="R16" s="42">
        <f>P16-$F16-Q16</f>
        <v>55.989514285714264</v>
      </c>
      <c r="S16" s="43">
        <f>R16/P16</f>
        <v>0.3</v>
      </c>
      <c r="T16" s="40">
        <f>P16*$D$6</f>
        <v>261.2843999999999</v>
      </c>
      <c r="U16" s="40">
        <f>$F16/(1-$D$4-$U$9)</f>
        <v>163.30274999999995</v>
      </c>
      <c r="V16" s="41">
        <f>U16*$D$4</f>
        <v>57.15596249999998</v>
      </c>
      <c r="W16" s="42">
        <f>U16-$F16-V16</f>
        <v>40.82568749999998</v>
      </c>
      <c r="X16" s="43">
        <f>W16/U16</f>
        <v>0.24999999999999994</v>
      </c>
      <c r="Y16" s="40">
        <f>U16*$D$6</f>
        <v>228.62384999999992</v>
      </c>
      <c r="Z16" s="40">
        <f>$F16/(1-$D$4-$Z$9)</f>
        <v>145.15799999999996</v>
      </c>
      <c r="AA16" s="41">
        <f>Z16*$D$4</f>
        <v>50.80529999999998</v>
      </c>
      <c r="AB16" s="42">
        <f>Z16-$F16-AA16</f>
        <v>29.03159999999999</v>
      </c>
      <c r="AC16" s="43">
        <f>AB16/Z16</f>
        <v>0.19999999999999998</v>
      </c>
      <c r="AD16" s="40">
        <f>Z16*$D$6</f>
        <v>203.22119999999993</v>
      </c>
      <c r="AE16" s="40">
        <f>$F16/(1-$D$4-$AE$9)</f>
        <v>130.64219999999997</v>
      </c>
      <c r="AF16" s="41">
        <f>AE16*$D$4</f>
        <v>45.724769999999985</v>
      </c>
      <c r="AG16" s="42">
        <f>AE16-$F16-AF16</f>
        <v>19.596330000000002</v>
      </c>
      <c r="AH16" s="43">
        <f>AG16/AE16</f>
        <v>0.15000000000000005</v>
      </c>
      <c r="AI16" s="40">
        <f>AE16*$D$6</f>
        <v>182.89907999999994</v>
      </c>
      <c r="AL16" s="24" t="n">
        <v>1.134046875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1.472080078125</v>
      </c>
      <c r="G22" s="29">
        <f>E12</f>
        <v>1.472080078125</v>
      </c>
      <c r="H22" s="29">
        <f>E13</f>
        <v>1.2758027343749998</v>
      </c>
      <c r="I22" s="29">
        <f>E14</f>
        <v>1.2758027343749998</v>
      </c>
      <c r="J22" s="29">
        <f>E15</f>
        <v>1.2758027343749998</v>
      </c>
      <c r="K22" s="29">
        <f>E16</f>
        <v>1.2758027343749998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75.3705</v>
      </c>
      <c r="G24" s="31">
        <f>F12</f>
        <v>75.3705</v>
      </c>
      <c r="H24" s="31">
        <f>F13</f>
        <v>65.32109999999999</v>
      </c>
      <c r="I24" s="31">
        <f>F14</f>
        <v>65.32109999999999</v>
      </c>
      <c r="J24" s="31">
        <f>F15</f>
        <v>65.32109999999999</v>
      </c>
      <c r="K24" s="31">
        <f>F16</f>
        <v>65.32109999999999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73.50950000000002</v>
      </c>
      <c r="G31" s="31">
        <f>N12</f>
        <v>73.50950000000002</v>
      </c>
      <c r="H31" s="31">
        <f>N13</f>
        <v>63.708233333333325</v>
      </c>
      <c r="I31" s="31">
        <f>N14</f>
        <v>63.708233333333325</v>
      </c>
      <c r="J31" s="31">
        <f>N15</f>
        <v>63.708233333333325</v>
      </c>
      <c r="K31" s="31">
        <f>N16</f>
        <v>63.708233333333325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21.401500000000013</v>
      </c>
      <c r="G33" s="36">
        <f>I12</f>
        <v>21.401500000000013</v>
      </c>
      <c r="H33" s="36">
        <f>I13</f>
        <v>18.547966666666667</v>
      </c>
      <c r="I33" s="36">
        <f>I14</f>
        <v>18.547966666666667</v>
      </c>
      <c r="J33" s="36">
        <f>I15</f>
        <v>18.547966666666667</v>
      </c>
      <c r="K33" s="36">
        <f>I16</f>
        <v>18.547966666666667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0.14375000000000002</v>
      </c>
      <c r="I34" s="37">
        <f>J14</f>
        <v>0.14375000000000002</v>
      </c>
      <c r="J34" s="37">
        <f>J15</f>
        <v>0.14375000000000002</v>
      </c>
      <c r="K34" s="37">
        <f>J16</f>
        <v>0.14375000000000002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115.9546153846154</v>
      </c>
      <c r="G38" s="31">
        <f>L12</f>
        <v>115.9546153846154</v>
      </c>
      <c r="H38" s="31">
        <f>L13</f>
        <v>100.49399999999997</v>
      </c>
      <c r="I38" s="31">
        <f>L14</f>
        <v>100.49399999999997</v>
      </c>
      <c r="J38" s="31">
        <f>L15</f>
        <v>100.49399999999997</v>
      </c>
      <c r="K38" s="31">
        <f>L16</f>
        <v>100.49399999999997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162.33646153846155</v>
      </c>
      <c r="G39" s="31">
        <f>M12</f>
        <v>162.33646153846155</v>
      </c>
      <c r="H39" s="31">
        <f>M13</f>
        <v>140.69159999999994</v>
      </c>
      <c r="I39" s="31">
        <f>M14</f>
        <v>140.69159999999994</v>
      </c>
      <c r="J39" s="31">
        <f>M15</f>
        <v>140.69159999999994</v>
      </c>
      <c r="K39" s="31">
        <f>M16</f>
        <v>140.69159999999994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- 33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- 33 pallets'!$G$14)</f>
        <v>1.1453975485503278</v>
      </c>
      <c r="F11" s="8">
        <f>IF(AND(ISNUMBER(E11),ISNUMBER($D$8)),E11*$D$3,NA())</f>
        <v>58.64435448577679</v>
      </c>
      <c r="G11" s="9">
        <f>F11/$D$8</f>
        <v>115.84070021881836</v>
      </c>
      <c r="H11" s="10">
        <f>G11*$D$4</f>
        <v>40.54424507658642</v>
      </c>
      <c r="I11" s="11">
        <f>G11-F11-H11</f>
        <v>16.652100656455147</v>
      </c>
      <c r="J11" s="12">
        <f>I11/G11</f>
        <v>0.14375000000000007</v>
      </c>
      <c r="K11" s="13">
        <f>G11*$D$6</f>
        <v>162.17698030634568</v>
      </c>
      <c r="L11" s="14">
        <f>F11/(1-$D$4)</f>
        <v>90.22208382427198</v>
      </c>
      <c r="M11" s="14">
        <f>L11*$D$6</f>
        <v>126.31091735398076</v>
      </c>
      <c r="N11" s="15">
        <f>G11-F11</f>
        <v>57.19634573304157</v>
      </c>
      <c r="O11" s="16">
        <f>N11-H11</f>
        <v>16.652100656455147</v>
      </c>
      <c r="P11" s="40">
        <f>$F11/(1-$D$4-$P$9)</f>
        <v>167.5552985307908</v>
      </c>
      <c r="Q11" s="41">
        <f>P11*$D$4</f>
        <v>58.64435448577677</v>
      </c>
      <c r="R11" s="42">
        <f>P11-$F11-Q11</f>
        <v>50.26658955923723</v>
      </c>
      <c r="S11" s="43">
        <f>R11/P11</f>
        <v>0.3</v>
      </c>
      <c r="T11" s="40">
        <f>P11*$D$6</f>
        <v>234.5774179431071</v>
      </c>
      <c r="U11" s="40">
        <f>$F11/(1-$D$4-$U$9)</f>
        <v>146.61088621444196</v>
      </c>
      <c r="V11" s="41">
        <f>U11*$D$4</f>
        <v>51.313810175054684</v>
      </c>
      <c r="W11" s="42">
        <f>U11-$F11-V11</f>
        <v>36.65272155361049</v>
      </c>
      <c r="X11" s="43">
        <f>W11/U11</f>
        <v>0.25</v>
      </c>
      <c r="Y11" s="40">
        <f>U11*$D$6</f>
        <v>205.25524070021874</v>
      </c>
      <c r="Z11" s="40">
        <f>$F11/(1-$D$4-$Z$9)</f>
        <v>130.32078774617062</v>
      </c>
      <c r="AA11" s="41">
        <f>Z11*$D$4</f>
        <v>45.61227571115972</v>
      </c>
      <c r="AB11" s="42">
        <f>Z11-$F11-AA11</f>
        <v>26.064157549234118</v>
      </c>
      <c r="AC11" s="43">
        <f>AB11/Z11</f>
        <v>0.19999999999999996</v>
      </c>
      <c r="AD11" s="40">
        <f>Z11*$D$6</f>
        <v>182.44910284463887</v>
      </c>
      <c r="AE11" s="40">
        <f>$F11/(1-$D$4-$AE$9)</f>
        <v>117.28870897155358</v>
      </c>
      <c r="AF11" s="41">
        <f>AE11*$D$4</f>
        <v>41.05104814004375</v>
      </c>
      <c r="AG11" s="42">
        <f>AE11-$F11-AF11</f>
        <v>17.59330634573304</v>
      </c>
      <c r="AH11" s="43">
        <f>AG11/AE11</f>
        <v>0.15000000000000005</v>
      </c>
      <c r="AI11" s="40">
        <f>AE11*$D$6</f>
        <v>164.204192560175</v>
      </c>
      <c r="AL11" s="24" t="n">
        <v>1.018131154266958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- 33 pallets'!$G$14)</f>
        <v>1.1453975485503278</v>
      </c>
      <c r="F12" s="8">
        <f>IF(AND(ISNUMBER(E12),ISNUMBER($D$8)),E12*$D$3,NA())</f>
        <v>58.64435448577679</v>
      </c>
      <c r="G12" s="9">
        <f>F12/$D$8</f>
        <v>115.84070021881836</v>
      </c>
      <c r="H12" s="10">
        <f>G12*$D$4</f>
        <v>40.54424507658642</v>
      </c>
      <c r="I12" s="11">
        <f>G12-F12-H12</f>
        <v>16.652100656455147</v>
      </c>
      <c r="J12" s="12">
        <f>I12/G12</f>
        <v>0.14375000000000007</v>
      </c>
      <c r="K12" s="13">
        <f>G12*$D$6</f>
        <v>162.17698030634568</v>
      </c>
      <c r="L12" s="14">
        <f>F12/(1-$D$4)</f>
        <v>90.22208382427198</v>
      </c>
      <c r="M12" s="14">
        <f>L12*$D$6</f>
        <v>126.31091735398076</v>
      </c>
      <c r="N12" s="15">
        <f>G12-F12</f>
        <v>57.19634573304157</v>
      </c>
      <c r="O12" s="16">
        <f>N12-H12</f>
        <v>16.652100656455147</v>
      </c>
      <c r="P12" s="40">
        <f>$F12/(1-$D$4-$P$9)</f>
        <v>167.5552985307908</v>
      </c>
      <c r="Q12" s="41">
        <f>P12*$D$4</f>
        <v>58.64435448577677</v>
      </c>
      <c r="R12" s="42">
        <f>P12-$F12-Q12</f>
        <v>50.26658955923723</v>
      </c>
      <c r="S12" s="43">
        <f>R12/P12</f>
        <v>0.3</v>
      </c>
      <c r="T12" s="40">
        <f>P12*$D$6</f>
        <v>234.5774179431071</v>
      </c>
      <c r="U12" s="40">
        <f>$F12/(1-$D$4-$U$9)</f>
        <v>146.61088621444196</v>
      </c>
      <c r="V12" s="41">
        <f>U12*$D$4</f>
        <v>51.313810175054684</v>
      </c>
      <c r="W12" s="42">
        <f>U12-$F12-V12</f>
        <v>36.65272155361049</v>
      </c>
      <c r="X12" s="43">
        <f>W12/U12</f>
        <v>0.25</v>
      </c>
      <c r="Y12" s="40">
        <f>U12*$D$6</f>
        <v>205.25524070021874</v>
      </c>
      <c r="Z12" s="40">
        <f>$F12/(1-$D$4-$Z$9)</f>
        <v>130.32078774617062</v>
      </c>
      <c r="AA12" s="41">
        <f>Z12*$D$4</f>
        <v>45.61227571115972</v>
      </c>
      <c r="AB12" s="42">
        <f>Z12-$F12-AA12</f>
        <v>26.064157549234118</v>
      </c>
      <c r="AC12" s="43">
        <f>AB12/Z12</f>
        <v>0.19999999999999996</v>
      </c>
      <c r="AD12" s="40">
        <f>Z12*$D$6</f>
        <v>182.44910284463887</v>
      </c>
      <c r="AE12" s="40">
        <f>$F12/(1-$D$4-$AE$9)</f>
        <v>117.28870897155358</v>
      </c>
      <c r="AF12" s="41">
        <f>AE12*$D$4</f>
        <v>41.05104814004375</v>
      </c>
      <c r="AG12" s="42">
        <f>AE12-$F12-AF12</f>
        <v>17.59330634573304</v>
      </c>
      <c r="AH12" s="43">
        <f>AG12/AE12</f>
        <v>0.15000000000000005</v>
      </c>
      <c r="AI12" s="40">
        <f>AE12*$D$6</f>
        <v>164.204192560175</v>
      </c>
      <c r="AL12" s="24" t="n">
        <v>1.018131154266958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- 33 pallets'!$G$14)</f>
        <v>0.992677875410285</v>
      </c>
      <c r="F13" s="8">
        <f>IF(AND(ISNUMBER(E13),ISNUMBER($D$8)),E13*$D$3,NA())</f>
        <v>50.82510722100659</v>
      </c>
      <c r="G13" s="9">
        <f>F13/$D$8</f>
        <v>100.39527352297598</v>
      </c>
      <c r="H13" s="10">
        <f>G13*$D$4</f>
        <v>35.13834573304159</v>
      </c>
      <c r="I13" s="11">
        <f>G13-F13-H13</f>
        <v>14.431820568927805</v>
      </c>
      <c r="J13" s="12">
        <f>I13/G13</f>
        <v>0.14375000000000007</v>
      </c>
      <c r="K13" s="13">
        <f>G13*$D$6</f>
        <v>140.55338293216636</v>
      </c>
      <c r="L13" s="14">
        <f>F13/(1-$D$4)</f>
        <v>78.19247264770244</v>
      </c>
      <c r="M13" s="14">
        <f>L13*$D$6</f>
        <v>109.46946170678342</v>
      </c>
      <c r="N13" s="15">
        <f>G13-F13</f>
        <v>49.570166301969394</v>
      </c>
      <c r="O13" s="16">
        <f>N13-H13</f>
        <v>14.431820568927805</v>
      </c>
      <c r="P13" s="40">
        <f>$F13/(1-$D$4-$P$9)</f>
        <v>145.21459206001882</v>
      </c>
      <c r="Q13" s="41">
        <f>P13*$D$4</f>
        <v>50.82510722100658</v>
      </c>
      <c r="R13" s="42">
        <f>P13-$F13-Q13</f>
        <v>43.56437761800564</v>
      </c>
      <c r="S13" s="43">
        <f>R13/P13</f>
        <v>0.3</v>
      </c>
      <c r="T13" s="40">
        <f>P13*$D$6</f>
        <v>203.30042888402633</v>
      </c>
      <c r="U13" s="40">
        <f>$F13/(1-$D$4-$U$9)</f>
        <v>127.06276805251647</v>
      </c>
      <c r="V13" s="41">
        <f>U13*$D$4</f>
        <v>44.471968818380766</v>
      </c>
      <c r="W13" s="42">
        <f>U13-$F13-V13</f>
        <v>31.76569201312912</v>
      </c>
      <c r="X13" s="43">
        <f>W13/U13</f>
        <v>0.25</v>
      </c>
      <c r="Y13" s="40">
        <f>U13*$D$6</f>
        <v>177.88787527352306</v>
      </c>
      <c r="Z13" s="40">
        <f>$F13/(1-$D$4-$Z$9)</f>
        <v>112.94468271334797</v>
      </c>
      <c r="AA13" s="41">
        <f>Z13*$D$4</f>
        <v>39.53063894967179</v>
      </c>
      <c r="AB13" s="42">
        <f>Z13-$F13-AA13</f>
        <v>22.588936542669593</v>
      </c>
      <c r="AC13" s="43">
        <f>AB13/Z13</f>
        <v>0.19999999999999998</v>
      </c>
      <c r="AD13" s="40">
        <f>Z13*$D$6</f>
        <v>158.12255579868716</v>
      </c>
      <c r="AE13" s="40">
        <f>$F13/(1-$D$4-$AE$9)</f>
        <v>101.65021444201318</v>
      </c>
      <c r="AF13" s="41">
        <f>AE13*$D$4</f>
        <v>35.57757505470461</v>
      </c>
      <c r="AG13" s="42">
        <f>AE13-$F13-AF13</f>
        <v>15.24753216630198</v>
      </c>
      <c r="AH13" s="43">
        <f>AG13/AE13</f>
        <v>0.15000000000000002</v>
      </c>
      <c r="AI13" s="40">
        <f>AE13*$D$6</f>
        <v>142.31030021881844</v>
      </c>
      <c r="AL13" s="24" t="n">
        <v>0.8823803336980306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- 33 pallets'!$G$14)</f>
        <v>0.992677875410285</v>
      </c>
      <c r="F14" s="8">
        <f>IF(AND(ISNUMBER(E14),ISNUMBER($D$8)),E14*$D$3,NA())</f>
        <v>50.82510722100659</v>
      </c>
      <c r="G14" s="9">
        <f>F14/$D$8</f>
        <v>100.39527352297598</v>
      </c>
      <c r="H14" s="10">
        <f>G14*$D$4</f>
        <v>35.13834573304159</v>
      </c>
      <c r="I14" s="11">
        <f>G14-F14-H14</f>
        <v>14.431820568927805</v>
      </c>
      <c r="J14" s="12">
        <f>I14/G14</f>
        <v>0.14375000000000007</v>
      </c>
      <c r="K14" s="13">
        <f>G14*$D$6</f>
        <v>140.55338293216636</v>
      </c>
      <c r="L14" s="14">
        <f>F14/(1-$D$4)</f>
        <v>78.19247264770244</v>
      </c>
      <c r="M14" s="14">
        <f>L14*$D$6</f>
        <v>109.46946170678342</v>
      </c>
      <c r="N14" s="15">
        <f>G14-F14</f>
        <v>49.570166301969394</v>
      </c>
      <c r="O14" s="16">
        <f>N14-H14</f>
        <v>14.431820568927805</v>
      </c>
      <c r="P14" s="40">
        <f>$F14/(1-$D$4-$P$9)</f>
        <v>145.21459206001882</v>
      </c>
      <c r="Q14" s="41">
        <f>P14*$D$4</f>
        <v>50.82510722100658</v>
      </c>
      <c r="R14" s="42">
        <f>P14-$F14-Q14</f>
        <v>43.56437761800564</v>
      </c>
      <c r="S14" s="43">
        <f>R14/P14</f>
        <v>0.3</v>
      </c>
      <c r="T14" s="40">
        <f>P14*$D$6</f>
        <v>203.30042888402633</v>
      </c>
      <c r="U14" s="40">
        <f>$F14/(1-$D$4-$U$9)</f>
        <v>127.06276805251647</v>
      </c>
      <c r="V14" s="41">
        <f>U14*$D$4</f>
        <v>44.471968818380766</v>
      </c>
      <c r="W14" s="42">
        <f>U14-$F14-V14</f>
        <v>31.76569201312912</v>
      </c>
      <c r="X14" s="43">
        <f>W14/U14</f>
        <v>0.25</v>
      </c>
      <c r="Y14" s="40">
        <f>U14*$D$6</f>
        <v>177.88787527352306</v>
      </c>
      <c r="Z14" s="40">
        <f>$F14/(1-$D$4-$Z$9)</f>
        <v>112.94468271334797</v>
      </c>
      <c r="AA14" s="41">
        <f>Z14*$D$4</f>
        <v>39.53063894967179</v>
      </c>
      <c r="AB14" s="42">
        <f>Z14-$F14-AA14</f>
        <v>22.588936542669593</v>
      </c>
      <c r="AC14" s="43">
        <f>AB14/Z14</f>
        <v>0.19999999999999998</v>
      </c>
      <c r="AD14" s="40">
        <f>Z14*$D$6</f>
        <v>158.12255579868716</v>
      </c>
      <c r="AE14" s="40">
        <f>$F14/(1-$D$4-$AE$9)</f>
        <v>101.65021444201318</v>
      </c>
      <c r="AF14" s="41">
        <f>AE14*$D$4</f>
        <v>35.57757505470461</v>
      </c>
      <c r="AG14" s="42">
        <f>AE14-$F14-AF14</f>
        <v>15.24753216630198</v>
      </c>
      <c r="AH14" s="43">
        <f>AG14/AE14</f>
        <v>0.15000000000000002</v>
      </c>
      <c r="AI14" s="40">
        <f>AE14*$D$6</f>
        <v>142.31030021881844</v>
      </c>
      <c r="AL14" s="24" t="n">
        <v>0.8823803336980306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- 33 pallets'!$G$14)</f>
        <v>0.992677875410285</v>
      </c>
      <c r="F15" s="8">
        <f>IF(AND(ISNUMBER(E15),ISNUMBER($D$8)),E15*$D$3,NA())</f>
        <v>50.82510722100659</v>
      </c>
      <c r="G15" s="9">
        <f>F15/$D$8</f>
        <v>100.39527352297598</v>
      </c>
      <c r="H15" s="10">
        <f>G15*$D$4</f>
        <v>35.13834573304159</v>
      </c>
      <c r="I15" s="11">
        <f>G15-F15-H15</f>
        <v>14.431820568927805</v>
      </c>
      <c r="J15" s="12">
        <f>I15/G15</f>
        <v>0.14375000000000007</v>
      </c>
      <c r="K15" s="13">
        <f>G15*$D$6</f>
        <v>140.55338293216636</v>
      </c>
      <c r="L15" s="14">
        <f>F15/(1-$D$4)</f>
        <v>78.19247264770244</v>
      </c>
      <c r="M15" s="14">
        <f>L15*$D$6</f>
        <v>109.46946170678342</v>
      </c>
      <c r="N15" s="15">
        <f>G15-F15</f>
        <v>49.570166301969394</v>
      </c>
      <c r="O15" s="16">
        <f>N15-H15</f>
        <v>14.431820568927805</v>
      </c>
      <c r="P15" s="40">
        <f>$F15/(1-$D$4-$P$9)</f>
        <v>145.21459206001882</v>
      </c>
      <c r="Q15" s="41">
        <f>P15*$D$4</f>
        <v>50.82510722100658</v>
      </c>
      <c r="R15" s="42">
        <f>P15-$F15-Q15</f>
        <v>43.56437761800564</v>
      </c>
      <c r="S15" s="43">
        <f>R15/P15</f>
        <v>0.3</v>
      </c>
      <c r="T15" s="40">
        <f>P15*$D$6</f>
        <v>203.30042888402633</v>
      </c>
      <c r="U15" s="40">
        <f>$F15/(1-$D$4-$U$9)</f>
        <v>127.06276805251647</v>
      </c>
      <c r="V15" s="41">
        <f>U15*$D$4</f>
        <v>44.471968818380766</v>
      </c>
      <c r="W15" s="42">
        <f>U15-$F15-V15</f>
        <v>31.76569201312912</v>
      </c>
      <c r="X15" s="43">
        <f>W15/U15</f>
        <v>0.25</v>
      </c>
      <c r="Y15" s="40">
        <f>U15*$D$6</f>
        <v>177.88787527352306</v>
      </c>
      <c r="Z15" s="40">
        <f>$F15/(1-$D$4-$Z$9)</f>
        <v>112.94468271334797</v>
      </c>
      <c r="AA15" s="41">
        <f>Z15*$D$4</f>
        <v>39.53063894967179</v>
      </c>
      <c r="AB15" s="42">
        <f>Z15-$F15-AA15</f>
        <v>22.588936542669593</v>
      </c>
      <c r="AC15" s="43">
        <f>AB15/Z15</f>
        <v>0.19999999999999998</v>
      </c>
      <c r="AD15" s="40">
        <f>Z15*$D$6</f>
        <v>158.12255579868716</v>
      </c>
      <c r="AE15" s="40">
        <f>$F15/(1-$D$4-$AE$9)</f>
        <v>101.65021444201318</v>
      </c>
      <c r="AF15" s="41">
        <f>AE15*$D$4</f>
        <v>35.57757505470461</v>
      </c>
      <c r="AG15" s="42">
        <f>AE15-$F15-AF15</f>
        <v>15.24753216630198</v>
      </c>
      <c r="AH15" s="43">
        <f>AG15/AE15</f>
        <v>0.15000000000000002</v>
      </c>
      <c r="AI15" s="40">
        <f>AE15*$D$6</f>
        <v>142.31030021881844</v>
      </c>
      <c r="AL15" s="24" t="n">
        <v>0.8823803336980306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- 33 pallets'!$G$14)</f>
        <v>0.992677875410285</v>
      </c>
      <c r="F16" s="8">
        <f>IF(AND(ISNUMBER(E16),ISNUMBER($D$8)),E16*$D$3,NA())</f>
        <v>50.82510722100659</v>
      </c>
      <c r="G16" s="9">
        <f>F16/$D$8</f>
        <v>100.39527352297598</v>
      </c>
      <c r="H16" s="10">
        <f>G16*$D$4</f>
        <v>35.13834573304159</v>
      </c>
      <c r="I16" s="11">
        <f>G16-F16-H16</f>
        <v>14.431820568927805</v>
      </c>
      <c r="J16" s="12">
        <f>I16/G16</f>
        <v>0.14375000000000007</v>
      </c>
      <c r="K16" s="13">
        <f>G16*$D$6</f>
        <v>140.55338293216636</v>
      </c>
      <c r="L16" s="14">
        <f>F16/(1-$D$4)</f>
        <v>78.19247264770244</v>
      </c>
      <c r="M16" s="14">
        <f>L16*$D$6</f>
        <v>109.46946170678342</v>
      </c>
      <c r="N16" s="15">
        <f>G16-F16</f>
        <v>49.570166301969394</v>
      </c>
      <c r="O16" s="16">
        <f>N16-H16</f>
        <v>14.431820568927805</v>
      </c>
      <c r="P16" s="40">
        <f>$F16/(1-$D$4-$P$9)</f>
        <v>145.21459206001882</v>
      </c>
      <c r="Q16" s="41">
        <f>P16*$D$4</f>
        <v>50.82510722100658</v>
      </c>
      <c r="R16" s="42">
        <f>P16-$F16-Q16</f>
        <v>43.56437761800564</v>
      </c>
      <c r="S16" s="43">
        <f>R16/P16</f>
        <v>0.3</v>
      </c>
      <c r="T16" s="40">
        <f>P16*$D$6</f>
        <v>203.30042888402633</v>
      </c>
      <c r="U16" s="40">
        <f>$F16/(1-$D$4-$U$9)</f>
        <v>127.06276805251647</v>
      </c>
      <c r="V16" s="41">
        <f>U16*$D$4</f>
        <v>44.471968818380766</v>
      </c>
      <c r="W16" s="42">
        <f>U16-$F16-V16</f>
        <v>31.76569201312912</v>
      </c>
      <c r="X16" s="43">
        <f>W16/U16</f>
        <v>0.25</v>
      </c>
      <c r="Y16" s="40">
        <f>U16*$D$6</f>
        <v>177.88787527352306</v>
      </c>
      <c r="Z16" s="40">
        <f>$F16/(1-$D$4-$Z$9)</f>
        <v>112.94468271334797</v>
      </c>
      <c r="AA16" s="41">
        <f>Z16*$D$4</f>
        <v>39.53063894967179</v>
      </c>
      <c r="AB16" s="42">
        <f>Z16-$F16-AA16</f>
        <v>22.588936542669593</v>
      </c>
      <c r="AC16" s="43">
        <f>AB16/Z16</f>
        <v>0.19999999999999998</v>
      </c>
      <c r="AD16" s="40">
        <f>Z16*$D$6</f>
        <v>158.12255579868716</v>
      </c>
      <c r="AE16" s="40">
        <f>$F16/(1-$D$4-$AE$9)</f>
        <v>101.65021444201318</v>
      </c>
      <c r="AF16" s="41">
        <f>AE16*$D$4</f>
        <v>35.57757505470461</v>
      </c>
      <c r="AG16" s="42">
        <f>AE16-$F16-AF16</f>
        <v>15.24753216630198</v>
      </c>
      <c r="AH16" s="43">
        <f>AG16/AE16</f>
        <v>0.15000000000000002</v>
      </c>
      <c r="AI16" s="40">
        <f>AE16*$D$6</f>
        <v>142.31030021881844</v>
      </c>
      <c r="AL16" s="24" t="n">
        <v>0.8823803336980306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1.1453975485503278</v>
      </c>
      <c r="G22" s="29">
        <f>E12</f>
        <v>1.1453975485503278</v>
      </c>
      <c r="H22" s="29">
        <f>E13</f>
        <v>0.992677875410285</v>
      </c>
      <c r="I22" s="29">
        <f>E14</f>
        <v>0.992677875410285</v>
      </c>
      <c r="J22" s="29">
        <f>E15</f>
        <v>0.992677875410285</v>
      </c>
      <c r="K22" s="29">
        <f>E16</f>
        <v>0.992677875410285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58.64435448577679</v>
      </c>
      <c r="G24" s="31">
        <f>F12</f>
        <v>58.64435448577679</v>
      </c>
      <c r="H24" s="31">
        <f>F13</f>
        <v>50.82510722100659</v>
      </c>
      <c r="I24" s="31">
        <f>F14</f>
        <v>50.82510722100659</v>
      </c>
      <c r="J24" s="31">
        <f>F15</f>
        <v>50.82510722100659</v>
      </c>
      <c r="K24" s="31">
        <f>F16</f>
        <v>50.82510722100659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115.84070021881836</v>
      </c>
      <c r="G30" s="34">
        <f>G12</f>
        <v>115.84070021881836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57.19634573304157</v>
      </c>
      <c r="G31" s="31">
        <f>N12</f>
        <v>57.19634573304157</v>
      </c>
      <c r="H31" s="31">
        <f>N13</f>
        <v>49.570166301969394</v>
      </c>
      <c r="I31" s="31">
        <f>N14</f>
        <v>49.570166301969394</v>
      </c>
      <c r="J31" s="31">
        <f>N15</f>
        <v>49.570166301969394</v>
      </c>
      <c r="K31" s="31">
        <f>N16</f>
        <v>49.570166301969394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40.54424507658642</v>
      </c>
      <c r="G32" s="31">
        <f>H12</f>
        <v>40.54424507658642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16.652100656455147</v>
      </c>
      <c r="G33" s="36">
        <f>I12</f>
        <v>16.652100656455147</v>
      </c>
      <c r="H33" s="36">
        <f>I13</f>
        <v>14.431820568927805</v>
      </c>
      <c r="I33" s="36">
        <f>I14</f>
        <v>14.431820568927805</v>
      </c>
      <c r="J33" s="36">
        <f>I15</f>
        <v>14.431820568927805</v>
      </c>
      <c r="K33" s="36">
        <f>I16</f>
        <v>14.431820568927805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0.14375000000000007</v>
      </c>
      <c r="I34" s="37">
        <f>J14</f>
        <v>0.14375000000000007</v>
      </c>
      <c r="J34" s="37">
        <f>J15</f>
        <v>0.14375000000000007</v>
      </c>
      <c r="K34" s="37">
        <f>J16</f>
        <v>0.14375000000000007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162.17698030634568</v>
      </c>
      <c r="G37" s="34">
        <f>K12</f>
        <v>162.17698030634568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90.22208382427198</v>
      </c>
      <c r="G38" s="31">
        <f>L12</f>
        <v>90.22208382427198</v>
      </c>
      <c r="H38" s="31">
        <f>L13</f>
        <v>78.19247264770244</v>
      </c>
      <c r="I38" s="31">
        <f>L14</f>
        <v>78.19247264770244</v>
      </c>
      <c r="J38" s="31">
        <f>L15</f>
        <v>78.19247264770244</v>
      </c>
      <c r="K38" s="31">
        <f>L16</f>
        <v>78.19247264770244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126.31091735398076</v>
      </c>
      <c r="G39" s="31">
        <f>M12</f>
        <v>126.31091735398076</v>
      </c>
      <c r="H39" s="31">
        <f>M13</f>
        <v>109.46946170678342</v>
      </c>
      <c r="I39" s="31">
        <f>M14</f>
        <v>109.46946170678342</v>
      </c>
      <c r="J39" s="31">
        <f>M15</f>
        <v>109.46946170678342</v>
      </c>
      <c r="K39" s="31">
        <f>M16</f>
        <v>109.46946170678342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2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65.3211</v>
      </c>
      <c r="D4" s="101">
        <f>C4/(1-D14-C14)</f>
        <v>129.02933333333334</v>
      </c>
      <c r="E4" s="102">
        <f>D4*D14</f>
        <v>45.160266666666665</v>
      </c>
      <c r="F4" s="102">
        <f>D4-C4-E4</f>
        <v>18.547966666666674</v>
      </c>
      <c r="G4" s="102">
        <f>D4*(E14-1)</f>
        <v>51.611733333333326</v>
      </c>
      <c r="H4" s="103">
        <f>D4*E14</f>
        <v>180.64106666666666</v>
      </c>
    </row>
    <row r="5" ht="19.95" customHeight="1" s="71">
      <c r="A5" s="136" t="n"/>
      <c r="B5" s="137" t="n">
        <v>0.65</v>
      </c>
      <c r="C5" s="138">
        <f>C4/F14</f>
        <v>1.275802734375</v>
      </c>
      <c r="D5" s="139">
        <f>D4/F14</f>
        <v>2.5201041666666666</v>
      </c>
      <c r="E5" s="139">
        <f>E4/F14</f>
        <v>0.8820364583333332</v>
      </c>
      <c r="F5" s="139">
        <f>F4/F14</f>
        <v>0.36226497395833346</v>
      </c>
      <c r="G5" s="139">
        <f>G4/F14</f>
        <v>1.0080416666666665</v>
      </c>
      <c r="H5" s="139">
        <f>H4/F14</f>
        <v>3.528145833333333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75.3705</v>
      </c>
      <c r="D6" s="109">
        <f>C6/(1-D14-C14)</f>
        <v>148.88000000000002</v>
      </c>
      <c r="E6" s="110">
        <f>D6*D14</f>
        <v>52.108000000000004</v>
      </c>
      <c r="F6" s="110">
        <f>D6-C6-E6</f>
        <v>21.401500000000013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1.472080078125</v>
      </c>
      <c r="D7" s="140">
        <f>D6/F14</f>
        <v>2.9078125000000004</v>
      </c>
      <c r="E7" s="140">
        <f>E6/F14</f>
        <v>1.017734375</v>
      </c>
      <c r="F7" s="140">
        <f>F6/F14</f>
        <v>0.41799804687500025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42.92945999999999</v>
      </c>
      <c r="D8" s="115">
        <f>C8/(1-D14-C14)</f>
        <v>84.79893333333332</v>
      </c>
      <c r="E8" s="116">
        <f>D8*D14</f>
        <v>29.67962666666666</v>
      </c>
      <c r="F8" s="116">
        <f>D8-C8-E8</f>
        <v>12.189846666666671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0.8384660156249998</v>
      </c>
      <c r="D9" s="142">
        <f>D8/F14</f>
        <v>1.6562291666666664</v>
      </c>
      <c r="E9" s="142">
        <f>E8/F14</f>
        <v>0.5796802083333332</v>
      </c>
      <c r="F9" s="142">
        <f>F8/F14</f>
        <v>0.2380829427083334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-22.39164000000001</v>
      </c>
      <c r="D10" s="143">
        <f>D8-D4</f>
        <v>-44.23040000000002</v>
      </c>
      <c r="E10" s="143">
        <f>E8-E4</f>
        <v>-15.480640000000005</v>
      </c>
      <c r="F10" s="143">
        <f>F8-F4</f>
        <v>-6.358120000000003</v>
      </c>
      <c r="G10" s="143">
        <f>G8-G4</f>
        <v>-17.69216</v>
      </c>
      <c r="H10" s="143">
        <f>H8-H4</f>
        <v>-61.92256000000002</v>
      </c>
    </row>
    <row r="11" ht="18" customHeight="1" s="71">
      <c r="A11" s="136" t="n"/>
      <c r="B11" s="144">
        <f>B9-B5</f>
        <v>-0.33</v>
      </c>
      <c r="C11" s="144">
        <f>C9-C5</f>
        <v>-0.43733671875000024</v>
      </c>
      <c r="D11" s="144">
        <f>D9-D5</f>
        <v>-0.8638750000000002</v>
      </c>
      <c r="E11" s="144">
        <f>E9-E5</f>
        <v>-0.30235625</v>
      </c>
      <c r="F11" s="144">
        <f>F9-F5</f>
        <v>-0.12418203125000005</v>
      </c>
      <c r="G11" s="144">
        <f>G9-G5</f>
        <v>-0.34555</v>
      </c>
      <c r="H11" s="144">
        <f>H9-H5</f>
        <v>-1.209425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42.92945999999999</v>
      </c>
    </row>
    <row r="23"/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pallets'!AL13</f>
        <v>1.134046875</v>
      </c>
      <c r="C24" s="183">
        <f>B24*(1+$G$14)</f>
        <v>1.2758027343749998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pallets'!AL11</f>
        <v>1.308515625</v>
      </c>
      <c r="C25" s="183">
        <f>B25*(1+$G$14)</f>
        <v>1.472080078125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2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50.82510722100659</v>
      </c>
      <c r="D4" s="101">
        <f>C4/(1-D14-C14)</f>
        <v>100.39527352297598</v>
      </c>
      <c r="E4" s="102">
        <f>D4*D14</f>
        <v>35.13834573304159</v>
      </c>
      <c r="F4" s="102">
        <f>D4-C4-E4</f>
        <v>14.431820568927805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0.992677875410285</v>
      </c>
      <c r="D5" s="139">
        <f>D4/F14</f>
        <v>1.9608451859956246</v>
      </c>
      <c r="E5" s="139">
        <f>E4/F14</f>
        <v>0.6862958150984685</v>
      </c>
      <c r="F5" s="139">
        <f>F4/F14</f>
        <v>0.2818714954868712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58.64435448577678</v>
      </c>
      <c r="D6" s="109">
        <f>C6/(1-D14-C14)</f>
        <v>115.84070021881834</v>
      </c>
      <c r="E6" s="110">
        <f>D6*D14</f>
        <v>40.544245076586414</v>
      </c>
      <c r="F6" s="110">
        <f>D6-C6-E6</f>
        <v>16.652100656455147</v>
      </c>
      <c r="G6" s="110">
        <f>D6*(E14-1)</f>
        <v>46.33628008752733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1.1453975485503276</v>
      </c>
      <c r="D7" s="140">
        <f>D6/F14</f>
        <v>2.2625136761487954</v>
      </c>
      <c r="E7" s="140">
        <f>E6/F14</f>
        <v>0.7918797866520784</v>
      </c>
      <c r="F7" s="140">
        <f>F6/F14</f>
        <v>0.3252363409463896</v>
      </c>
      <c r="G7" s="140">
        <f>G6/F14</f>
        <v>0.9050054704595181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43.34341090909091</v>
      </c>
      <c r="D8" s="115">
        <f>C8/(1-D14-C14)</f>
        <v>85.61661414141415</v>
      </c>
      <c r="E8" s="116">
        <f>D8*D14</f>
        <v>29.96581494949495</v>
      </c>
      <c r="F8" s="116">
        <f>D8-C8-E8</f>
        <v>12.307388282828285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0.8465509943181818</v>
      </c>
      <c r="D9" s="142">
        <f>D8/F14</f>
        <v>1.672199494949495</v>
      </c>
      <c r="E9" s="142">
        <f>E8/F14</f>
        <v>0.5852698232323231</v>
      </c>
      <c r="F9" s="142">
        <f>F8/F14</f>
        <v>0.24037867739898994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-7.481696311915677</v>
      </c>
      <c r="D10" s="143">
        <f>D8-D4</f>
        <v>-14.778659381561837</v>
      </c>
      <c r="E10" s="143">
        <f>E8-E4</f>
        <v>-5.172530783546641</v>
      </c>
      <c r="F10" s="143">
        <f>F8-F4</f>
        <v>-2.1244322860995197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-0.14612688109210314</v>
      </c>
      <c r="D11" s="144">
        <f>D9-D5</f>
        <v>-0.2886456910461297</v>
      </c>
      <c r="E11" s="144">
        <f>E9-E5</f>
        <v>-0.10102599186614536</v>
      </c>
      <c r="F11" s="144">
        <f>F9-F5</f>
        <v>-0.041492818087881245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43.34341090909091</v>
      </c>
    </row>
    <row r="22"/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pallets'!AL13</f>
        <v>0.882380333698031</v>
      </c>
      <c r="C23" s="183">
        <f>B23*(1+$G$14)</f>
        <v>0.992677875410285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pallets'!AL11</f>
        <v>1.018131154266958</v>
      </c>
      <c r="C24" s="183">
        <f>B24*(1+$G$14)</f>
        <v>1.1453975485503278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84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84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84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84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84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84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84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84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84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84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84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84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84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84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84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84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84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84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84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84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84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84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84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84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84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84">
        <f>M25/0.65-1</f>
        <v>-0.29230769230769227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2026-10-16T13:38:52Z</dcterms:modified>
  <cp:lastModifiedBy/>
</cp:coreProperties>
</file>