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Landed cost blocks" sheetId="1" state="visible" r:id="rId1"/>
    <sheet xmlns:r="http://schemas.openxmlformats.org/officeDocument/2006/relationships" name="Model 6 pallets" sheetId="2" state="visible" r:id="rId2"/>
    <sheet xmlns:r="http://schemas.openxmlformats.org/officeDocument/2006/relationships" name="Model 33 pallets" sheetId="3" state="visible" r:id="rId3"/>
    <sheet xmlns:r="http://schemas.openxmlformats.org/officeDocument/2006/relationships" name="Price 120 UAH - 6 pallets" sheetId="4" state="visible" r:id="rId4"/>
    <sheet xmlns:r="http://schemas.openxmlformats.org/officeDocument/2006/relationships" name="Price 120 UAH - 33 pallets" sheetId="5" state="visible" r:id="rId5"/>
    <sheet xmlns:r="http://schemas.openxmlformats.org/officeDocument/2006/relationships" name="Scenar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0.00;-0.00;&quot;OK&quot;"/>
    <numFmt numFmtId="181" formatCode="&quot;MARGIN &quot;0%"/>
    <numFmt numFmtId="182" formatCode="+#,##0.00&quot; ₴&quot;;-#,##0.00&quot; ₴&quot;"/>
    <numFmt numFmtId="183" formatCode="+0.0%;-0.0%"/>
    <numFmt numFmtId="184" formatCode="_(* #,##0.00_);_(* \(#,##0.00\);_(* \-??_);_(@_)"/>
    <numFmt numFmtId="185" formatCode="_(* #,##0_);_(* \(#,##0\);_(* \-_);_(@_)"/>
    <numFmt numFmtId="186" formatCode="_(\$* #,##0.00_);_(\$* \(#,##0.00\);_(\$* \-??_);_(@_)"/>
    <numFmt numFmtId="187" formatCode="_(\$* #,##0_);_(\$* \(#,##0\);_(\$* \-_);_(@_)"/>
  </numFmts>
  <fonts count="48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  <font>
      <name val="Arial"/>
      <color rgb="FF0000FF"/>
      <sz val="11"/>
    </font>
    <font>
      <name val="Arial"/>
      <b val="1"/>
      <color rgb="FFB03A3A"/>
      <sz val="11"/>
    </font>
    <font>
      <name val="Arial"/>
      <color rgb="FF203864"/>
      <sz val="10"/>
    </font>
    <font>
      <name val="Arial"/>
      <b val="1"/>
      <color rgb="FF203864"/>
      <sz val="10"/>
    </font>
    <font>
      <name val="Arial"/>
      <b val="1"/>
      <color rgb="FFA33A3A"/>
      <sz val="11"/>
    </font>
    <font>
      <name val="Arial"/>
      <b val="1"/>
      <color rgb="FFA33A3A"/>
      <sz val="9"/>
    </font>
    <font>
      <name val="Arial"/>
      <color rgb="FF222222"/>
      <sz val="10"/>
    </font>
    <font>
      <name val="Arial"/>
      <b val="1"/>
      <color rgb="FF203864"/>
      <sz val="12"/>
    </font>
  </fonts>
  <fills count="38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  <fill>
      <patternFill patternType="solid">
        <fgColor rgb="00FDE8E8"/>
      </patternFill>
    </fill>
    <fill>
      <patternFill patternType="solid">
        <fgColor rgb="FFB07A12"/>
      </patternFill>
    </fill>
    <fill>
      <patternFill patternType="solid">
        <fgColor rgb="FFA33A3A"/>
      </patternFill>
    </fill>
    <fill>
      <patternFill patternType="solid">
        <fgColor rgb="FFD9A441"/>
      </patternFill>
    </fill>
    <fill>
      <patternFill patternType="solid">
        <fgColor rgb="FFC26A6A"/>
      </patternFill>
    </fill>
    <fill>
      <patternFill patternType="solid">
        <fgColor rgb="FFF5F8FC"/>
      </patternFill>
    </fill>
    <fill>
      <patternFill patternType="solid">
        <fgColor rgb="FFFEF4DC"/>
      </patternFill>
    </fill>
    <fill>
      <patternFill patternType="solid">
        <fgColor rgb="FFFBE9E9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  <border>
      <left/>
      <right/>
      <top style="thin">
        <color rgb="00C9D3E0"/>
      </top>
      <bottom/>
      <diagonal/>
    </border>
    <border>
      <left/>
      <right style="thin">
        <color rgb="00C9D3E0"/>
      </right>
      <top style="thin">
        <color rgb="00C9D3E0"/>
      </top>
      <bottom/>
      <diagonal/>
    </border>
    <border>
      <left/>
      <right/>
      <top style="thin">
        <color rgb="00C9D3E0"/>
      </top>
      <bottom style="thin">
        <color rgb="00C9D3E0"/>
      </bottom>
      <diagonal/>
    </border>
    <border>
      <left/>
      <right style="thin">
        <color rgb="00C9D3E0"/>
      </right>
      <top style="thin">
        <color rgb="00C9D3E0"/>
      </top>
      <bottom style="thin">
        <color rgb="00C9D3E0"/>
      </bottom>
      <diagonal/>
    </border>
  </borders>
  <cellStyleXfs count="7">
    <xf numFmtId="0" fontId="11" fillId="19" borderId="10"/>
    <xf numFmtId="184" fontId="1" fillId="19" borderId="10"/>
    <xf numFmtId="185" fontId="1" fillId="19" borderId="10"/>
    <xf numFmtId="186" fontId="1" fillId="19" borderId="10"/>
    <xf numFmtId="187" fontId="1" fillId="19" borderId="10"/>
    <xf numFmtId="0" fontId="11" fillId="19" borderId="10"/>
    <xf numFmtId="9" fontId="1" fillId="19" borderId="10"/>
  </cellStyleXfs>
  <cellXfs count="220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171" fontId="40" fillId="28" borderId="30" applyAlignment="1" pivotButton="0" quotePrefix="0" xfId="0">
      <alignment horizontal="center" vertical="center" wrapText="1"/>
    </xf>
    <xf numFmtId="171" fontId="36" fillId="27" borderId="30" applyAlignment="1" pivotButton="0" quotePrefix="0" xfId="0">
      <alignment horizontal="center" vertical="center" wrapText="1"/>
    </xf>
    <xf numFmtId="171" fontId="41" fillId="30" borderId="30" applyAlignment="1" pivotButton="0" quotePrefix="0" xfId="0">
      <alignment horizontal="center" vertical="center" wrapText="1"/>
    </xf>
    <xf numFmtId="171" fontId="24" fillId="29" borderId="30" applyAlignment="1" pivotButton="0" quotePrefix="0" xfId="0">
      <alignment horizontal="center" vertical="center" wrapText="1"/>
    </xf>
    <xf numFmtId="180" fontId="30" fillId="25" borderId="30" applyAlignment="1" pivotButton="0" quotePrefix="0" xfId="0">
      <alignment horizontal="center" vertical="center" wrapText="1"/>
    </xf>
    <xf numFmtId="171" fontId="37" fillId="29" borderId="30" applyAlignment="1" pivotButton="0" quotePrefix="0" xfId="0">
      <alignment horizontal="center" vertical="center" wrapText="1"/>
    </xf>
    <xf numFmtId="181" fontId="8" fillId="15" borderId="9" applyAlignment="1" pivotButton="0" quotePrefix="0" xfId="0">
      <alignment horizontal="center" vertical="center" wrapText="1"/>
    </xf>
    <xf numFmtId="181" fontId="8" fillId="18" borderId="9" applyAlignment="1" pivotButton="0" quotePrefix="0" xfId="0">
      <alignment horizontal="center" vertical="center" wrapText="1"/>
    </xf>
    <xf numFmtId="172" fontId="36" fillId="23" borderId="17" applyAlignment="1" pivotButton="0" quotePrefix="0" xfId="0">
      <alignment horizontal="center" vertical="center" wrapText="1"/>
    </xf>
    <xf numFmtId="176" fontId="22" fillId="23" borderId="1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180" fontId="30" fillId="25" borderId="30" applyAlignment="1" pivotButton="0" quotePrefix="0" xfId="0">
      <alignment horizontal="center" vertical="center" wrapText="1"/>
    </xf>
    <xf numFmtId="181" fontId="8" fillId="15" borderId="9" applyAlignment="1" pivotButton="0" quotePrefix="0" xfId="0">
      <alignment horizontal="center" vertical="center" wrapText="1"/>
    </xf>
    <xf numFmtId="181" fontId="8" fillId="18" borderId="9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18" borderId="30" applyAlignment="1" pivotButton="0" quotePrefix="0" xfId="0">
      <alignment horizontal="center" vertical="center" wrapText="1"/>
    </xf>
    <xf numFmtId="0" fontId="7" fillId="31" borderId="30" applyAlignment="1" pivotButton="0" quotePrefix="0" xfId="0">
      <alignment horizontal="center" vertical="center" wrapText="1"/>
    </xf>
    <xf numFmtId="0" fontId="7" fillId="32" borderId="30" applyAlignment="1" pivotButton="0" quotePrefix="0" xfId="0">
      <alignment horizontal="center" vertical="center" wrapText="1"/>
    </xf>
    <xf numFmtId="0" fontId="21" fillId="4" borderId="30" applyAlignment="1" pivotButton="0" quotePrefix="0" xfId="0">
      <alignment horizontal="center" vertical="center" wrapText="1"/>
    </xf>
    <xf numFmtId="0" fontId="21" fillId="6" borderId="30" applyAlignment="1" pivotButton="0" quotePrefix="0" xfId="0">
      <alignment horizontal="center" vertical="center" wrapText="1"/>
    </xf>
    <xf numFmtId="0" fontId="21" fillId="33" borderId="30" applyAlignment="1" pivotButton="0" quotePrefix="0" xfId="0">
      <alignment horizontal="center" vertical="center" wrapText="1"/>
    </xf>
    <xf numFmtId="0" fontId="21" fillId="34" borderId="30" applyAlignment="1" pivotButton="0" quotePrefix="0" xfId="0">
      <alignment horizontal="center" vertical="center" wrapText="1"/>
    </xf>
    <xf numFmtId="0" fontId="42" fillId="23" borderId="30" applyAlignment="1" pivotButton="0" quotePrefix="0" xfId="0">
      <alignment horizontal="center" vertical="center" wrapText="1"/>
    </xf>
    <xf numFmtId="0" fontId="43" fillId="23" borderId="30" applyAlignment="1" pivotButton="0" quotePrefix="0" xfId="0">
      <alignment horizontal="left" vertical="center" wrapText="1"/>
    </xf>
    <xf numFmtId="176" fontId="10" fillId="35" borderId="30" applyAlignment="1" pivotButton="0" quotePrefix="0" xfId="0">
      <alignment horizontal="center" vertical="center" wrapText="1"/>
    </xf>
    <xf numFmtId="171" fontId="10" fillId="35" borderId="30" applyAlignment="1" pivotButton="0" quotePrefix="0" xfId="0">
      <alignment horizontal="center" vertical="center" wrapText="1"/>
    </xf>
    <xf numFmtId="171" fontId="5" fillId="9" borderId="30" applyAlignment="1" pivotButton="0" quotePrefix="0" xfId="0">
      <alignment horizontal="center" vertical="center" wrapText="1"/>
    </xf>
    <xf numFmtId="176" fontId="10" fillId="36" borderId="30" applyAlignment="1" pivotButton="0" quotePrefix="0" xfId="0">
      <alignment horizontal="center" vertical="center" wrapText="1"/>
    </xf>
    <xf numFmtId="171" fontId="10" fillId="36" borderId="30" applyAlignment="1" pivotButton="0" quotePrefix="0" xfId="0">
      <alignment horizontal="center" vertical="center" wrapText="1"/>
    </xf>
    <xf numFmtId="171" fontId="5" fillId="21" borderId="30" applyAlignment="1" pivotButton="0" quotePrefix="0" xfId="0">
      <alignment horizontal="center" vertical="center" wrapText="1"/>
    </xf>
    <xf numFmtId="182" fontId="44" fillId="37" borderId="30" applyAlignment="1" pivotButton="0" quotePrefix="0" xfId="0">
      <alignment horizontal="center" vertical="center" wrapText="1"/>
    </xf>
    <xf numFmtId="183" fontId="44" fillId="37" borderId="30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35" pivotButton="0" quotePrefix="0" xfId="0"/>
    <xf numFmtId="182" fontId="44" fillId="37" borderId="30" applyAlignment="1" pivotButton="0" quotePrefix="0" xfId="0">
      <alignment horizontal="center" vertical="center" wrapText="1"/>
    </xf>
    <xf numFmtId="183" fontId="44" fillId="37" borderId="30" applyAlignment="1" pivotButton="0" quotePrefix="0" xfId="0">
      <alignment horizontal="center" vertical="center" wrapText="1"/>
    </xf>
    <xf numFmtId="9" fontId="5" fillId="23" borderId="30" applyAlignment="1" pivotButton="0" quotePrefix="0" xfId="0">
      <alignment horizontal="center" vertical="center" wrapText="1"/>
    </xf>
    <xf numFmtId="0" fontId="45" fillId="23" borderId="30" applyAlignment="1" pivotButton="0" quotePrefix="0" xfId="0">
      <alignment horizontal="center" vertical="center" wrapText="1"/>
    </xf>
    <xf numFmtId="9" fontId="46" fillId="23" borderId="30" applyAlignment="1" pivotButton="0" quotePrefix="0" xfId="0">
      <alignment horizontal="center" vertical="center" wrapText="1"/>
    </xf>
    <xf numFmtId="171" fontId="5" fillId="3" borderId="30" applyAlignment="1" pivotButton="0" quotePrefix="0" xfId="0">
      <alignment horizontal="center" vertical="center" wrapText="1"/>
    </xf>
    <xf numFmtId="171" fontId="14" fillId="3" borderId="30" applyAlignment="1" pivotButton="0" quotePrefix="0" xfId="0">
      <alignment horizontal="center" vertical="center" wrapText="1"/>
    </xf>
    <xf numFmtId="173" fontId="47" fillId="21" borderId="30" applyAlignment="1" pivotButton="0" quotePrefix="0" xfId="0">
      <alignment horizontal="center" vertical="center" wrapText="1"/>
    </xf>
    <xf numFmtId="171" fontId="14" fillId="36" borderId="30" applyAlignment="1" pivotButton="0" quotePrefix="0" xfId="0">
      <alignment horizontal="center" vertical="center" wrapText="1"/>
    </xf>
    <xf numFmtId="171" fontId="5" fillId="36" borderId="30" applyAlignment="1" pivotButton="0" quotePrefix="0" xfId="0">
      <alignment horizontal="center" vertical="center" wrapText="1"/>
    </xf>
    <xf numFmtId="171" fontId="5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8" customWidth="1" style="71" min="1" max="1"/>
    <col width="17" customWidth="1" style="71" min="2" max="2"/>
    <col width="17" customWidth="1" style="71" min="3" max="3"/>
    <col width="17" customWidth="1" style="71" min="4" max="4"/>
    <col width="17" customWidth="1" style="71" min="5" max="5"/>
    <col width="17" customWidth="1" style="71" min="6" max="6"/>
    <col width="17" customWidth="1" style="71" min="7" max="7"/>
    <col width="17" customWidth="1" style="71" min="8" max="8"/>
    <col width="17" customWidth="1" style="71" min="9" max="9"/>
  </cols>
  <sheetData>
    <row r="1" ht="26" customHeight="1" s="71">
      <c r="A1" s="172" t="inlineStr">
        <is>
          <t>INTERNAL — not for SIAS · Landed-cost blocks with the proportional uplift · ₴ per pack</t>
        </is>
      </c>
    </row>
    <row r="2" ht="30" customHeight="1" s="71">
      <c r="A2" s="154" t="inlineStr">
        <is>
          <t>Purchase + delivery + import VAT + financing = real landed cost; the uplift (assumption, cell G14 on the "Price 120 UAH" sheets) is added on top as a separate block.</t>
        </is>
      </c>
    </row>
    <row r="4">
      <c r="A4" s="173" t="inlineStr">
        <is>
          <t>33 PALLETS · FULL TRUCK</t>
        </is>
      </c>
    </row>
    <row r="5" ht="44" customHeight="1" s="71">
      <c r="A5" s="161" t="inlineStr"/>
      <c r="B5" s="161" t="inlineStr">
        <is>
          <t>Purchase
pack price × rate</t>
        </is>
      </c>
      <c r="C5" s="161" t="inlineStr">
        <is>
          <t>Delivery
freight, broker, terminal</t>
        </is>
      </c>
      <c r="D5" s="161" t="inlineStr">
        <is>
          <t>Import VAT
20 % on goods and freight</t>
        </is>
      </c>
      <c r="E5" s="161" t="inlineStr">
        <is>
          <t>Financing
2.5 % of the sum</t>
        </is>
      </c>
      <c r="F5" s="161" t="inlineStr">
        <is>
          <t>Real landed cost, ₴</t>
        </is>
      </c>
      <c r="G5" s="161" t="inlineStr">
        <is>
          <t>Uplift (assumption), ₴</t>
        </is>
      </c>
      <c r="H5" s="161" t="inlineStr">
        <is>
          <t>Landed cost with uplift, ₴</t>
        </is>
      </c>
      <c r="I5" s="161" t="inlineStr">
        <is>
          <t>Check vs model sheet</t>
        </is>
      </c>
    </row>
    <row r="6" ht="34" customHeight="1" s="71">
      <c r="A6" s="163" t="inlineStr">
        <is>
          <t>BEFORE · 4 SKUs
(Vegetable, Spicy, Beef, Chicken)</t>
        </is>
      </c>
      <c r="B6" s="174" t="n">
        <v>33.28</v>
      </c>
      <c r="C6" s="174" t="n">
        <v>3.668446389496718</v>
      </c>
      <c r="D6" s="174" t="n">
        <v>7.127527352297594</v>
      </c>
      <c r="E6" s="174" t="n">
        <v>1.101899343544858</v>
      </c>
      <c r="F6" s="175">
        <f>SUM(B6:E6)</f>
        <v>45.17787308533917</v>
      </c>
      <c r="G6" s="176">
        <f>F6*'Price 120 UAH - 33 pallets'!G14</f>
        <v>5.6472341356673965</v>
      </c>
      <c r="H6" s="177">
        <f>F6+G6</f>
        <v>50.82510722100657</v>
      </c>
      <c r="I6" s="185">
        <f>ROUND(H6-'Price 120 UAH - 33 pallets'!C4,4)</f>
        <v>0</v>
      </c>
    </row>
    <row r="7" ht="34" customHeight="1" s="71">
      <c r="A7" s="163" t="inlineStr">
        <is>
          <t>BEFORE · 2 SKUs
(Gouda, Carbonara)</t>
        </is>
      </c>
      <c r="B7" s="174" t="n">
        <v>38.40000000000001</v>
      </c>
      <c r="C7" s="174" t="n">
        <v>4.232822757111598</v>
      </c>
      <c r="D7" s="174" t="n">
        <v>8.22407002188184</v>
      </c>
      <c r="E7" s="174" t="n">
        <v>1.271422319474836</v>
      </c>
      <c r="F7" s="175">
        <f>SUM(B7:E7)</f>
        <v>52.12831509846829</v>
      </c>
      <c r="G7" s="176">
        <f>F7*'Price 120 UAH - 33 pallets'!G14</f>
        <v>6.5160393873085365</v>
      </c>
      <c r="H7" s="177">
        <f>F7+G7</f>
        <v>58.64435448577683</v>
      </c>
      <c r="I7" s="185">
        <f>ROUND(H7-'Price 120 UAH - 33 pallets'!C6,4)</f>
        <v>0</v>
      </c>
    </row>
    <row r="8" ht="34" customHeight="1" s="71">
      <c r="A8" s="170" t="inlineStr">
        <is>
          <t>AFTER · SIAS request
(all 6 SKUs)</t>
        </is>
      </c>
      <c r="B8" s="179">
        <f>'Price 120 UAH - 33 pallets'!B19*'Price 120 UAH - 33 pallets'!F14</f>
        <v>27.648000000000003</v>
      </c>
      <c r="C8" s="179">
        <f>('Price 120 UAH - 33 pallets'!E16+'Price 120 UAH - 33 pallets'!F16+'Price 120 UAH - 33 pallets'!G16)/('Price 120 UAH - 33 pallets'!C18*'Price 120 UAH - 33 pallets'!D18)*'Price 120 UAH - 33 pallets'!F14</f>
        <v>3.907878787878788</v>
      </c>
      <c r="D8" s="179">
        <f>('Price 120 UAH - 33 pallets'!B19+'Price 120 UAH - 33 pallets'!E16*'Price 120 UAH - 33 pallets'!B18/('Price 120 UAH - 33 pallets'!C18*'Price 120 UAH - 33 pallets'!D18))*(1+'Price 120 UAH - 33 pallets'!D16)*'Price 120 UAH - 33 pallets'!B16*'Price 120 UAH - 33 pallets'!F14</f>
        <v>6.031903030303031</v>
      </c>
      <c r="E8" s="179">
        <f>(B8+C8+D8+('Price 120 UAH - 33 pallets'!B19+'Price 120 UAH - 33 pallets'!E16*'Price 120 UAH - 33 pallets'!B18/('Price 120 UAH - 33 pallets'!C18*'Price 120 UAH - 33 pallets'!D18))*'Price 120 UAH - 33 pallets'!D16*'Price 120 UAH - 33 pallets'!F14)*'Price 120 UAH - 33 pallets'!C16</f>
        <v>0.9396945454545457</v>
      </c>
      <c r="F8" s="175">
        <f>SUM(B8:E8)</f>
        <v>38.52747636363637</v>
      </c>
      <c r="G8" s="176">
        <f>F8*'Price 120 UAH - 33 pallets'!G14</f>
        <v>4.815934545454546</v>
      </c>
      <c r="H8" s="177">
        <f>F8+G8</f>
        <v>43.34341090909091</v>
      </c>
      <c r="I8" s="185">
        <f>ROUND(H8-'Price 120 UAH - 33 pallets'!C8,4)</f>
        <v>0</v>
      </c>
    </row>
    <row r="10">
      <c r="A10" s="173" t="inlineStr">
        <is>
          <t>6 PALLETS</t>
        </is>
      </c>
    </row>
    <row r="11" ht="44" customHeight="1" s="71">
      <c r="A11" s="161" t="inlineStr"/>
      <c r="B11" s="161" t="inlineStr">
        <is>
          <t>Purchase
pack price × rate</t>
        </is>
      </c>
      <c r="C11" s="161" t="inlineStr">
        <is>
          <t>Delivery
freight, broker, terminal</t>
        </is>
      </c>
      <c r="D11" s="161" t="inlineStr">
        <is>
          <t>Import VAT
20 % on goods and freight</t>
        </is>
      </c>
      <c r="E11" s="161" t="inlineStr">
        <is>
          <t>Financing
2.5 % of the sum</t>
        </is>
      </c>
      <c r="F11" s="161" t="inlineStr">
        <is>
          <t>Real landed cost, ₴</t>
        </is>
      </c>
      <c r="G11" s="161" t="inlineStr">
        <is>
          <t>Uplift (assumption), ₴</t>
        </is>
      </c>
      <c r="H11" s="161" t="inlineStr">
        <is>
          <t>Landed cost with uplift, ₴</t>
        </is>
      </c>
      <c r="I11" s="161" t="inlineStr">
        <is>
          <t>Check vs model sheet</t>
        </is>
      </c>
    </row>
    <row r="12" ht="34" customHeight="1" s="71">
      <c r="A12" s="163" t="inlineStr">
        <is>
          <t>BEFORE · 4 SKUs
(Vegetable, Spicy, Beef, Chicken)</t>
        </is>
      </c>
      <c r="B12" s="174" t="n">
        <v>33.28</v>
      </c>
      <c r="C12" s="174" t="n">
        <v>14.86439024390244</v>
      </c>
      <c r="D12" s="174" t="n">
        <v>8.502634146341462</v>
      </c>
      <c r="E12" s="174" t="n">
        <v>1.416175609756098</v>
      </c>
      <c r="F12" s="175">
        <f>SUM(B12:E12)</f>
        <v>58.0632</v>
      </c>
      <c r="G12" s="176">
        <f>F12*'Price 120 UAH - 6 pallets'!G14</f>
        <v>7.2579</v>
      </c>
      <c r="H12" s="177">
        <f>F12+G12</f>
        <v>65.3211</v>
      </c>
      <c r="I12" s="185">
        <f>ROUND(H12-'Price 120 UAH - 6 pallets'!C4,4)</f>
        <v>0</v>
      </c>
    </row>
    <row r="13" ht="34" customHeight="1" s="71">
      <c r="A13" s="163" t="inlineStr">
        <is>
          <t>BEFORE · 2 SKUs
(Gouda, Carbonara)</t>
        </is>
      </c>
      <c r="B13" s="174" t="n">
        <v>38.40000000000001</v>
      </c>
      <c r="C13" s="174" t="n">
        <v>17.15121951219512</v>
      </c>
      <c r="D13" s="174" t="n">
        <v>9.810731707317075</v>
      </c>
      <c r="E13" s="174" t="n">
        <v>1.634048780487805</v>
      </c>
      <c r="F13" s="175">
        <f>SUM(B13:E13)</f>
        <v>66.99600000000001</v>
      </c>
      <c r="G13" s="176">
        <f>F13*'Price 120 UAH - 6 pallets'!G14</f>
        <v>8.374500000000001</v>
      </c>
      <c r="H13" s="177">
        <f>F13+G13</f>
        <v>75.3705</v>
      </c>
      <c r="I13" s="185">
        <f>ROUND(H13-'Price 120 UAH - 6 pallets'!C6,4)</f>
        <v>0</v>
      </c>
    </row>
    <row r="14" ht="34" customHeight="1" s="71">
      <c r="A14" s="170" t="inlineStr">
        <is>
          <t>AFTER · SIAS request
(all 6 SKUs)</t>
        </is>
      </c>
      <c r="B14" s="179">
        <f>'Price 120 UAH - 6 pallets'!B20*'Price 120 UAH - 6 pallets'!F14</f>
        <v>16.384</v>
      </c>
      <c r="C14" s="179">
        <f>('Price 120 UAH - 6 pallets'!E16+'Price 120 UAH - 6 pallets'!F16+'Price 120 UAH - 6 pallets'!G16)/('Price 120 UAH - 6 pallets'!C18*'Price 120 UAH - 6 pallets'!D18)*'Price 120 UAH - 6 pallets'!F14</f>
        <v>15.626666666666669</v>
      </c>
      <c r="D14" s="179">
        <f>('Price 120 UAH - 6 pallets'!B20+'Price 120 UAH - 6 pallets'!E16*'Price 120 UAH - 6 pallets'!B18/('Price 120 UAH - 6 pallets'!C18*'Price 120 UAH - 6 pallets'!D18))*(1+'Price 120 UAH - 6 pallets'!D16)*'Price 120 UAH - 6 pallets'!B16*'Price 120 UAH - 6 pallets'!F14</f>
        <v>5.218133333333333</v>
      </c>
      <c r="E14" s="179">
        <f>(B14+C14+D14+('Price 120 UAH - 6 pallets'!B20+'Price 120 UAH - 6 pallets'!E16*'Price 120 UAH - 6 pallets'!B18/('Price 120 UAH - 6 pallets'!C18*'Price 120 UAH - 6 pallets'!D18))*'Price 120 UAH - 6 pallets'!D16*'Price 120 UAH - 6 pallets'!F14)*'Price 120 UAH - 6 pallets'!C16</f>
        <v>0.93072</v>
      </c>
      <c r="F14" s="175">
        <f>SUM(B14:E14)</f>
        <v>38.15952</v>
      </c>
      <c r="G14" s="176">
        <f>F14*'Price 120 UAH - 6 pallets'!G14</f>
        <v>4.76994</v>
      </c>
      <c r="H14" s="177">
        <f>F14+G14</f>
        <v>42.92946</v>
      </c>
      <c r="I14" s="185">
        <f>ROUND(H14-'Price 120 UAH - 6 pallets'!C8,4)</f>
        <v>0</v>
      </c>
    </row>
  </sheetData>
  <mergeCells count="2">
    <mergeCell ref="A1:I1"/>
    <mergeCell ref="A2:I2"/>
  </mergeCells>
  <pageMargins left="0.75" right="0.75" top="1" bottom="1" header="0.5" footer="0.5"/>
  <ignoredErrors>
    <ignoredError sqref="A1:I34" evalError="1" formula="1" formulaRange="1" unlockedFormula="1" numberStoredAsText="1" emptyCellReference="1" twoDigitTextYear="1" listDataValidation="1" calculatedColumn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65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>
        <f>'Price 120 UAH - 6 pallets'!C14</f>
        <v>0.14375000000000004</v>
      </c>
      <c r="E5" s="68" t="str">
        <f>ROUND(D5*100,0)&amp;"% = (partner price − landed cost − bonus) / full partner price."</f>
        <v>14%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0.50625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− 14% = 51%.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6" t="n">
        <v>0.3</v>
      </c>
      <c r="Q9" s="59" t="n"/>
      <c r="R9" s="59" t="n"/>
      <c r="S9" s="59" t="n"/>
      <c r="T9" s="60" t="n"/>
      <c r="U9" s="187" t="n">
        <v>0.25</v>
      </c>
      <c r="V9" s="59" t="n"/>
      <c r="W9" s="59" t="n"/>
      <c r="X9" s="59" t="n"/>
      <c r="Y9" s="60" t="n"/>
      <c r="Z9" s="186" t="n">
        <v>0.2</v>
      </c>
      <c r="AA9" s="59" t="n"/>
      <c r="AB9" s="59" t="n"/>
      <c r="AC9" s="59" t="n"/>
      <c r="AD9" s="60" t="n"/>
      <c r="AE9" s="187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- 6 pallets'!$G$14)</f>
        <v>1.472080078125</v>
      </c>
      <c r="F11" s="8">
        <f>IF(AND(ISNUMBER(E11),ISNUMBER($D$8)),E11*$D$3,NA())</f>
        <v>75.3705</v>
      </c>
      <c r="G11" s="9">
        <f>F11/$D$8</f>
        <v>148.88000000000002</v>
      </c>
      <c r="H11" s="10">
        <f>G11*$D$4</f>
        <v>52.108000000000004</v>
      </c>
      <c r="I11" s="11">
        <f>G11-F11-H11</f>
        <v>21.401500000000013</v>
      </c>
      <c r="J11" s="12">
        <f>I11/G11</f>
        <v>0.14375000000000007</v>
      </c>
      <c r="K11" s="13">
        <f>G11*$D$6</f>
        <v>208.43200000000002</v>
      </c>
      <c r="L11" s="14">
        <f>F11/(1-$D$4)</f>
        <v>115.9546153846154</v>
      </c>
      <c r="M11" s="14">
        <f>L11*$D$6</f>
        <v>162.33646153846155</v>
      </c>
      <c r="N11" s="15">
        <f>G11-F11</f>
        <v>73.50950000000002</v>
      </c>
      <c r="O11" s="16">
        <f>N11-H11</f>
        <v>21.401500000000013</v>
      </c>
      <c r="P11" s="40">
        <f>$F11/(1-$D$4-$P$9)</f>
        <v>215.34428571428572</v>
      </c>
      <c r="Q11" s="41">
        <f>P11*$D$4</f>
        <v>75.37049999999999</v>
      </c>
      <c r="R11" s="42">
        <f>P11-$F11-Q11</f>
        <v>64.60328571428573</v>
      </c>
      <c r="S11" s="43">
        <f>R11/P11</f>
        <v>0.3000000000000001</v>
      </c>
      <c r="T11" s="40">
        <f>P11*$D$6</f>
        <v>301.48199999999997</v>
      </c>
      <c r="U11" s="40">
        <f>$F11/(1-$D$4-$U$9)</f>
        <v>188.42625</v>
      </c>
      <c r="V11" s="41">
        <f>U11*$D$4</f>
        <v>65.9491875</v>
      </c>
      <c r="W11" s="42">
        <f>U11-$F11-V11</f>
        <v>47.10656250000001</v>
      </c>
      <c r="X11" s="43">
        <f>W11/U11</f>
        <v>0.25000000000000006</v>
      </c>
      <c r="Y11" s="40">
        <f>U11*$D$6</f>
        <v>263.79675</v>
      </c>
      <c r="Z11" s="40">
        <f>$F11/(1-$D$4-$Z$9)</f>
        <v>167.49</v>
      </c>
      <c r="AA11" s="41">
        <f>Z11*$D$4</f>
        <v>58.6215</v>
      </c>
      <c r="AB11" s="42">
        <f>Z11-$F11-AA11</f>
        <v>33.498000000000005</v>
      </c>
      <c r="AC11" s="43">
        <f>AB11/Z11</f>
        <v>0.2</v>
      </c>
      <c r="AD11" s="40">
        <f>Z11*$D$6</f>
        <v>234.486</v>
      </c>
      <c r="AE11" s="40">
        <f>$F11/(1-$D$4-$AE$9)</f>
        <v>150.741</v>
      </c>
      <c r="AF11" s="41">
        <f>AE11*$D$4</f>
        <v>52.759350000000005</v>
      </c>
      <c r="AG11" s="42">
        <f>AE11-$F11-AF11</f>
        <v>22.611150000000002</v>
      </c>
      <c r="AH11" s="43">
        <f>AG11/AE11</f>
        <v>0.15</v>
      </c>
      <c r="AI11" s="40">
        <f>AE11*$D$6</f>
        <v>211.03740000000002</v>
      </c>
      <c r="AL11" s="24" t="n">
        <v>1.308515625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- 6 pallets'!$G$14)</f>
        <v>1.472080078125</v>
      </c>
      <c r="F12" s="8">
        <f>IF(AND(ISNUMBER(E12),ISNUMBER($D$8)),E12*$D$3,NA())</f>
        <v>75.3705</v>
      </c>
      <c r="G12" s="9">
        <f>F12/$D$8</f>
        <v>148.88000000000002</v>
      </c>
      <c r="H12" s="10">
        <f>G12*$D$4</f>
        <v>52.108000000000004</v>
      </c>
      <c r="I12" s="11">
        <f>G12-F12-H12</f>
        <v>21.401500000000013</v>
      </c>
      <c r="J12" s="12">
        <f>I12/G12</f>
        <v>0.14375000000000007</v>
      </c>
      <c r="K12" s="13">
        <f>G12*$D$6</f>
        <v>208.43200000000002</v>
      </c>
      <c r="L12" s="14">
        <f>F12/(1-$D$4)</f>
        <v>115.9546153846154</v>
      </c>
      <c r="M12" s="14">
        <f>L12*$D$6</f>
        <v>162.33646153846155</v>
      </c>
      <c r="N12" s="15">
        <f>G12-F12</f>
        <v>73.50950000000002</v>
      </c>
      <c r="O12" s="16">
        <f>N12-H12</f>
        <v>21.401500000000013</v>
      </c>
      <c r="P12" s="40">
        <f>$F12/(1-$D$4-$P$9)</f>
        <v>215.34428571428572</v>
      </c>
      <c r="Q12" s="41">
        <f>P12*$D$4</f>
        <v>75.37049999999999</v>
      </c>
      <c r="R12" s="42">
        <f>P12-$F12-Q12</f>
        <v>64.60328571428573</v>
      </c>
      <c r="S12" s="43">
        <f>R12/P12</f>
        <v>0.3000000000000001</v>
      </c>
      <c r="T12" s="40">
        <f>P12*$D$6</f>
        <v>301.48199999999997</v>
      </c>
      <c r="U12" s="40">
        <f>$F12/(1-$D$4-$U$9)</f>
        <v>188.42625</v>
      </c>
      <c r="V12" s="41">
        <f>U12*$D$4</f>
        <v>65.9491875</v>
      </c>
      <c r="W12" s="42">
        <f>U12-$F12-V12</f>
        <v>47.10656250000001</v>
      </c>
      <c r="X12" s="43">
        <f>W12/U12</f>
        <v>0.25000000000000006</v>
      </c>
      <c r="Y12" s="40">
        <f>U12*$D$6</f>
        <v>263.79675</v>
      </c>
      <c r="Z12" s="40">
        <f>$F12/(1-$D$4-$Z$9)</f>
        <v>167.49</v>
      </c>
      <c r="AA12" s="41">
        <f>Z12*$D$4</f>
        <v>58.6215</v>
      </c>
      <c r="AB12" s="42">
        <f>Z12-$F12-AA12</f>
        <v>33.498000000000005</v>
      </c>
      <c r="AC12" s="43">
        <f>AB12/Z12</f>
        <v>0.2</v>
      </c>
      <c r="AD12" s="40">
        <f>Z12*$D$6</f>
        <v>234.486</v>
      </c>
      <c r="AE12" s="40">
        <f>$F12/(1-$D$4-$AE$9)</f>
        <v>150.741</v>
      </c>
      <c r="AF12" s="41">
        <f>AE12*$D$4</f>
        <v>52.759350000000005</v>
      </c>
      <c r="AG12" s="42">
        <f>AE12-$F12-AF12</f>
        <v>22.611150000000002</v>
      </c>
      <c r="AH12" s="43">
        <f>AG12/AE12</f>
        <v>0.15</v>
      </c>
      <c r="AI12" s="40">
        <f>AE12*$D$6</f>
        <v>211.03740000000002</v>
      </c>
      <c r="AL12" s="24" t="n">
        <v>1.308515625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- 6 pallets'!$G$14)</f>
        <v>1.2758027343749998</v>
      </c>
      <c r="F13" s="8">
        <f>IF(AND(ISNUMBER(E13),ISNUMBER($D$8)),E13*$D$3,NA())</f>
        <v>65.32109999999999</v>
      </c>
      <c r="G13" s="9">
        <f>F13/$D$8</f>
        <v>129.0293333333333</v>
      </c>
      <c r="H13" s="10">
        <f>G13*$D$4</f>
        <v>45.16026666666666</v>
      </c>
      <c r="I13" s="11">
        <f>G13-F13-H13</f>
        <v>18.547966666666667</v>
      </c>
      <c r="J13" s="12">
        <f>I13/G13</f>
        <v>0.14375000000000002</v>
      </c>
      <c r="K13" s="13">
        <f>G13*$D$6</f>
        <v>180.64106666666663</v>
      </c>
      <c r="L13" s="14">
        <f>F13/(1-$D$4)</f>
        <v>100.49399999999997</v>
      </c>
      <c r="M13" s="14">
        <f>L13*$D$6</f>
        <v>140.69159999999994</v>
      </c>
      <c r="N13" s="15">
        <f>G13-F13</f>
        <v>63.708233333333325</v>
      </c>
      <c r="O13" s="16">
        <f>N13-H13</f>
        <v>18.547966666666667</v>
      </c>
      <c r="P13" s="40">
        <f>$F13/(1-$D$4-$P$9)</f>
        <v>186.63171428571422</v>
      </c>
      <c r="Q13" s="41">
        <f>P13*$D$4</f>
        <v>65.32109999999997</v>
      </c>
      <c r="R13" s="42">
        <f>P13-$F13-Q13</f>
        <v>55.989514285714264</v>
      </c>
      <c r="S13" s="43">
        <f>R13/P13</f>
        <v>0.3</v>
      </c>
      <c r="T13" s="40">
        <f>P13*$D$6</f>
        <v>261.2843999999999</v>
      </c>
      <c r="U13" s="40">
        <f>$F13/(1-$D$4-$U$9)</f>
        <v>163.30274999999995</v>
      </c>
      <c r="V13" s="41">
        <f>U13*$D$4</f>
        <v>57.15596249999998</v>
      </c>
      <c r="W13" s="42">
        <f>U13-$F13-V13</f>
        <v>40.82568749999998</v>
      </c>
      <c r="X13" s="43">
        <f>W13/U13</f>
        <v>0.24999999999999994</v>
      </c>
      <c r="Y13" s="40">
        <f>U13*$D$6</f>
        <v>228.62384999999992</v>
      </c>
      <c r="Z13" s="40">
        <f>$F13/(1-$D$4-$Z$9)</f>
        <v>145.15799999999996</v>
      </c>
      <c r="AA13" s="41">
        <f>Z13*$D$4</f>
        <v>50.80529999999998</v>
      </c>
      <c r="AB13" s="42">
        <f>Z13-$F13-AA13</f>
        <v>29.03159999999999</v>
      </c>
      <c r="AC13" s="43">
        <f>AB13/Z13</f>
        <v>0.19999999999999998</v>
      </c>
      <c r="AD13" s="40">
        <f>Z13*$D$6</f>
        <v>203.22119999999993</v>
      </c>
      <c r="AE13" s="40">
        <f>$F13/(1-$D$4-$AE$9)</f>
        <v>130.64219999999997</v>
      </c>
      <c r="AF13" s="41">
        <f>AE13*$D$4</f>
        <v>45.724769999999985</v>
      </c>
      <c r="AG13" s="42">
        <f>AE13-$F13-AF13</f>
        <v>19.596330000000002</v>
      </c>
      <c r="AH13" s="43">
        <f>AG13/AE13</f>
        <v>0.15000000000000005</v>
      </c>
      <c r="AI13" s="40">
        <f>AE13*$D$6</f>
        <v>182.89907999999994</v>
      </c>
      <c r="AL13" s="24" t="n">
        <v>1.134046875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- 6 pallets'!$G$14)</f>
        <v>1.2758027343749998</v>
      </c>
      <c r="F14" s="8">
        <f>IF(AND(ISNUMBER(E14),ISNUMBER($D$8)),E14*$D$3,NA())</f>
        <v>65.32109999999999</v>
      </c>
      <c r="G14" s="9">
        <f>F14/$D$8</f>
        <v>129.0293333333333</v>
      </c>
      <c r="H14" s="10">
        <f>G14*$D$4</f>
        <v>45.16026666666666</v>
      </c>
      <c r="I14" s="11">
        <f>G14-F14-H14</f>
        <v>18.547966666666667</v>
      </c>
      <c r="J14" s="12">
        <f>I14/G14</f>
        <v>0.14375000000000002</v>
      </c>
      <c r="K14" s="13">
        <f>G14*$D$6</f>
        <v>180.64106666666663</v>
      </c>
      <c r="L14" s="14">
        <f>F14/(1-$D$4)</f>
        <v>100.49399999999997</v>
      </c>
      <c r="M14" s="14">
        <f>L14*$D$6</f>
        <v>140.69159999999994</v>
      </c>
      <c r="N14" s="15">
        <f>G14-F14</f>
        <v>63.708233333333325</v>
      </c>
      <c r="O14" s="16">
        <f>N14-H14</f>
        <v>18.547966666666667</v>
      </c>
      <c r="P14" s="40">
        <f>$F14/(1-$D$4-$P$9)</f>
        <v>186.63171428571422</v>
      </c>
      <c r="Q14" s="41">
        <f>P14*$D$4</f>
        <v>65.32109999999997</v>
      </c>
      <c r="R14" s="42">
        <f>P14-$F14-Q14</f>
        <v>55.989514285714264</v>
      </c>
      <c r="S14" s="43">
        <f>R14/P14</f>
        <v>0.3</v>
      </c>
      <c r="T14" s="40">
        <f>P14*$D$6</f>
        <v>261.2843999999999</v>
      </c>
      <c r="U14" s="40">
        <f>$F14/(1-$D$4-$U$9)</f>
        <v>163.30274999999995</v>
      </c>
      <c r="V14" s="41">
        <f>U14*$D$4</f>
        <v>57.15596249999998</v>
      </c>
      <c r="W14" s="42">
        <f>U14-$F14-V14</f>
        <v>40.82568749999998</v>
      </c>
      <c r="X14" s="43">
        <f>W14/U14</f>
        <v>0.24999999999999994</v>
      </c>
      <c r="Y14" s="40">
        <f>U14*$D$6</f>
        <v>228.62384999999992</v>
      </c>
      <c r="Z14" s="40">
        <f>$F14/(1-$D$4-$Z$9)</f>
        <v>145.15799999999996</v>
      </c>
      <c r="AA14" s="41">
        <f>Z14*$D$4</f>
        <v>50.80529999999998</v>
      </c>
      <c r="AB14" s="42">
        <f>Z14-$F14-AA14</f>
        <v>29.03159999999999</v>
      </c>
      <c r="AC14" s="43">
        <f>AB14/Z14</f>
        <v>0.19999999999999998</v>
      </c>
      <c r="AD14" s="40">
        <f>Z14*$D$6</f>
        <v>203.22119999999993</v>
      </c>
      <c r="AE14" s="40">
        <f>$F14/(1-$D$4-$AE$9)</f>
        <v>130.64219999999997</v>
      </c>
      <c r="AF14" s="41">
        <f>AE14*$D$4</f>
        <v>45.724769999999985</v>
      </c>
      <c r="AG14" s="42">
        <f>AE14-$F14-AF14</f>
        <v>19.596330000000002</v>
      </c>
      <c r="AH14" s="43">
        <f>AG14/AE14</f>
        <v>0.15000000000000005</v>
      </c>
      <c r="AI14" s="40">
        <f>AE14*$D$6</f>
        <v>182.89907999999994</v>
      </c>
      <c r="AL14" s="24" t="n">
        <v>1.134046875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- 6 pallets'!$G$14)</f>
        <v>1.2758027343749998</v>
      </c>
      <c r="F15" s="8">
        <f>IF(AND(ISNUMBER(E15),ISNUMBER($D$8)),E15*$D$3,NA())</f>
        <v>65.32109999999999</v>
      </c>
      <c r="G15" s="9">
        <f>F15/$D$8</f>
        <v>129.0293333333333</v>
      </c>
      <c r="H15" s="10">
        <f>G15*$D$4</f>
        <v>45.16026666666666</v>
      </c>
      <c r="I15" s="11">
        <f>G15-F15-H15</f>
        <v>18.547966666666667</v>
      </c>
      <c r="J15" s="12">
        <f>I15/G15</f>
        <v>0.14375000000000002</v>
      </c>
      <c r="K15" s="13">
        <f>G15*$D$6</f>
        <v>180.64106666666663</v>
      </c>
      <c r="L15" s="14">
        <f>F15/(1-$D$4)</f>
        <v>100.49399999999997</v>
      </c>
      <c r="M15" s="14">
        <f>L15*$D$6</f>
        <v>140.69159999999994</v>
      </c>
      <c r="N15" s="15">
        <f>G15-F15</f>
        <v>63.708233333333325</v>
      </c>
      <c r="O15" s="16">
        <f>N15-H15</f>
        <v>18.547966666666667</v>
      </c>
      <c r="P15" s="40">
        <f>$F15/(1-$D$4-$P$9)</f>
        <v>186.63171428571422</v>
      </c>
      <c r="Q15" s="41">
        <f>P15*$D$4</f>
        <v>65.32109999999997</v>
      </c>
      <c r="R15" s="42">
        <f>P15-$F15-Q15</f>
        <v>55.989514285714264</v>
      </c>
      <c r="S15" s="43">
        <f>R15/P15</f>
        <v>0.3</v>
      </c>
      <c r="T15" s="40">
        <f>P15*$D$6</f>
        <v>261.2843999999999</v>
      </c>
      <c r="U15" s="40">
        <f>$F15/(1-$D$4-$U$9)</f>
        <v>163.30274999999995</v>
      </c>
      <c r="V15" s="41">
        <f>U15*$D$4</f>
        <v>57.15596249999998</v>
      </c>
      <c r="W15" s="42">
        <f>U15-$F15-V15</f>
        <v>40.82568749999998</v>
      </c>
      <c r="X15" s="43">
        <f>W15/U15</f>
        <v>0.24999999999999994</v>
      </c>
      <c r="Y15" s="40">
        <f>U15*$D$6</f>
        <v>228.62384999999992</v>
      </c>
      <c r="Z15" s="40">
        <f>$F15/(1-$D$4-$Z$9)</f>
        <v>145.15799999999996</v>
      </c>
      <c r="AA15" s="41">
        <f>Z15*$D$4</f>
        <v>50.80529999999998</v>
      </c>
      <c r="AB15" s="42">
        <f>Z15-$F15-AA15</f>
        <v>29.03159999999999</v>
      </c>
      <c r="AC15" s="43">
        <f>AB15/Z15</f>
        <v>0.19999999999999998</v>
      </c>
      <c r="AD15" s="40">
        <f>Z15*$D$6</f>
        <v>203.22119999999993</v>
      </c>
      <c r="AE15" s="40">
        <f>$F15/(1-$D$4-$AE$9)</f>
        <v>130.64219999999997</v>
      </c>
      <c r="AF15" s="41">
        <f>AE15*$D$4</f>
        <v>45.724769999999985</v>
      </c>
      <c r="AG15" s="42">
        <f>AE15-$F15-AF15</f>
        <v>19.596330000000002</v>
      </c>
      <c r="AH15" s="43">
        <f>AG15/AE15</f>
        <v>0.15000000000000005</v>
      </c>
      <c r="AI15" s="40">
        <f>AE15*$D$6</f>
        <v>182.89907999999994</v>
      </c>
      <c r="AL15" s="24" t="n">
        <v>1.134046875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- 6 pallets'!$G$14)</f>
        <v>1.2758027343749998</v>
      </c>
      <c r="F16" s="8">
        <f>IF(AND(ISNUMBER(E16),ISNUMBER($D$8)),E16*$D$3,NA())</f>
        <v>65.32109999999999</v>
      </c>
      <c r="G16" s="9">
        <f>F16/$D$8</f>
        <v>129.0293333333333</v>
      </c>
      <c r="H16" s="10">
        <f>G16*$D$4</f>
        <v>45.16026666666666</v>
      </c>
      <c r="I16" s="11">
        <f>G16-F16-H16</f>
        <v>18.547966666666667</v>
      </c>
      <c r="J16" s="12">
        <f>I16/G16</f>
        <v>0.14375000000000002</v>
      </c>
      <c r="K16" s="13">
        <f>G16*$D$6</f>
        <v>180.64106666666663</v>
      </c>
      <c r="L16" s="14">
        <f>F16/(1-$D$4)</f>
        <v>100.49399999999997</v>
      </c>
      <c r="M16" s="14">
        <f>L16*$D$6</f>
        <v>140.69159999999994</v>
      </c>
      <c r="N16" s="15">
        <f>G16-F16</f>
        <v>63.708233333333325</v>
      </c>
      <c r="O16" s="16">
        <f>N16-H16</f>
        <v>18.547966666666667</v>
      </c>
      <c r="P16" s="40">
        <f>$F16/(1-$D$4-$P$9)</f>
        <v>186.63171428571422</v>
      </c>
      <c r="Q16" s="41">
        <f>P16*$D$4</f>
        <v>65.32109999999997</v>
      </c>
      <c r="R16" s="42">
        <f>P16-$F16-Q16</f>
        <v>55.989514285714264</v>
      </c>
      <c r="S16" s="43">
        <f>R16/P16</f>
        <v>0.3</v>
      </c>
      <c r="T16" s="40">
        <f>P16*$D$6</f>
        <v>261.2843999999999</v>
      </c>
      <c r="U16" s="40">
        <f>$F16/(1-$D$4-$U$9)</f>
        <v>163.30274999999995</v>
      </c>
      <c r="V16" s="41">
        <f>U16*$D$4</f>
        <v>57.15596249999998</v>
      </c>
      <c r="W16" s="42">
        <f>U16-$F16-V16</f>
        <v>40.82568749999998</v>
      </c>
      <c r="X16" s="43">
        <f>W16/U16</f>
        <v>0.24999999999999994</v>
      </c>
      <c r="Y16" s="40">
        <f>U16*$D$6</f>
        <v>228.62384999999992</v>
      </c>
      <c r="Z16" s="40">
        <f>$F16/(1-$D$4-$Z$9)</f>
        <v>145.15799999999996</v>
      </c>
      <c r="AA16" s="41">
        <f>Z16*$D$4</f>
        <v>50.80529999999998</v>
      </c>
      <c r="AB16" s="42">
        <f>Z16-$F16-AA16</f>
        <v>29.03159999999999</v>
      </c>
      <c r="AC16" s="43">
        <f>AB16/Z16</f>
        <v>0.19999999999999998</v>
      </c>
      <c r="AD16" s="40">
        <f>Z16*$D$6</f>
        <v>203.22119999999993</v>
      </c>
      <c r="AE16" s="40">
        <f>$F16/(1-$D$4-$AE$9)</f>
        <v>130.64219999999997</v>
      </c>
      <c r="AF16" s="41">
        <f>AE16*$D$4</f>
        <v>45.724769999999985</v>
      </c>
      <c r="AG16" s="42">
        <f>AE16-$F16-AF16</f>
        <v>19.596330000000002</v>
      </c>
      <c r="AH16" s="43">
        <f>AG16/AE16</f>
        <v>0.15000000000000005</v>
      </c>
      <c r="AI16" s="40">
        <f>AE16*$D$6</f>
        <v>182.89907999999994</v>
      </c>
      <c r="AL16" s="24" t="n">
        <v>1.134046875</v>
      </c>
    </row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1.472080078125</v>
      </c>
      <c r="G22" s="29">
        <f>E12</f>
        <v>1.472080078125</v>
      </c>
      <c r="H22" s="29">
        <f>E13</f>
        <v>1.2758027343749998</v>
      </c>
      <c r="I22" s="29">
        <f>E14</f>
        <v>1.2758027343749998</v>
      </c>
      <c r="J22" s="29">
        <f>E15</f>
        <v>1.2758027343749998</v>
      </c>
      <c r="K22" s="29">
        <f>E16</f>
        <v>1.2758027343749998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75.3705</v>
      </c>
      <c r="G24" s="31">
        <f>F12</f>
        <v>75.3705</v>
      </c>
      <c r="H24" s="31">
        <f>F13</f>
        <v>65.32109999999999</v>
      </c>
      <c r="I24" s="31">
        <f>F14</f>
        <v>65.32109999999999</v>
      </c>
      <c r="J24" s="31">
        <f>F15</f>
        <v>65.32109999999999</v>
      </c>
      <c r="K24" s="31">
        <f>F16</f>
        <v>65.32109999999999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0.14375000000000004</v>
      </c>
      <c r="G28" s="32">
        <f>$D$5</f>
        <v>0.14375000000000004</v>
      </c>
      <c r="H28" s="32">
        <f>$D$5</f>
        <v>0.14375000000000004</v>
      </c>
      <c r="I28" s="32">
        <f>$D$5</f>
        <v>0.14375000000000004</v>
      </c>
      <c r="J28" s="32">
        <f>$D$5</f>
        <v>0.14375000000000004</v>
      </c>
      <c r="K28" s="32">
        <f>$D$5</f>
        <v>0.14375000000000004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0.50625</v>
      </c>
      <c r="G29" s="32">
        <f>$D$8</f>
        <v>0.50625</v>
      </c>
      <c r="H29" s="32">
        <f>$D$8</f>
        <v>0.50625</v>
      </c>
      <c r="I29" s="32">
        <f>$D$8</f>
        <v>0.50625</v>
      </c>
      <c r="J29" s="32">
        <f>$D$8</f>
        <v>0.50625</v>
      </c>
      <c r="K29" s="32">
        <f>$D$8</f>
        <v>0.50625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73.50950000000002</v>
      </c>
      <c r="G31" s="31">
        <f>N12</f>
        <v>73.50950000000002</v>
      </c>
      <c r="H31" s="31">
        <f>N13</f>
        <v>63.708233333333325</v>
      </c>
      <c r="I31" s="31">
        <f>N14</f>
        <v>63.708233333333325</v>
      </c>
      <c r="J31" s="31">
        <f>N15</f>
        <v>63.708233333333325</v>
      </c>
      <c r="K31" s="31">
        <f>N16</f>
        <v>63.708233333333325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21.401500000000013</v>
      </c>
      <c r="G33" s="36">
        <f>I12</f>
        <v>21.401500000000013</v>
      </c>
      <c r="H33" s="36">
        <f>I13</f>
        <v>18.547966666666667</v>
      </c>
      <c r="I33" s="36">
        <f>I14</f>
        <v>18.547966666666667</v>
      </c>
      <c r="J33" s="36">
        <f>I15</f>
        <v>18.547966666666667</v>
      </c>
      <c r="K33" s="36">
        <f>I16</f>
        <v>18.547966666666667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0.14375000000000007</v>
      </c>
      <c r="G34" s="37">
        <f>J12</f>
        <v>0.14375000000000007</v>
      </c>
      <c r="H34" s="37">
        <f>J13</f>
        <v>0.14375000000000002</v>
      </c>
      <c r="I34" s="37">
        <f>J14</f>
        <v>0.14375000000000002</v>
      </c>
      <c r="J34" s="37">
        <f>J15</f>
        <v>0.14375000000000002</v>
      </c>
      <c r="K34" s="37">
        <f>J16</f>
        <v>0.14375000000000002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115.9546153846154</v>
      </c>
      <c r="G38" s="31">
        <f>L12</f>
        <v>115.9546153846154</v>
      </c>
      <c r="H38" s="31">
        <f>L13</f>
        <v>100.49399999999997</v>
      </c>
      <c r="I38" s="31">
        <f>L14</f>
        <v>100.49399999999997</v>
      </c>
      <c r="J38" s="31">
        <f>L15</f>
        <v>100.49399999999997</v>
      </c>
      <c r="K38" s="31">
        <f>L16</f>
        <v>100.49399999999997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162.33646153846155</v>
      </c>
      <c r="G39" s="31">
        <f>M12</f>
        <v>162.33646153846155</v>
      </c>
      <c r="H39" s="31">
        <f>M13</f>
        <v>140.69159999999994</v>
      </c>
      <c r="I39" s="31">
        <f>M14</f>
        <v>140.69159999999994</v>
      </c>
      <c r="J39" s="31">
        <f>M15</f>
        <v>140.69159999999994</v>
      </c>
      <c r="K39" s="31">
        <f>M16</f>
        <v>140.69159999999994</v>
      </c>
    </row>
    <row r="42" ht="26" customHeight="1" s="71">
      <c r="B42" s="188" t="inlineStr">
        <is>
          <t>BEFORE → AFTER · shelf price at the current purchase price and at the SIAS request</t>
        </is>
      </c>
    </row>
    <row r="43" ht="20" customHeight="1" s="71">
      <c r="B43" s="189" t="str">
        <f>"Chain bonus "&amp;ROUND('Price 120 UAH - 6 pallets'!D14*100,0)&amp;" % · margin "&amp;ROUND('Price 120 UAH - 6 pallets'!C14*100,0)&amp;" % · markup ×"&amp;'Price 120 UAH - 6 pallets'!E14</f>
        <v>Chain bonus 35 % · margin 14 % · markup ×1.4</v>
      </c>
    </row>
    <row r="44" ht="26" customHeight="1" s="71">
      <c r="E44" s="190" t="inlineStr">
        <is>
          <t>BEFORE · current SIAS purchase price</t>
        </is>
      </c>
      <c r="F44" s="207" t="n"/>
      <c r="G44" s="207" t="n"/>
      <c r="H44" s="207" t="n"/>
      <c r="I44" s="207" t="n"/>
      <c r="J44" s="208" t="n"/>
      <c r="K44" s="191" t="inlineStr">
        <is>
          <t>AFTER · SIAS request (one price for all 6 SKUs)</t>
        </is>
      </c>
      <c r="L44" s="207" t="n"/>
      <c r="M44" s="207" t="n"/>
      <c r="N44" s="207" t="n"/>
      <c r="O44" s="207" t="n"/>
      <c r="P44" s="208" t="n"/>
      <c r="Q44" s="192" t="inlineStr">
        <is>
          <t>CHANGE</t>
        </is>
      </c>
      <c r="R44" s="208" t="n"/>
    </row>
    <row r="45" ht="42" customHeight="1" s="71">
      <c r="A45" s="193" t="inlineStr">
        <is>
          <t>#</t>
        </is>
      </c>
      <c r="B45" s="193" t="inlineStr">
        <is>
          <t>Item</t>
        </is>
      </c>
      <c r="C45" s="193" t="inlineStr">
        <is>
          <t>SIAS purchase: before → after</t>
        </is>
      </c>
      <c r="D45" s="193" t="inlineStr">
        <is>
          <t>Weight, g</t>
        </is>
      </c>
      <c r="E45" s="194" t="inlineStr">
        <is>
          <t>Purchase, €/pack</t>
        </is>
      </c>
      <c r="F45" s="194" t="inlineStr">
        <is>
          <t>Landed cost, ₴/pack</t>
        </is>
      </c>
      <c r="G45" s="194" t="inlineStr">
        <is>
          <t>Partner price, ₴</t>
        </is>
      </c>
      <c r="H45" s="194" t="inlineStr">
        <is>
          <t>Chain bonus, ₴</t>
        </is>
      </c>
      <c r="I45" s="194" t="inlineStr">
        <is>
          <t>Left after bonus, ₴</t>
        </is>
      </c>
      <c r="J45" s="194" t="inlineStr">
        <is>
          <t>Shelf price incl. VAT, ₴</t>
        </is>
      </c>
      <c r="K45" s="195" t="inlineStr">
        <is>
          <t>Purchase, €/pack</t>
        </is>
      </c>
      <c r="L45" s="195" t="inlineStr">
        <is>
          <t>Landed cost, ₴/pack</t>
        </is>
      </c>
      <c r="M45" s="195" t="inlineStr">
        <is>
          <t>Partner price, ₴</t>
        </is>
      </c>
      <c r="N45" s="195" t="inlineStr">
        <is>
          <t>Chain bonus, ₴</t>
        </is>
      </c>
      <c r="O45" s="195" t="inlineStr">
        <is>
          <t>Left after bonus, ₴</t>
        </is>
      </c>
      <c r="P45" s="195" t="inlineStr">
        <is>
          <t>Shelf price incl. VAT, ₴</t>
        </is>
      </c>
      <c r="Q45" s="196" t="inlineStr">
        <is>
          <t>Δ shelf, ₴</t>
        </is>
      </c>
      <c r="R45" s="196" t="inlineStr">
        <is>
          <t>Δ shelf, %</t>
        </is>
      </c>
    </row>
    <row r="46" ht="30" customHeight="1" s="71">
      <c r="A46" s="197">
        <f>A11</f>
        <v>1</v>
      </c>
      <c r="B46" s="198" t="str">
        <f>C11</f>
        <v>Gouda Cheese 123 g</v>
      </c>
      <c r="C46" s="197" t="str">
        <f>"€"&amp;ROUND(E46,2)&amp;" → €"&amp;ROUND(K46,2)</f>
        <v>€0.75 → €0.32</v>
      </c>
      <c r="D46" s="197">
        <f>D11</f>
        <v>123</v>
      </c>
      <c r="E46" s="199">
        <f>'Price 120 UAH - 6 pallets'!$B$7</f>
        <v>0.75</v>
      </c>
      <c r="F46" s="200">
        <f>F11</f>
        <v>75.3705</v>
      </c>
      <c r="G46" s="200">
        <f>G11</f>
        <v>148.88000000000002</v>
      </c>
      <c r="H46" s="200">
        <f>H11</f>
        <v>52.108000000000004</v>
      </c>
      <c r="I46" s="200">
        <f>I11</f>
        <v>21.401500000000013</v>
      </c>
      <c r="J46" s="201">
        <f>K11</f>
        <v>208.43200000000002</v>
      </c>
      <c r="K46" s="202">
        <f>'Price 120 UAH - 6 pallets'!$B$20</f>
        <v>0.32</v>
      </c>
      <c r="L46" s="203">
        <f>'Price 120 UAH - 6 pallets'!$C$8</f>
        <v>42.92945999999999</v>
      </c>
      <c r="M46" s="203">
        <f>L46/(1-$D$4-$D$5)</f>
        <v>84.79893333333332</v>
      </c>
      <c r="N46" s="203">
        <f>M46*$D$4</f>
        <v>29.67962666666666</v>
      </c>
      <c r="O46" s="203">
        <f>M46-L46-N46</f>
        <v>12.189846666666671</v>
      </c>
      <c r="P46" s="204">
        <f>M46*$D$6</f>
        <v>118.71850666666664</v>
      </c>
      <c r="Q46" s="209">
        <f>P46-J46</f>
        <v>-89.71349333333337</v>
      </c>
      <c r="R46" s="210">
        <f>Q46/J46</f>
        <v>-0.4304209206519794</v>
      </c>
    </row>
    <row r="47" ht="30" customHeight="1" s="71">
      <c r="A47" s="197">
        <f>A12</f>
        <v>2</v>
      </c>
      <c r="B47" s="198" t="str">
        <f>C12</f>
        <v>Carbonara Spicy 131 g</v>
      </c>
      <c r="C47" s="197" t="str">
        <f>"€"&amp;ROUND(E47,2)&amp;" → €"&amp;ROUND(K47,2)</f>
        <v>€0.75 → €0.32</v>
      </c>
      <c r="D47" s="197">
        <f>D12</f>
        <v>131</v>
      </c>
      <c r="E47" s="199">
        <f>'Price 120 UAH - 6 pallets'!$B$7</f>
        <v>0.75</v>
      </c>
      <c r="F47" s="200">
        <f>F12</f>
        <v>75.3705</v>
      </c>
      <c r="G47" s="200">
        <f>G12</f>
        <v>148.88000000000002</v>
      </c>
      <c r="H47" s="200">
        <f>H12</f>
        <v>52.108000000000004</v>
      </c>
      <c r="I47" s="200">
        <f>I12</f>
        <v>21.401500000000013</v>
      </c>
      <c r="J47" s="201">
        <f>K12</f>
        <v>208.43200000000002</v>
      </c>
      <c r="K47" s="202">
        <f>'Price 120 UAH - 6 pallets'!$B$20</f>
        <v>0.32</v>
      </c>
      <c r="L47" s="203">
        <f>'Price 120 UAH - 6 pallets'!$C$8</f>
        <v>42.92945999999999</v>
      </c>
      <c r="M47" s="203">
        <f>L47/(1-$D$4-$D$5)</f>
        <v>84.79893333333332</v>
      </c>
      <c r="N47" s="203">
        <f>M47*$D$4</f>
        <v>29.67962666666666</v>
      </c>
      <c r="O47" s="203">
        <f>M47-L47-N47</f>
        <v>12.189846666666671</v>
      </c>
      <c r="P47" s="204">
        <f>M47*$D$6</f>
        <v>118.71850666666664</v>
      </c>
      <c r="Q47" s="209">
        <f>P47-J47</f>
        <v>-89.71349333333337</v>
      </c>
      <c r="R47" s="210">
        <f>Q47/J47</f>
        <v>-0.4304209206519794</v>
      </c>
    </row>
    <row r="48" ht="30" customHeight="1" s="71">
      <c r="A48" s="197">
        <f>A13</f>
        <v>3</v>
      </c>
      <c r="B48" s="198" t="str">
        <f>C13</f>
        <v>Vegetable Flavor 113 g</v>
      </c>
      <c r="C48" s="197" t="str">
        <f>"€"&amp;ROUND(E48,2)&amp;" → €"&amp;ROUND(K48,2)</f>
        <v>€0.65 → €0.32</v>
      </c>
      <c r="D48" s="197">
        <f>D13</f>
        <v>113</v>
      </c>
      <c r="E48" s="199">
        <f>'Price 120 UAH - 6 pallets'!$B$5</f>
        <v>0.65</v>
      </c>
      <c r="F48" s="200">
        <f>F13</f>
        <v>65.32109999999999</v>
      </c>
      <c r="G48" s="200">
        <f>G13</f>
        <v>129.0293333333333</v>
      </c>
      <c r="H48" s="200">
        <f>H13</f>
        <v>45.16026666666666</v>
      </c>
      <c r="I48" s="200">
        <f>I13</f>
        <v>18.547966666666667</v>
      </c>
      <c r="J48" s="201">
        <f>K13</f>
        <v>180.64106666666663</v>
      </c>
      <c r="K48" s="202">
        <f>'Price 120 UAH - 6 pallets'!$B$20</f>
        <v>0.32</v>
      </c>
      <c r="L48" s="203">
        <f>'Price 120 UAH - 6 pallets'!$C$8</f>
        <v>42.92945999999999</v>
      </c>
      <c r="M48" s="203">
        <f>L48/(1-$D$4-$D$5)</f>
        <v>84.79893333333332</v>
      </c>
      <c r="N48" s="203">
        <f>M48*$D$4</f>
        <v>29.67962666666666</v>
      </c>
      <c r="O48" s="203">
        <f>M48-L48-N48</f>
        <v>12.189846666666671</v>
      </c>
      <c r="P48" s="204">
        <f>M48*$D$6</f>
        <v>118.71850666666664</v>
      </c>
      <c r="Q48" s="209">
        <f>P48-J48</f>
        <v>-61.92255999999999</v>
      </c>
      <c r="R48" s="210">
        <f>Q48/J48</f>
        <v>-0.342793369983053</v>
      </c>
    </row>
    <row r="49" ht="30" customHeight="1" s="71">
      <c r="A49" s="197">
        <f>A14</f>
        <v>4</v>
      </c>
      <c r="B49" s="198" t="str">
        <f>C14</f>
        <v>Spicy Flavor 112.5 g</v>
      </c>
      <c r="C49" s="197" t="str">
        <f>"€"&amp;ROUND(E49,2)&amp;" → €"&amp;ROUND(K49,2)</f>
        <v>€0.65 → €0.32</v>
      </c>
      <c r="D49" s="197">
        <f>D14</f>
        <v>112.5</v>
      </c>
      <c r="E49" s="199">
        <f>'Price 120 UAH - 6 pallets'!$B$5</f>
        <v>0.65</v>
      </c>
      <c r="F49" s="200">
        <f>F14</f>
        <v>65.32109999999999</v>
      </c>
      <c r="G49" s="200">
        <f>G14</f>
        <v>129.0293333333333</v>
      </c>
      <c r="H49" s="200">
        <f>H14</f>
        <v>45.16026666666666</v>
      </c>
      <c r="I49" s="200">
        <f>I14</f>
        <v>18.547966666666667</v>
      </c>
      <c r="J49" s="201">
        <f>K14</f>
        <v>180.64106666666663</v>
      </c>
      <c r="K49" s="202">
        <f>'Price 120 UAH - 6 pallets'!$B$20</f>
        <v>0.32</v>
      </c>
      <c r="L49" s="203">
        <f>'Price 120 UAH - 6 pallets'!$C$8</f>
        <v>42.92945999999999</v>
      </c>
      <c r="M49" s="203">
        <f>L49/(1-$D$4-$D$5)</f>
        <v>84.79893333333332</v>
      </c>
      <c r="N49" s="203">
        <f>M49*$D$4</f>
        <v>29.67962666666666</v>
      </c>
      <c r="O49" s="203">
        <f>M49-L49-N49</f>
        <v>12.189846666666671</v>
      </c>
      <c r="P49" s="204">
        <f>M49*$D$6</f>
        <v>118.71850666666664</v>
      </c>
      <c r="Q49" s="209">
        <f>P49-J49</f>
        <v>-61.92255999999999</v>
      </c>
      <c r="R49" s="210">
        <f>Q49/J49</f>
        <v>-0.342793369983053</v>
      </c>
    </row>
    <row r="50" ht="30" customHeight="1" s="71">
      <c r="A50" s="197">
        <f>A15</f>
        <v>5</v>
      </c>
      <c r="B50" s="198" t="str">
        <f>C15</f>
        <v>Beef Flavor 113 g</v>
      </c>
      <c r="C50" s="197" t="str">
        <f>"€"&amp;ROUND(E50,2)&amp;" → €"&amp;ROUND(K50,2)</f>
        <v>€0.65 → €0.32</v>
      </c>
      <c r="D50" s="197">
        <f>D15</f>
        <v>113</v>
      </c>
      <c r="E50" s="199">
        <f>'Price 120 UAH - 6 pallets'!$B$5</f>
        <v>0.65</v>
      </c>
      <c r="F50" s="200">
        <f>F15</f>
        <v>65.32109999999999</v>
      </c>
      <c r="G50" s="200">
        <f>G15</f>
        <v>129.0293333333333</v>
      </c>
      <c r="H50" s="200">
        <f>H15</f>
        <v>45.16026666666666</v>
      </c>
      <c r="I50" s="200">
        <f>I15</f>
        <v>18.547966666666667</v>
      </c>
      <c r="J50" s="201">
        <f>K15</f>
        <v>180.64106666666663</v>
      </c>
      <c r="K50" s="202">
        <f>'Price 120 UAH - 6 pallets'!$B$20</f>
        <v>0.32</v>
      </c>
      <c r="L50" s="203">
        <f>'Price 120 UAH - 6 pallets'!$C$8</f>
        <v>42.92945999999999</v>
      </c>
      <c r="M50" s="203">
        <f>L50/(1-$D$4-$D$5)</f>
        <v>84.79893333333332</v>
      </c>
      <c r="N50" s="203">
        <f>M50*$D$4</f>
        <v>29.67962666666666</v>
      </c>
      <c r="O50" s="203">
        <f>M50-L50-N50</f>
        <v>12.189846666666671</v>
      </c>
      <c r="P50" s="204">
        <f>M50*$D$6</f>
        <v>118.71850666666664</v>
      </c>
      <c r="Q50" s="209">
        <f>P50-J50</f>
        <v>-61.92255999999999</v>
      </c>
      <c r="R50" s="210">
        <f>Q50/J50</f>
        <v>-0.342793369983053</v>
      </c>
    </row>
    <row r="51" ht="30" customHeight="1" s="71">
      <c r="A51" s="197">
        <f>A16</f>
        <v>6</v>
      </c>
      <c r="B51" s="198" t="str">
        <f>C16</f>
        <v>Chicken Flavor 113 g</v>
      </c>
      <c r="C51" s="197" t="str">
        <f>"€"&amp;ROUND(E51,2)&amp;" → €"&amp;ROUND(K51,2)</f>
        <v>€0.65 → €0.32</v>
      </c>
      <c r="D51" s="197">
        <f>D16</f>
        <v>113</v>
      </c>
      <c r="E51" s="199">
        <f>'Price 120 UAH - 6 pallets'!$B$5</f>
        <v>0.65</v>
      </c>
      <c r="F51" s="200">
        <f>F16</f>
        <v>65.32109999999999</v>
      </c>
      <c r="G51" s="200">
        <f>G16</f>
        <v>129.0293333333333</v>
      </c>
      <c r="H51" s="200">
        <f>H16</f>
        <v>45.16026666666666</v>
      </c>
      <c r="I51" s="200">
        <f>I16</f>
        <v>18.547966666666667</v>
      </c>
      <c r="J51" s="201">
        <f>K16</f>
        <v>180.64106666666663</v>
      </c>
      <c r="K51" s="202">
        <f>'Price 120 UAH - 6 pallets'!$B$20</f>
        <v>0.32</v>
      </c>
      <c r="L51" s="203">
        <f>'Price 120 UAH - 6 pallets'!$C$8</f>
        <v>42.92945999999999</v>
      </c>
      <c r="M51" s="203">
        <f>L51/(1-$D$4-$D$5)</f>
        <v>84.79893333333332</v>
      </c>
      <c r="N51" s="203">
        <f>M51*$D$4</f>
        <v>29.67962666666666</v>
      </c>
      <c r="O51" s="203">
        <f>M51-L51-N51</f>
        <v>12.189846666666671</v>
      </c>
      <c r="P51" s="204">
        <f>M51*$D$6</f>
        <v>118.71850666666664</v>
      </c>
      <c r="Q51" s="209">
        <f>P51-J51</f>
        <v>-61.92255999999999</v>
      </c>
      <c r="R51" s="210">
        <f>Q51/J51</f>
        <v>-0.342793369983053</v>
      </c>
    </row>
    <row r="53" ht="30" customHeight="1" s="71">
      <c r="B53" s="171" t="inlineStr">
        <is>
          <t>"Before" landed cost per Self-Cost (incl. the uplift from G14 on the "Price 120 UAH" sheets); "after" is calculated at the SIAS request (logistics spread evenly per pack). Bonus, margin and markup come from the "Price 120 UAH" sheets.</t>
        </is>
      </c>
    </row>
    <row r="56" ht="26" customHeight="1" s="71">
      <c r="B56" s="188" t="inlineStr">
        <is>
          <t>MARGIN SCENARIOS · BEFORE vs AFTER the SIAS request</t>
        </is>
      </c>
    </row>
    <row r="57" ht="30" customHeight="1" s="71">
      <c r="B57" s="54" t="inlineStr">
        <is>
          <t>For each margin: shelf price at the current purchase price (BEFORE) and the purchase price SIAS must accept so that the shelf price is 120 ₴ (AFTER). Chain bonus and markup as on the "Price 120 UAH" sheet.</t>
        </is>
      </c>
    </row>
    <row r="58" ht="24" customHeight="1" s="71">
      <c r="E58" s="190" t="inlineStr">
        <is>
          <t>BEFORE · current purchase price</t>
        </is>
      </c>
      <c r="F58" s="190" t="n"/>
      <c r="G58" s="191" t="inlineStr">
        <is>
          <t>AFTER · request for a 120 ₴ shelf</t>
        </is>
      </c>
      <c r="H58" s="191" t="n"/>
      <c r="I58" s="191" t="n"/>
      <c r="J58" s="192" t="inlineStr">
        <is>
          <t>CHANGE vs BEFORE</t>
        </is>
      </c>
      <c r="K58" s="192" t="n"/>
      <c r="L58" s="192" t="n"/>
      <c r="M58" s="192" t="n"/>
    </row>
    <row r="59" ht="38" customHeight="1" s="71">
      <c r="B59" s="193" t="inlineStr">
        <is>
          <t>Margin</t>
        </is>
      </c>
      <c r="C59" s="193" t="inlineStr"/>
      <c r="D59" s="193" t="inlineStr">
        <is>
          <t>Share of price for cost</t>
        </is>
      </c>
      <c r="E59" s="194" t="inlineStr">
        <is>
          <t>Shelf 4 SKUs, ₴</t>
        </is>
      </c>
      <c r="F59" s="194" t="inlineStr">
        <is>
          <t>Shelf 2 SKUs, ₴</t>
        </is>
      </c>
      <c r="G59" s="195" t="inlineStr">
        <is>
          <t>Request, €/pack</t>
        </is>
      </c>
      <c r="H59" s="195" t="inlineStr">
        <is>
          <t>Landed cost, ₴</t>
        </is>
      </c>
      <c r="I59" s="195" t="inlineStr">
        <is>
          <t>Shelf, ₴</t>
        </is>
      </c>
      <c r="J59" s="196" t="inlineStr">
        <is>
          <t>Δ 4 SKUs, ₴</t>
        </is>
      </c>
      <c r="K59" s="196" t="inlineStr">
        <is>
          <t>Δ 4 SKUs, %</t>
        </is>
      </c>
      <c r="L59" s="196" t="inlineStr">
        <is>
          <t>Δ 2 SKUs, ₴</t>
        </is>
      </c>
      <c r="M59" s="196" t="inlineStr">
        <is>
          <t>Δ 2 SKUs, %</t>
        </is>
      </c>
    </row>
    <row r="60" ht="28" customHeight="1" s="71">
      <c r="B60" s="211" t="n">
        <v>0.35</v>
      </c>
      <c r="C60" s="212" t="str">
        <f>IF(ABS(B60-'Price 120 UAH - 6 pallets'!$C$14)&lt;0.01,"◄ ≈ current","")</f>
        <v/>
      </c>
      <c r="D60" s="213">
        <f>1-'Model 6 pallets'!$D$4-B60</f>
        <v>0.30000000000000004</v>
      </c>
      <c r="E60" s="214">
        <f>'Model 6 pallets'!$F$13/D60*'Model 6 pallets'!$D$6</f>
        <v>304.8317999999999</v>
      </c>
      <c r="F60" s="215">
        <f>'Model 6 pallets'!$F$11/D60*'Model 6 pallets'!$D$6</f>
        <v>351.729</v>
      </c>
      <c r="G60" s="216">
        <f>ROUNDDOWN((('Price 120 UAH - 6 pallets'!$B$14/'Price 120 UAH - 6 pallets'!$E$14*D60/(1+'Price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0.07</v>
      </c>
      <c r="H60" s="217">
        <f>(G60*'Model 6 pallets'!$D$3+('Price 120 UAH - 6 pallets'!$E$16+'Price 120 UAH - 6 pallets'!$F$16+'Price 120 UAH - 6 pallets'!$G$16)/('Price 120 UAH - 6 pallets'!$C$18*'Price 120 UAH - 6 pallets'!$D$18)*'Model 6 pallets'!$D$3+(G60+'Price 120 UAH - 6 pallets'!$E$16*'Price 120 UAH - 6 pallets'!$B$18/('Price 120 UAH - 6 pallets'!$C$18*'Price 120 UAH - 6 pallets'!$D$18))*'Price 120 UAH - 6 pallets'!$D$16*'Model 6 pallets'!$D$3+(G60+'Price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25.217459999999996</v>
      </c>
      <c r="I60" s="218">
        <f>H60/D60*'Model 6 pallets'!$D$6</f>
        <v>117.68147999999995</v>
      </c>
      <c r="J60" s="209">
        <f>I60-E60</f>
        <v>-187.1503199999999</v>
      </c>
      <c r="K60" s="210">
        <f>J60/E60</f>
        <v>-0.613946182780143</v>
      </c>
      <c r="L60" s="209">
        <f>I60-F60</f>
        <v>-234.04752000000002</v>
      </c>
      <c r="M60" s="210">
        <f>L60/F60</f>
        <v>-0.6654200250761241</v>
      </c>
    </row>
    <row r="61" ht="28" customHeight="1" s="71">
      <c r="B61" s="211" t="n">
        <v>0.3</v>
      </c>
      <c r="C61" s="212" t="str">
        <f>IF(ABS(B61-'Price 120 UAH - 6 pallets'!$C$14)&lt;0.01,"◄ ≈ current","")</f>
        <v/>
      </c>
      <c r="D61" s="213">
        <f>1-'Model 6 pallets'!$D$4-B61</f>
        <v>0.35000000000000003</v>
      </c>
      <c r="E61" s="214">
        <f>'Model 6 pallets'!$F$13/D61*'Model 6 pallets'!$D$6</f>
        <v>261.2843999999999</v>
      </c>
      <c r="F61" s="215">
        <f>'Model 6 pallets'!$F$11/D61*'Model 6 pallets'!$D$6</f>
        <v>301.48199999999997</v>
      </c>
      <c r="G61" s="216">
        <f>ROUNDDOWN((('Price 120 UAH - 6 pallets'!$B$14/'Price 120 UAH - 6 pallets'!$E$14*D61/(1+'Price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0.13</v>
      </c>
      <c r="H61" s="217">
        <f>(G61*'Model 6 pallets'!$D$3+('Price 120 UAH - 6 pallets'!$E$16+'Price 120 UAH - 6 pallets'!$F$16+'Price 120 UAH - 6 pallets'!$G$16)/('Price 120 UAH - 6 pallets'!$C$18*'Price 120 UAH - 6 pallets'!$D$18)*'Model 6 pallets'!$D$3+(G61+'Price 120 UAH - 6 pallets'!$E$16*'Price 120 UAH - 6 pallets'!$B$18/('Price 120 UAH - 6 pallets'!$C$18*'Price 120 UAH - 6 pallets'!$D$18))*'Price 120 UAH - 6 pallets'!$D$16*'Model 6 pallets'!$D$3+(G61+'Price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29.468340000000005</v>
      </c>
      <c r="I61" s="218">
        <f>H61/D61*'Model 6 pallets'!$D$6</f>
        <v>117.87335999999999</v>
      </c>
      <c r="J61" s="209">
        <f>I61-E61</f>
        <v>-143.4110399999999</v>
      </c>
      <c r="K61" s="210">
        <f>J61/E61</f>
        <v>-0.5488695077088412</v>
      </c>
      <c r="L61" s="209">
        <f>I61-F61</f>
        <v>-183.60863999999998</v>
      </c>
      <c r="M61" s="210">
        <f>L61/F61</f>
        <v>-0.6090202400143292</v>
      </c>
    </row>
    <row r="62" ht="28" customHeight="1" s="71">
      <c r="B62" s="211" t="n">
        <v>0.25</v>
      </c>
      <c r="C62" s="212" t="str">
        <f>IF(ABS(B62-'Price 120 UAH - 6 pallets'!$C$14)&lt;0.01,"◄ ≈ current","")</f>
        <v/>
      </c>
      <c r="D62" s="213">
        <f>1-'Model 6 pallets'!$D$4-B62</f>
        <v>0.4</v>
      </c>
      <c r="E62" s="214">
        <f>'Model 6 pallets'!$F$13/D62*'Model 6 pallets'!$D$6</f>
        <v>228.62384999999992</v>
      </c>
      <c r="F62" s="215">
        <f>'Model 6 pallets'!$F$11/D62*'Model 6 pallets'!$D$6</f>
        <v>263.79675</v>
      </c>
      <c r="G62" s="216">
        <f>ROUNDDOWN((('Price 120 UAH - 6 pallets'!$B$14/'Price 120 UAH - 6 pallets'!$E$14*D62/(1+'Price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0.19</v>
      </c>
      <c r="H62" s="217">
        <f>(G62*'Model 6 pallets'!$D$3+('Price 120 UAH - 6 pallets'!$E$16+'Price 120 UAH - 6 pallets'!$F$16+'Price 120 UAH - 6 pallets'!$G$16)/('Price 120 UAH - 6 pallets'!$C$18*'Price 120 UAH - 6 pallets'!$D$18)*'Model 6 pallets'!$D$3+(G62+'Price 120 UAH - 6 pallets'!$E$16*'Price 120 UAH - 6 pallets'!$B$18/('Price 120 UAH - 6 pallets'!$C$18*'Price 120 UAH - 6 pallets'!$D$18))*'Price 120 UAH - 6 pallets'!$D$16*'Model 6 pallets'!$D$3+(G62+'Price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33.71922</v>
      </c>
      <c r="I62" s="218">
        <f>H62/D62*'Model 6 pallets'!$D$6</f>
        <v>118.01726999999998</v>
      </c>
      <c r="J62" s="209">
        <f>I62-E62</f>
        <v>-110.60657999999994</v>
      </c>
      <c r="K62" s="210">
        <f>J62/E62</f>
        <v>-0.4837928326375397</v>
      </c>
      <c r="L62" s="209">
        <f>I62-F62</f>
        <v>-145.77947999999998</v>
      </c>
      <c r="M62" s="210">
        <f>L62/F62</f>
        <v>-0.5526204549525344</v>
      </c>
    </row>
    <row r="63" ht="28" customHeight="1" s="71">
      <c r="B63" s="211" t="n">
        <v>0.2</v>
      </c>
      <c r="C63" s="212" t="str">
        <f>IF(ABS(B63-'Price 120 UAH - 6 pallets'!$C$14)&lt;0.01,"◄ ≈ current","")</f>
        <v/>
      </c>
      <c r="D63" s="213">
        <f>1-'Model 6 pallets'!$D$4-B63</f>
        <v>0.45</v>
      </c>
      <c r="E63" s="214">
        <f>'Model 6 pallets'!$F$13/D63*'Model 6 pallets'!$D$6</f>
        <v>203.22119999999993</v>
      </c>
      <c r="F63" s="215">
        <f>'Model 6 pallets'!$F$11/D63*'Model 6 pallets'!$D$6</f>
        <v>234.486</v>
      </c>
      <c r="G63" s="216">
        <f>ROUNDDOWN((('Price 120 UAH - 6 pallets'!$B$14/'Price 120 UAH - 6 pallets'!$E$14*D63/(1+'Price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0.25</v>
      </c>
      <c r="H63" s="217">
        <f>(G63*'Model 6 pallets'!$D$3+('Price 120 UAH - 6 pallets'!$E$16+'Price 120 UAH - 6 pallets'!$F$16+'Price 120 UAH - 6 pallets'!$G$16)/('Price 120 UAH - 6 pallets'!$C$18*'Price 120 UAH - 6 pallets'!$D$18)*'Model 6 pallets'!$D$3+(G63+'Price 120 UAH - 6 pallets'!$E$16*'Price 120 UAH - 6 pallets'!$B$18/('Price 120 UAH - 6 pallets'!$C$18*'Price 120 UAH - 6 pallets'!$D$18))*'Price 120 UAH - 6 pallets'!$D$16*'Model 6 pallets'!$D$3+(G63+'Price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37.9701</v>
      </c>
      <c r="I63" s="218">
        <f>H63/D63*'Model 6 pallets'!$D$6</f>
        <v>118.1292</v>
      </c>
      <c r="J63" s="209">
        <f>I63-E63</f>
        <v>-85.09199999999993</v>
      </c>
      <c r="K63" s="210">
        <f>J63/E63</f>
        <v>-0.418716157566238</v>
      </c>
      <c r="L63" s="209">
        <f>I63-F63</f>
        <v>-116.35679999999999</v>
      </c>
      <c r="M63" s="210">
        <f>L63/F63</f>
        <v>-0.49622066989073976</v>
      </c>
    </row>
    <row r="64" ht="28" customHeight="1" s="71">
      <c r="B64" s="211" t="n">
        <v>0.15</v>
      </c>
      <c r="C64" s="212" t="str">
        <f>IF(ABS(B64-'Price 120 UAH - 6 pallets'!$C$14)&lt;0.01,"◄ ≈ current","")</f>
        <v>◄ ≈ current</v>
      </c>
      <c r="D64" s="213">
        <f>1-'Model 6 pallets'!$D$4-B64</f>
        <v>0.5</v>
      </c>
      <c r="E64" s="214">
        <f>'Model 6 pallets'!$F$13/D64*'Model 6 pallets'!$D$6</f>
        <v>182.89907999999994</v>
      </c>
      <c r="F64" s="215">
        <f>'Model 6 pallets'!$F$11/D64*'Model 6 pallets'!$D$6</f>
        <v>211.03740000000002</v>
      </c>
      <c r="G64" s="216">
        <f>ROUNDDOWN((('Price 120 UAH - 6 pallets'!$B$14/'Price 120 UAH - 6 pallets'!$E$14*D64/(1+'Price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0.31</v>
      </c>
      <c r="H64" s="217">
        <f>(G64*'Model 6 pallets'!$D$3+('Price 120 UAH - 6 pallets'!$E$16+'Price 120 UAH - 6 pallets'!$F$16+'Price 120 UAH - 6 pallets'!$G$16)/('Price 120 UAH - 6 pallets'!$C$18*'Price 120 UAH - 6 pallets'!$D$18)*'Model 6 pallets'!$D$3+(G64+'Price 120 UAH - 6 pallets'!$E$16*'Price 120 UAH - 6 pallets'!$B$18/('Price 120 UAH - 6 pallets'!$C$18*'Price 120 UAH - 6 pallets'!$D$18))*'Price 120 UAH - 6 pallets'!$D$16*'Model 6 pallets'!$D$3+(G64+'Price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42.220980000000004</v>
      </c>
      <c r="I64" s="218">
        <f>H64/D64*'Model 6 pallets'!$D$6</f>
        <v>118.218744</v>
      </c>
      <c r="J64" s="209">
        <f>I64-E64</f>
        <v>-64.68033599999994</v>
      </c>
      <c r="K64" s="210">
        <f>J64/E64</f>
        <v>-0.3536394824949363</v>
      </c>
      <c r="L64" s="209">
        <f>I64-F64</f>
        <v>-92.81865600000002</v>
      </c>
      <c r="M64" s="210">
        <f>L64/F64</f>
        <v>-0.43982088482894505</v>
      </c>
    </row>
    <row r="65" ht="28" customHeight="1" s="71">
      <c r="B65" s="211" t="n">
        <v>0.1</v>
      </c>
      <c r="C65" s="212" t="str">
        <f>IF(ABS(B65-'Price 120 UAH - 6 pallets'!$C$14)&lt;0.01,"◄ ≈ current","")</f>
        <v/>
      </c>
      <c r="D65" s="213">
        <f>1-'Model 6 pallets'!$D$4-B65</f>
        <v>0.55</v>
      </c>
      <c r="E65" s="214">
        <f>'Model 6 pallets'!$F$13/D65*'Model 6 pallets'!$D$6</f>
        <v>166.27189090909084</v>
      </c>
      <c r="F65" s="215">
        <f>'Model 6 pallets'!$F$11/D65*'Model 6 pallets'!$D$6</f>
        <v>191.8521818181818</v>
      </c>
      <c r="G65" s="216">
        <f>ROUNDDOWN((('Price 120 UAH - 6 pallets'!$B$14/'Price 120 UAH - 6 pallets'!$E$14*D65/(1+'Price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0.37</v>
      </c>
      <c r="H65" s="217">
        <f>(G65*'Model 6 pallets'!$D$3+('Price 120 UAH - 6 pallets'!$E$16+'Price 120 UAH - 6 pallets'!$F$16+'Price 120 UAH - 6 pallets'!$G$16)/('Price 120 UAH - 6 pallets'!$C$18*'Price 120 UAH - 6 pallets'!$D$18)*'Model 6 pallets'!$D$3+(G65+'Price 120 UAH - 6 pallets'!$E$16*'Price 120 UAH - 6 pallets'!$B$18/('Price 120 UAH - 6 pallets'!$C$18*'Price 120 UAH - 6 pallets'!$D$18))*'Price 120 UAH - 6 pallets'!$D$16*'Model 6 pallets'!$D$3+(G65+'Price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46.47186</v>
      </c>
      <c r="I65" s="218">
        <f>H65/D65*'Model 6 pallets'!$D$6</f>
        <v>118.29200727272726</v>
      </c>
      <c r="J65" s="209">
        <f>I65-E65</f>
        <v>-47.97988363636358</v>
      </c>
      <c r="K65" s="210">
        <f>J65/E65</f>
        <v>-0.2885628074236347</v>
      </c>
      <c r="L65" s="209">
        <f>I65-F65</f>
        <v>-73.56017454545454</v>
      </c>
      <c r="M65" s="210">
        <f>L65/F65</f>
        <v>-0.3834210997671503</v>
      </c>
    </row>
  </sheetData>
  <mergeCells count="74">
    <mergeCell ref="U9:Y9"/>
    <mergeCell ref="B7:C7"/>
    <mergeCell ref="B25:C25"/>
    <mergeCell ref="B3:C3"/>
    <mergeCell ref="D34:E34"/>
    <mergeCell ref="K44:P44"/>
    <mergeCell ref="B22:C22"/>
    <mergeCell ref="D22:E22"/>
    <mergeCell ref="B31:C31"/>
    <mergeCell ref="B57:M57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G58:I58"/>
    <mergeCell ref="J58:M58"/>
    <mergeCell ref="B43:R43"/>
    <mergeCell ref="E3:K3"/>
    <mergeCell ref="D27:E27"/>
    <mergeCell ref="B23:C23"/>
    <mergeCell ref="D32:E32"/>
    <mergeCell ref="B42:R42"/>
    <mergeCell ref="E44:J44"/>
    <mergeCell ref="B8:C8"/>
    <mergeCell ref="E9:F9"/>
    <mergeCell ref="E5:K5"/>
    <mergeCell ref="B38:C38"/>
    <mergeCell ref="E8:K8"/>
    <mergeCell ref="B29:C29"/>
    <mergeCell ref="B53:R53"/>
    <mergeCell ref="E58:F58"/>
    <mergeCell ref="B37:C37"/>
    <mergeCell ref="B34:C34"/>
    <mergeCell ref="B28:C28"/>
    <mergeCell ref="D37:E37"/>
    <mergeCell ref="E4:K4"/>
    <mergeCell ref="D28:E28"/>
    <mergeCell ref="Q44:R44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56:M56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L85" evalError="1" formula="1" formulaRange="1" unlockedFormula="1" numberStoredAsText="1" emptyCellReference="1" twoDigitTextYear="1" listDataValidation="1" calculatedColumn="1"/>
  </ignoredError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65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  <col width="18" customWidth="1" style="71" min="38" max="38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Landed cost = Self-Cost_Sias (col. AL) × (1 + uplift from G14 on the "Price 120 UAH" sheet).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>
        <f>'Price 120 UAH - 33 pallets'!C14</f>
        <v>0.14375000000000004</v>
      </c>
      <c r="E5" s="68" t="str">
        <f>ROUND(D5*100,0)&amp;"% = (partner price − landed cost − bonus) / full partner price."</f>
        <v>14%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0.50625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− 14% = 51%.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86" t="n">
        <v>0.3</v>
      </c>
      <c r="Q9" s="59" t="n"/>
      <c r="R9" s="59" t="n"/>
      <c r="S9" s="59" t="n"/>
      <c r="T9" s="60" t="n"/>
      <c r="U9" s="187" t="n">
        <v>0.25</v>
      </c>
      <c r="V9" s="59" t="n"/>
      <c r="W9" s="59" t="n"/>
      <c r="X9" s="59" t="n"/>
      <c r="Y9" s="60" t="n"/>
      <c r="Z9" s="186" t="n">
        <v>0.2</v>
      </c>
      <c r="AA9" s="59" t="n"/>
      <c r="AB9" s="59" t="n"/>
      <c r="AC9" s="59" t="n"/>
      <c r="AD9" s="60" t="n"/>
      <c r="AE9" s="187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 incl. uplift,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  <c r="AL10" s="84" t="inlineStr">
        <is>
          <t>Self-Cost source, EUR/pack (before uplift)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>
        <f>AL11*(1+'Price 120 UAH - 33 pallets'!$G$14)</f>
        <v>1.1453975485503278</v>
      </c>
      <c r="F11" s="8">
        <f>IF(AND(ISNUMBER(E11),ISNUMBER($D$8)),E11*$D$3,NA())</f>
        <v>58.64435448577679</v>
      </c>
      <c r="G11" s="9">
        <f>F11/$D$8</f>
        <v>115.84070021881836</v>
      </c>
      <c r="H11" s="10">
        <f>G11*$D$4</f>
        <v>40.54424507658642</v>
      </c>
      <c r="I11" s="11">
        <f>G11-F11-H11</f>
        <v>16.652100656455147</v>
      </c>
      <c r="J11" s="12">
        <f>I11/G11</f>
        <v>0.14375000000000007</v>
      </c>
      <c r="K11" s="13">
        <f>G11*$D$6</f>
        <v>162.17698030634568</v>
      </c>
      <c r="L11" s="14">
        <f>F11/(1-$D$4)</f>
        <v>90.22208382427198</v>
      </c>
      <c r="M11" s="14">
        <f>L11*$D$6</f>
        <v>126.31091735398076</v>
      </c>
      <c r="N11" s="15">
        <f>G11-F11</f>
        <v>57.19634573304157</v>
      </c>
      <c r="O11" s="16">
        <f>N11-H11</f>
        <v>16.652100656455147</v>
      </c>
      <c r="P11" s="40">
        <f>$F11/(1-$D$4-$P$9)</f>
        <v>167.5552985307908</v>
      </c>
      <c r="Q11" s="41">
        <f>P11*$D$4</f>
        <v>58.64435448577677</v>
      </c>
      <c r="R11" s="42">
        <f>P11-$F11-Q11</f>
        <v>50.26658955923723</v>
      </c>
      <c r="S11" s="43">
        <f>R11/P11</f>
        <v>0.3</v>
      </c>
      <c r="T11" s="40">
        <f>P11*$D$6</f>
        <v>234.5774179431071</v>
      </c>
      <c r="U11" s="40">
        <f>$F11/(1-$D$4-$U$9)</f>
        <v>146.61088621444196</v>
      </c>
      <c r="V11" s="41">
        <f>U11*$D$4</f>
        <v>51.313810175054684</v>
      </c>
      <c r="W11" s="42">
        <f>U11-$F11-V11</f>
        <v>36.65272155361049</v>
      </c>
      <c r="X11" s="43">
        <f>W11/U11</f>
        <v>0.25</v>
      </c>
      <c r="Y11" s="40">
        <f>U11*$D$6</f>
        <v>205.25524070021874</v>
      </c>
      <c r="Z11" s="40">
        <f>$F11/(1-$D$4-$Z$9)</f>
        <v>130.32078774617062</v>
      </c>
      <c r="AA11" s="41">
        <f>Z11*$D$4</f>
        <v>45.61227571115972</v>
      </c>
      <c r="AB11" s="42">
        <f>Z11-$F11-AA11</f>
        <v>26.064157549234118</v>
      </c>
      <c r="AC11" s="43">
        <f>AB11/Z11</f>
        <v>0.19999999999999996</v>
      </c>
      <c r="AD11" s="40">
        <f>Z11*$D$6</f>
        <v>182.44910284463887</v>
      </c>
      <c r="AE11" s="40">
        <f>$F11/(1-$D$4-$AE$9)</f>
        <v>117.28870897155358</v>
      </c>
      <c r="AF11" s="41">
        <f>AE11*$D$4</f>
        <v>41.05104814004375</v>
      </c>
      <c r="AG11" s="42">
        <f>AE11-$F11-AF11</f>
        <v>17.59330634573304</v>
      </c>
      <c r="AH11" s="43">
        <f>AG11/AE11</f>
        <v>0.15000000000000005</v>
      </c>
      <c r="AI11" s="40">
        <f>AE11*$D$6</f>
        <v>164.204192560175</v>
      </c>
      <c r="AL11" s="24" t="n">
        <v>1.018131154266958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>
        <f>AL12*(1+'Price 120 UAH - 33 pallets'!$G$14)</f>
        <v>1.1453975485503278</v>
      </c>
      <c r="F12" s="8">
        <f>IF(AND(ISNUMBER(E12),ISNUMBER($D$8)),E12*$D$3,NA())</f>
        <v>58.64435448577679</v>
      </c>
      <c r="G12" s="9">
        <f>F12/$D$8</f>
        <v>115.84070021881836</v>
      </c>
      <c r="H12" s="10">
        <f>G12*$D$4</f>
        <v>40.54424507658642</v>
      </c>
      <c r="I12" s="11">
        <f>G12-F12-H12</f>
        <v>16.652100656455147</v>
      </c>
      <c r="J12" s="12">
        <f>I12/G12</f>
        <v>0.14375000000000007</v>
      </c>
      <c r="K12" s="13">
        <f>G12*$D$6</f>
        <v>162.17698030634568</v>
      </c>
      <c r="L12" s="14">
        <f>F12/(1-$D$4)</f>
        <v>90.22208382427198</v>
      </c>
      <c r="M12" s="14">
        <f>L12*$D$6</f>
        <v>126.31091735398076</v>
      </c>
      <c r="N12" s="15">
        <f>G12-F12</f>
        <v>57.19634573304157</v>
      </c>
      <c r="O12" s="16">
        <f>N12-H12</f>
        <v>16.652100656455147</v>
      </c>
      <c r="P12" s="40">
        <f>$F12/(1-$D$4-$P$9)</f>
        <v>167.5552985307908</v>
      </c>
      <c r="Q12" s="41">
        <f>P12*$D$4</f>
        <v>58.64435448577677</v>
      </c>
      <c r="R12" s="42">
        <f>P12-$F12-Q12</f>
        <v>50.26658955923723</v>
      </c>
      <c r="S12" s="43">
        <f>R12/P12</f>
        <v>0.3</v>
      </c>
      <c r="T12" s="40">
        <f>P12*$D$6</f>
        <v>234.5774179431071</v>
      </c>
      <c r="U12" s="40">
        <f>$F12/(1-$D$4-$U$9)</f>
        <v>146.61088621444196</v>
      </c>
      <c r="V12" s="41">
        <f>U12*$D$4</f>
        <v>51.313810175054684</v>
      </c>
      <c r="W12" s="42">
        <f>U12-$F12-V12</f>
        <v>36.65272155361049</v>
      </c>
      <c r="X12" s="43">
        <f>W12/U12</f>
        <v>0.25</v>
      </c>
      <c r="Y12" s="40">
        <f>U12*$D$6</f>
        <v>205.25524070021874</v>
      </c>
      <c r="Z12" s="40">
        <f>$F12/(1-$D$4-$Z$9)</f>
        <v>130.32078774617062</v>
      </c>
      <c r="AA12" s="41">
        <f>Z12*$D$4</f>
        <v>45.61227571115972</v>
      </c>
      <c r="AB12" s="42">
        <f>Z12-$F12-AA12</f>
        <v>26.064157549234118</v>
      </c>
      <c r="AC12" s="43">
        <f>AB12/Z12</f>
        <v>0.19999999999999996</v>
      </c>
      <c r="AD12" s="40">
        <f>Z12*$D$6</f>
        <v>182.44910284463887</v>
      </c>
      <c r="AE12" s="40">
        <f>$F12/(1-$D$4-$AE$9)</f>
        <v>117.28870897155358</v>
      </c>
      <c r="AF12" s="41">
        <f>AE12*$D$4</f>
        <v>41.05104814004375</v>
      </c>
      <c r="AG12" s="42">
        <f>AE12-$F12-AF12</f>
        <v>17.59330634573304</v>
      </c>
      <c r="AH12" s="43">
        <f>AG12/AE12</f>
        <v>0.15000000000000005</v>
      </c>
      <c r="AI12" s="40">
        <f>AE12*$D$6</f>
        <v>164.204192560175</v>
      </c>
      <c r="AL12" s="24" t="n">
        <v>1.018131154266958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>
        <f>AL13*(1+'Price 120 UAH - 33 pallets'!$G$14)</f>
        <v>0.992677875410285</v>
      </c>
      <c r="F13" s="8">
        <f>IF(AND(ISNUMBER(E13),ISNUMBER($D$8)),E13*$D$3,NA())</f>
        <v>50.82510722100659</v>
      </c>
      <c r="G13" s="9">
        <f>F13/$D$8</f>
        <v>100.39527352297598</v>
      </c>
      <c r="H13" s="10">
        <f>G13*$D$4</f>
        <v>35.13834573304159</v>
      </c>
      <c r="I13" s="11">
        <f>G13-F13-H13</f>
        <v>14.431820568927805</v>
      </c>
      <c r="J13" s="12">
        <f>I13/G13</f>
        <v>0.14375000000000007</v>
      </c>
      <c r="K13" s="13">
        <f>G13*$D$6</f>
        <v>140.55338293216636</v>
      </c>
      <c r="L13" s="14">
        <f>F13/(1-$D$4)</f>
        <v>78.19247264770244</v>
      </c>
      <c r="M13" s="14">
        <f>L13*$D$6</f>
        <v>109.46946170678342</v>
      </c>
      <c r="N13" s="15">
        <f>G13-F13</f>
        <v>49.570166301969394</v>
      </c>
      <c r="O13" s="16">
        <f>N13-H13</f>
        <v>14.431820568927805</v>
      </c>
      <c r="P13" s="40">
        <f>$F13/(1-$D$4-$P$9)</f>
        <v>145.21459206001882</v>
      </c>
      <c r="Q13" s="41">
        <f>P13*$D$4</f>
        <v>50.82510722100658</v>
      </c>
      <c r="R13" s="42">
        <f>P13-$F13-Q13</f>
        <v>43.56437761800564</v>
      </c>
      <c r="S13" s="43">
        <f>R13/P13</f>
        <v>0.3</v>
      </c>
      <c r="T13" s="40">
        <f>P13*$D$6</f>
        <v>203.30042888402633</v>
      </c>
      <c r="U13" s="40">
        <f>$F13/(1-$D$4-$U$9)</f>
        <v>127.06276805251647</v>
      </c>
      <c r="V13" s="41">
        <f>U13*$D$4</f>
        <v>44.471968818380766</v>
      </c>
      <c r="W13" s="42">
        <f>U13-$F13-V13</f>
        <v>31.76569201312912</v>
      </c>
      <c r="X13" s="43">
        <f>W13/U13</f>
        <v>0.25</v>
      </c>
      <c r="Y13" s="40">
        <f>U13*$D$6</f>
        <v>177.88787527352306</v>
      </c>
      <c r="Z13" s="40">
        <f>$F13/(1-$D$4-$Z$9)</f>
        <v>112.94468271334797</v>
      </c>
      <c r="AA13" s="41">
        <f>Z13*$D$4</f>
        <v>39.53063894967179</v>
      </c>
      <c r="AB13" s="42">
        <f>Z13-$F13-AA13</f>
        <v>22.588936542669593</v>
      </c>
      <c r="AC13" s="43">
        <f>AB13/Z13</f>
        <v>0.19999999999999998</v>
      </c>
      <c r="AD13" s="40">
        <f>Z13*$D$6</f>
        <v>158.12255579868716</v>
      </c>
      <c r="AE13" s="40">
        <f>$F13/(1-$D$4-$AE$9)</f>
        <v>101.65021444201318</v>
      </c>
      <c r="AF13" s="41">
        <f>AE13*$D$4</f>
        <v>35.57757505470461</v>
      </c>
      <c r="AG13" s="42">
        <f>AE13-$F13-AF13</f>
        <v>15.24753216630198</v>
      </c>
      <c r="AH13" s="43">
        <f>AG13/AE13</f>
        <v>0.15000000000000002</v>
      </c>
      <c r="AI13" s="40">
        <f>AE13*$D$6</f>
        <v>142.31030021881844</v>
      </c>
      <c r="AL13" s="24" t="n">
        <v>0.8823803336980306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>
        <f>AL14*(1+'Price 120 UAH - 33 pallets'!$G$14)</f>
        <v>0.992677875410285</v>
      </c>
      <c r="F14" s="8">
        <f>IF(AND(ISNUMBER(E14),ISNUMBER($D$8)),E14*$D$3,NA())</f>
        <v>50.82510722100659</v>
      </c>
      <c r="G14" s="9">
        <f>F14/$D$8</f>
        <v>100.39527352297598</v>
      </c>
      <c r="H14" s="10">
        <f>G14*$D$4</f>
        <v>35.13834573304159</v>
      </c>
      <c r="I14" s="11">
        <f>G14-F14-H14</f>
        <v>14.431820568927805</v>
      </c>
      <c r="J14" s="12">
        <f>I14/G14</f>
        <v>0.14375000000000007</v>
      </c>
      <c r="K14" s="13">
        <f>G14*$D$6</f>
        <v>140.55338293216636</v>
      </c>
      <c r="L14" s="14">
        <f>F14/(1-$D$4)</f>
        <v>78.19247264770244</v>
      </c>
      <c r="M14" s="14">
        <f>L14*$D$6</f>
        <v>109.46946170678342</v>
      </c>
      <c r="N14" s="15">
        <f>G14-F14</f>
        <v>49.570166301969394</v>
      </c>
      <c r="O14" s="16">
        <f>N14-H14</f>
        <v>14.431820568927805</v>
      </c>
      <c r="P14" s="40">
        <f>$F14/(1-$D$4-$P$9)</f>
        <v>145.21459206001882</v>
      </c>
      <c r="Q14" s="41">
        <f>P14*$D$4</f>
        <v>50.82510722100658</v>
      </c>
      <c r="R14" s="42">
        <f>P14-$F14-Q14</f>
        <v>43.56437761800564</v>
      </c>
      <c r="S14" s="43">
        <f>R14/P14</f>
        <v>0.3</v>
      </c>
      <c r="T14" s="40">
        <f>P14*$D$6</f>
        <v>203.30042888402633</v>
      </c>
      <c r="U14" s="40">
        <f>$F14/(1-$D$4-$U$9)</f>
        <v>127.06276805251647</v>
      </c>
      <c r="V14" s="41">
        <f>U14*$D$4</f>
        <v>44.471968818380766</v>
      </c>
      <c r="W14" s="42">
        <f>U14-$F14-V14</f>
        <v>31.76569201312912</v>
      </c>
      <c r="X14" s="43">
        <f>W14/U14</f>
        <v>0.25</v>
      </c>
      <c r="Y14" s="40">
        <f>U14*$D$6</f>
        <v>177.88787527352306</v>
      </c>
      <c r="Z14" s="40">
        <f>$F14/(1-$D$4-$Z$9)</f>
        <v>112.94468271334797</v>
      </c>
      <c r="AA14" s="41">
        <f>Z14*$D$4</f>
        <v>39.53063894967179</v>
      </c>
      <c r="AB14" s="42">
        <f>Z14-$F14-AA14</f>
        <v>22.588936542669593</v>
      </c>
      <c r="AC14" s="43">
        <f>AB14/Z14</f>
        <v>0.19999999999999998</v>
      </c>
      <c r="AD14" s="40">
        <f>Z14*$D$6</f>
        <v>158.12255579868716</v>
      </c>
      <c r="AE14" s="40">
        <f>$F14/(1-$D$4-$AE$9)</f>
        <v>101.65021444201318</v>
      </c>
      <c r="AF14" s="41">
        <f>AE14*$D$4</f>
        <v>35.57757505470461</v>
      </c>
      <c r="AG14" s="42">
        <f>AE14-$F14-AF14</f>
        <v>15.24753216630198</v>
      </c>
      <c r="AH14" s="43">
        <f>AG14/AE14</f>
        <v>0.15000000000000002</v>
      </c>
      <c r="AI14" s="40">
        <f>AE14*$D$6</f>
        <v>142.31030021881844</v>
      </c>
      <c r="AL14" s="24" t="n">
        <v>0.8823803336980306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>
        <f>AL15*(1+'Price 120 UAH - 33 pallets'!$G$14)</f>
        <v>0.992677875410285</v>
      </c>
      <c r="F15" s="8">
        <f>IF(AND(ISNUMBER(E15),ISNUMBER($D$8)),E15*$D$3,NA())</f>
        <v>50.82510722100659</v>
      </c>
      <c r="G15" s="9">
        <f>F15/$D$8</f>
        <v>100.39527352297598</v>
      </c>
      <c r="H15" s="10">
        <f>G15*$D$4</f>
        <v>35.13834573304159</v>
      </c>
      <c r="I15" s="11">
        <f>G15-F15-H15</f>
        <v>14.431820568927805</v>
      </c>
      <c r="J15" s="12">
        <f>I15/G15</f>
        <v>0.14375000000000007</v>
      </c>
      <c r="K15" s="13">
        <f>G15*$D$6</f>
        <v>140.55338293216636</v>
      </c>
      <c r="L15" s="14">
        <f>F15/(1-$D$4)</f>
        <v>78.19247264770244</v>
      </c>
      <c r="M15" s="14">
        <f>L15*$D$6</f>
        <v>109.46946170678342</v>
      </c>
      <c r="N15" s="15">
        <f>G15-F15</f>
        <v>49.570166301969394</v>
      </c>
      <c r="O15" s="16">
        <f>N15-H15</f>
        <v>14.431820568927805</v>
      </c>
      <c r="P15" s="40">
        <f>$F15/(1-$D$4-$P$9)</f>
        <v>145.21459206001882</v>
      </c>
      <c r="Q15" s="41">
        <f>P15*$D$4</f>
        <v>50.82510722100658</v>
      </c>
      <c r="R15" s="42">
        <f>P15-$F15-Q15</f>
        <v>43.56437761800564</v>
      </c>
      <c r="S15" s="43">
        <f>R15/P15</f>
        <v>0.3</v>
      </c>
      <c r="T15" s="40">
        <f>P15*$D$6</f>
        <v>203.30042888402633</v>
      </c>
      <c r="U15" s="40">
        <f>$F15/(1-$D$4-$U$9)</f>
        <v>127.06276805251647</v>
      </c>
      <c r="V15" s="41">
        <f>U15*$D$4</f>
        <v>44.471968818380766</v>
      </c>
      <c r="W15" s="42">
        <f>U15-$F15-V15</f>
        <v>31.76569201312912</v>
      </c>
      <c r="X15" s="43">
        <f>W15/U15</f>
        <v>0.25</v>
      </c>
      <c r="Y15" s="40">
        <f>U15*$D$6</f>
        <v>177.88787527352306</v>
      </c>
      <c r="Z15" s="40">
        <f>$F15/(1-$D$4-$Z$9)</f>
        <v>112.94468271334797</v>
      </c>
      <c r="AA15" s="41">
        <f>Z15*$D$4</f>
        <v>39.53063894967179</v>
      </c>
      <c r="AB15" s="42">
        <f>Z15-$F15-AA15</f>
        <v>22.588936542669593</v>
      </c>
      <c r="AC15" s="43">
        <f>AB15/Z15</f>
        <v>0.19999999999999998</v>
      </c>
      <c r="AD15" s="40">
        <f>Z15*$D$6</f>
        <v>158.12255579868716</v>
      </c>
      <c r="AE15" s="40">
        <f>$F15/(1-$D$4-$AE$9)</f>
        <v>101.65021444201318</v>
      </c>
      <c r="AF15" s="41">
        <f>AE15*$D$4</f>
        <v>35.57757505470461</v>
      </c>
      <c r="AG15" s="42">
        <f>AE15-$F15-AF15</f>
        <v>15.24753216630198</v>
      </c>
      <c r="AH15" s="43">
        <f>AG15/AE15</f>
        <v>0.15000000000000002</v>
      </c>
      <c r="AI15" s="40">
        <f>AE15*$D$6</f>
        <v>142.31030021881844</v>
      </c>
      <c r="AL15" s="24" t="n">
        <v>0.8823803336980306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>
        <f>AL16*(1+'Price 120 UAH - 33 pallets'!$G$14)</f>
        <v>0.992677875410285</v>
      </c>
      <c r="F16" s="8">
        <f>IF(AND(ISNUMBER(E16),ISNUMBER($D$8)),E16*$D$3,NA())</f>
        <v>50.82510722100659</v>
      </c>
      <c r="G16" s="9">
        <f>F16/$D$8</f>
        <v>100.39527352297598</v>
      </c>
      <c r="H16" s="10">
        <f>G16*$D$4</f>
        <v>35.13834573304159</v>
      </c>
      <c r="I16" s="11">
        <f>G16-F16-H16</f>
        <v>14.431820568927805</v>
      </c>
      <c r="J16" s="12">
        <f>I16/G16</f>
        <v>0.14375000000000007</v>
      </c>
      <c r="K16" s="13">
        <f>G16*$D$6</f>
        <v>140.55338293216636</v>
      </c>
      <c r="L16" s="14">
        <f>F16/(1-$D$4)</f>
        <v>78.19247264770244</v>
      </c>
      <c r="M16" s="14">
        <f>L16*$D$6</f>
        <v>109.46946170678342</v>
      </c>
      <c r="N16" s="15">
        <f>G16-F16</f>
        <v>49.570166301969394</v>
      </c>
      <c r="O16" s="16">
        <f>N16-H16</f>
        <v>14.431820568927805</v>
      </c>
      <c r="P16" s="40">
        <f>$F16/(1-$D$4-$P$9)</f>
        <v>145.21459206001882</v>
      </c>
      <c r="Q16" s="41">
        <f>P16*$D$4</f>
        <v>50.82510722100658</v>
      </c>
      <c r="R16" s="42">
        <f>P16-$F16-Q16</f>
        <v>43.56437761800564</v>
      </c>
      <c r="S16" s="43">
        <f>R16/P16</f>
        <v>0.3</v>
      </c>
      <c r="T16" s="40">
        <f>P16*$D$6</f>
        <v>203.30042888402633</v>
      </c>
      <c r="U16" s="40">
        <f>$F16/(1-$D$4-$U$9)</f>
        <v>127.06276805251647</v>
      </c>
      <c r="V16" s="41">
        <f>U16*$D$4</f>
        <v>44.471968818380766</v>
      </c>
      <c r="W16" s="42">
        <f>U16-$F16-V16</f>
        <v>31.76569201312912</v>
      </c>
      <c r="X16" s="43">
        <f>W16/U16</f>
        <v>0.25</v>
      </c>
      <c r="Y16" s="40">
        <f>U16*$D$6</f>
        <v>177.88787527352306</v>
      </c>
      <c r="Z16" s="40">
        <f>$F16/(1-$D$4-$Z$9)</f>
        <v>112.94468271334797</v>
      </c>
      <c r="AA16" s="41">
        <f>Z16*$D$4</f>
        <v>39.53063894967179</v>
      </c>
      <c r="AB16" s="42">
        <f>Z16-$F16-AA16</f>
        <v>22.588936542669593</v>
      </c>
      <c r="AC16" s="43">
        <f>AB16/Z16</f>
        <v>0.19999999999999998</v>
      </c>
      <c r="AD16" s="40">
        <f>Z16*$D$6</f>
        <v>158.12255579868716</v>
      </c>
      <c r="AE16" s="40">
        <f>$F16/(1-$D$4-$AE$9)</f>
        <v>101.65021444201318</v>
      </c>
      <c r="AF16" s="41">
        <f>AE16*$D$4</f>
        <v>35.57757505470461</v>
      </c>
      <c r="AG16" s="42">
        <f>AE16-$F16-AF16</f>
        <v>15.24753216630198</v>
      </c>
      <c r="AH16" s="43">
        <f>AG16/AE16</f>
        <v>0.15000000000000002</v>
      </c>
      <c r="AI16" s="40">
        <f>AE16*$D$6</f>
        <v>142.31030021881844</v>
      </c>
      <c r="AL16" s="24" t="n">
        <v>0.8823803336980306</v>
      </c>
    </row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1.1453975485503278</v>
      </c>
      <c r="G22" s="29">
        <f>E12</f>
        <v>1.1453975485503278</v>
      </c>
      <c r="H22" s="29">
        <f>E13</f>
        <v>0.992677875410285</v>
      </c>
      <c r="I22" s="29">
        <f>E14</f>
        <v>0.992677875410285</v>
      </c>
      <c r="J22" s="29">
        <f>E15</f>
        <v>0.992677875410285</v>
      </c>
      <c r="K22" s="29">
        <f>E16</f>
        <v>0.992677875410285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58.64435448577679</v>
      </c>
      <c r="G24" s="31">
        <f>F12</f>
        <v>58.64435448577679</v>
      </c>
      <c r="H24" s="31">
        <f>F13</f>
        <v>50.82510722100659</v>
      </c>
      <c r="I24" s="31">
        <f>F14</f>
        <v>50.82510722100659</v>
      </c>
      <c r="J24" s="31">
        <f>F15</f>
        <v>50.82510722100659</v>
      </c>
      <c r="K24" s="31">
        <f>F16</f>
        <v>50.82510722100659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0.14375000000000004</v>
      </c>
      <c r="G28" s="32">
        <f>$D$5</f>
        <v>0.14375000000000004</v>
      </c>
      <c r="H28" s="32">
        <f>$D$5</f>
        <v>0.14375000000000004</v>
      </c>
      <c r="I28" s="32">
        <f>$D$5</f>
        <v>0.14375000000000004</v>
      </c>
      <c r="J28" s="32">
        <f>$D$5</f>
        <v>0.14375000000000004</v>
      </c>
      <c r="K28" s="32">
        <f>$D$5</f>
        <v>0.14375000000000004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0.50625</v>
      </c>
      <c r="G29" s="32">
        <f>$D$8</f>
        <v>0.50625</v>
      </c>
      <c r="H29" s="32">
        <f>$D$8</f>
        <v>0.50625</v>
      </c>
      <c r="I29" s="32">
        <f>$D$8</f>
        <v>0.50625</v>
      </c>
      <c r="J29" s="32">
        <f>$D$8</f>
        <v>0.50625</v>
      </c>
      <c r="K29" s="32">
        <f>$D$8</f>
        <v>0.50625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115.84070021881836</v>
      </c>
      <c r="G30" s="34">
        <f>G12</f>
        <v>115.84070021881836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57.19634573304157</v>
      </c>
      <c r="G31" s="31">
        <f>N12</f>
        <v>57.19634573304157</v>
      </c>
      <c r="H31" s="31">
        <f>N13</f>
        <v>49.570166301969394</v>
      </c>
      <c r="I31" s="31">
        <f>N14</f>
        <v>49.570166301969394</v>
      </c>
      <c r="J31" s="31">
        <f>N15</f>
        <v>49.570166301969394</v>
      </c>
      <c r="K31" s="31">
        <f>N16</f>
        <v>49.570166301969394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40.54424507658642</v>
      </c>
      <c r="G32" s="31">
        <f>H12</f>
        <v>40.54424507658642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16.652100656455147</v>
      </c>
      <c r="G33" s="36">
        <f>I12</f>
        <v>16.652100656455147</v>
      </c>
      <c r="H33" s="36">
        <f>I13</f>
        <v>14.431820568927805</v>
      </c>
      <c r="I33" s="36">
        <f>I14</f>
        <v>14.431820568927805</v>
      </c>
      <c r="J33" s="36">
        <f>I15</f>
        <v>14.431820568927805</v>
      </c>
      <c r="K33" s="36">
        <f>I16</f>
        <v>14.431820568927805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0.14375000000000007</v>
      </c>
      <c r="G34" s="37">
        <f>J12</f>
        <v>0.14375000000000007</v>
      </c>
      <c r="H34" s="37">
        <f>J13</f>
        <v>0.14375000000000007</v>
      </c>
      <c r="I34" s="37">
        <f>J14</f>
        <v>0.14375000000000007</v>
      </c>
      <c r="J34" s="37">
        <f>J15</f>
        <v>0.14375000000000007</v>
      </c>
      <c r="K34" s="37">
        <f>J16</f>
        <v>0.14375000000000007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162.17698030634568</v>
      </c>
      <c r="G37" s="34">
        <f>K12</f>
        <v>162.17698030634568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90.22208382427198</v>
      </c>
      <c r="G38" s="31">
        <f>L12</f>
        <v>90.22208382427198</v>
      </c>
      <c r="H38" s="31">
        <f>L13</f>
        <v>78.19247264770244</v>
      </c>
      <c r="I38" s="31">
        <f>L14</f>
        <v>78.19247264770244</v>
      </c>
      <c r="J38" s="31">
        <f>L15</f>
        <v>78.19247264770244</v>
      </c>
      <c r="K38" s="31">
        <f>L16</f>
        <v>78.19247264770244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126.31091735398076</v>
      </c>
      <c r="G39" s="31">
        <f>M12</f>
        <v>126.31091735398076</v>
      </c>
      <c r="H39" s="31">
        <f>M13</f>
        <v>109.46946170678342</v>
      </c>
      <c r="I39" s="31">
        <f>M14</f>
        <v>109.46946170678342</v>
      </c>
      <c r="J39" s="31">
        <f>M15</f>
        <v>109.46946170678342</v>
      </c>
      <c r="K39" s="31">
        <f>M16</f>
        <v>109.46946170678342</v>
      </c>
    </row>
    <row r="42" ht="26" customHeight="1" s="71">
      <c r="B42" s="188" t="inlineStr">
        <is>
          <t>BEFORE → AFTER · shelf price at the current purchase price and at the SIAS request</t>
        </is>
      </c>
    </row>
    <row r="43" ht="20" customHeight="1" s="71">
      <c r="B43" s="189" t="str">
        <f>"Chain bonus "&amp;ROUND('Price 120 UAH - 33 pallets'!D14*100,0)&amp;" % · margin "&amp;ROUND('Price 120 UAH - 33 pallets'!C14*100,0)&amp;" % · markup ×"&amp;'Price 120 UAH - 33 pallets'!E14</f>
        <v>Chain bonus 35 % · margin 14 % · markup ×1.4</v>
      </c>
    </row>
    <row r="44" ht="26" customHeight="1" s="71">
      <c r="E44" s="190" t="inlineStr">
        <is>
          <t>BEFORE · current SIAS purchase price</t>
        </is>
      </c>
      <c r="F44" s="207" t="n"/>
      <c r="G44" s="207" t="n"/>
      <c r="H44" s="207" t="n"/>
      <c r="I44" s="207" t="n"/>
      <c r="J44" s="208" t="n"/>
      <c r="K44" s="191" t="inlineStr">
        <is>
          <t>AFTER · SIAS request (one price for all 6 SKUs)</t>
        </is>
      </c>
      <c r="L44" s="207" t="n"/>
      <c r="M44" s="207" t="n"/>
      <c r="N44" s="207" t="n"/>
      <c r="O44" s="207" t="n"/>
      <c r="P44" s="208" t="n"/>
      <c r="Q44" s="192" t="inlineStr">
        <is>
          <t>CHANGE</t>
        </is>
      </c>
      <c r="R44" s="208" t="n"/>
    </row>
    <row r="45" ht="42" customHeight="1" s="71">
      <c r="A45" s="193" t="inlineStr">
        <is>
          <t>#</t>
        </is>
      </c>
      <c r="B45" s="193" t="inlineStr">
        <is>
          <t>Item</t>
        </is>
      </c>
      <c r="C45" s="193" t="inlineStr">
        <is>
          <t>SIAS purchase: before → after</t>
        </is>
      </c>
      <c r="D45" s="193" t="inlineStr">
        <is>
          <t>Weight, g</t>
        </is>
      </c>
      <c r="E45" s="194" t="inlineStr">
        <is>
          <t>Purchase, €/pack</t>
        </is>
      </c>
      <c r="F45" s="194" t="inlineStr">
        <is>
          <t>Landed cost, ₴/pack</t>
        </is>
      </c>
      <c r="G45" s="194" t="inlineStr">
        <is>
          <t>Partner price, ₴</t>
        </is>
      </c>
      <c r="H45" s="194" t="inlineStr">
        <is>
          <t>Chain bonus, ₴</t>
        </is>
      </c>
      <c r="I45" s="194" t="inlineStr">
        <is>
          <t>Left after bonus, ₴</t>
        </is>
      </c>
      <c r="J45" s="194" t="inlineStr">
        <is>
          <t>Shelf price incl. VAT, ₴</t>
        </is>
      </c>
      <c r="K45" s="195" t="inlineStr">
        <is>
          <t>Purchase, €/pack</t>
        </is>
      </c>
      <c r="L45" s="195" t="inlineStr">
        <is>
          <t>Landed cost, ₴/pack</t>
        </is>
      </c>
      <c r="M45" s="195" t="inlineStr">
        <is>
          <t>Partner price, ₴</t>
        </is>
      </c>
      <c r="N45" s="195" t="inlineStr">
        <is>
          <t>Chain bonus, ₴</t>
        </is>
      </c>
      <c r="O45" s="195" t="inlineStr">
        <is>
          <t>Left after bonus, ₴</t>
        </is>
      </c>
      <c r="P45" s="195" t="inlineStr">
        <is>
          <t>Shelf price incl. VAT, ₴</t>
        </is>
      </c>
      <c r="Q45" s="196" t="inlineStr">
        <is>
          <t>Δ shelf, ₴</t>
        </is>
      </c>
      <c r="R45" s="196" t="inlineStr">
        <is>
          <t>Δ shelf, %</t>
        </is>
      </c>
    </row>
    <row r="46" ht="30" customHeight="1" s="71">
      <c r="A46" s="197">
        <f>A11</f>
        <v>1</v>
      </c>
      <c r="B46" s="198" t="str">
        <f>C11</f>
        <v>Gouda Cheese 123 g</v>
      </c>
      <c r="C46" s="197" t="str">
        <f>"€"&amp;ROUND(E46,2)&amp;" → €"&amp;ROUND(K46,2)</f>
        <v>€0.75 → €0.54</v>
      </c>
      <c r="D46" s="197">
        <f>D11</f>
        <v>123</v>
      </c>
      <c r="E46" s="199">
        <f>'Price 120 UAH - 33 pallets'!$B$7</f>
        <v>0.75</v>
      </c>
      <c r="F46" s="200">
        <f>F11</f>
        <v>58.64435448577679</v>
      </c>
      <c r="G46" s="200">
        <f>G11</f>
        <v>115.84070021881836</v>
      </c>
      <c r="H46" s="200">
        <f>H11</f>
        <v>40.54424507658642</v>
      </c>
      <c r="I46" s="200">
        <f>I11</f>
        <v>16.652100656455147</v>
      </c>
      <c r="J46" s="201">
        <f>K11</f>
        <v>162.17698030634568</v>
      </c>
      <c r="K46" s="202">
        <f>'Price 120 UAH - 33 pallets'!$B$19</f>
        <v>0.54</v>
      </c>
      <c r="L46" s="203">
        <f>'Price 120 UAH - 33 pallets'!$C$8</f>
        <v>43.34341090909091</v>
      </c>
      <c r="M46" s="203">
        <f>L46/(1-$D$4-$D$5)</f>
        <v>85.61661414141415</v>
      </c>
      <c r="N46" s="203">
        <f>M46*$D$4</f>
        <v>29.96581494949495</v>
      </c>
      <c r="O46" s="203">
        <f>M46-L46-N46</f>
        <v>12.307388282828285</v>
      </c>
      <c r="P46" s="204">
        <f>M46*$D$6</f>
        <v>119.8632597979798</v>
      </c>
      <c r="Q46" s="209">
        <f>P46-J46</f>
        <v>-42.31372050836589</v>
      </c>
      <c r="R46" s="210">
        <f>Q46/J46</f>
        <v>-0.26091076815240366</v>
      </c>
    </row>
    <row r="47" ht="30" customHeight="1" s="71">
      <c r="A47" s="197">
        <f>A12</f>
        <v>2</v>
      </c>
      <c r="B47" s="198" t="str">
        <f>C12</f>
        <v>Carbonara Spicy 131 g</v>
      </c>
      <c r="C47" s="197" t="str">
        <f>"€"&amp;ROUND(E47,2)&amp;" → €"&amp;ROUND(K47,2)</f>
        <v>€0.75 → €0.54</v>
      </c>
      <c r="D47" s="197">
        <f>D12</f>
        <v>131</v>
      </c>
      <c r="E47" s="199">
        <f>'Price 120 UAH - 33 pallets'!$B$7</f>
        <v>0.75</v>
      </c>
      <c r="F47" s="200">
        <f>F12</f>
        <v>58.64435448577679</v>
      </c>
      <c r="G47" s="200">
        <f>G12</f>
        <v>115.84070021881836</v>
      </c>
      <c r="H47" s="200">
        <f>H12</f>
        <v>40.54424507658642</v>
      </c>
      <c r="I47" s="200">
        <f>I12</f>
        <v>16.652100656455147</v>
      </c>
      <c r="J47" s="201">
        <f>K12</f>
        <v>162.17698030634568</v>
      </c>
      <c r="K47" s="202">
        <f>'Price 120 UAH - 33 pallets'!$B$19</f>
        <v>0.54</v>
      </c>
      <c r="L47" s="203">
        <f>'Price 120 UAH - 33 pallets'!$C$8</f>
        <v>43.34341090909091</v>
      </c>
      <c r="M47" s="203">
        <f>L47/(1-$D$4-$D$5)</f>
        <v>85.61661414141415</v>
      </c>
      <c r="N47" s="203">
        <f>M47*$D$4</f>
        <v>29.96581494949495</v>
      </c>
      <c r="O47" s="203">
        <f>M47-L47-N47</f>
        <v>12.307388282828285</v>
      </c>
      <c r="P47" s="204">
        <f>M47*$D$6</f>
        <v>119.8632597979798</v>
      </c>
      <c r="Q47" s="209">
        <f>P47-J47</f>
        <v>-42.31372050836589</v>
      </c>
      <c r="R47" s="210">
        <f>Q47/J47</f>
        <v>-0.26091076815240366</v>
      </c>
    </row>
    <row r="48" ht="30" customHeight="1" s="71">
      <c r="A48" s="197">
        <f>A13</f>
        <v>3</v>
      </c>
      <c r="B48" s="198" t="str">
        <f>C13</f>
        <v>Vegetable Flavor 113 g</v>
      </c>
      <c r="C48" s="197" t="str">
        <f>"€"&amp;ROUND(E48,2)&amp;" → €"&amp;ROUND(K48,2)</f>
        <v>€0.65 → €0.54</v>
      </c>
      <c r="D48" s="197">
        <f>D13</f>
        <v>113</v>
      </c>
      <c r="E48" s="199">
        <f>'Price 120 UAH - 33 pallets'!$B$5</f>
        <v>0.65</v>
      </c>
      <c r="F48" s="200">
        <f>F13</f>
        <v>50.82510722100659</v>
      </c>
      <c r="G48" s="200">
        <f>G13</f>
        <v>100.39527352297598</v>
      </c>
      <c r="H48" s="200">
        <f>H13</f>
        <v>35.13834573304159</v>
      </c>
      <c r="I48" s="200">
        <f>I13</f>
        <v>14.431820568927805</v>
      </c>
      <c r="J48" s="201">
        <f>K13</f>
        <v>140.55338293216636</v>
      </c>
      <c r="K48" s="202">
        <f>'Price 120 UAH - 33 pallets'!$B$19</f>
        <v>0.54</v>
      </c>
      <c r="L48" s="203">
        <f>'Price 120 UAH - 33 pallets'!$C$8</f>
        <v>43.34341090909091</v>
      </c>
      <c r="M48" s="203">
        <f>L48/(1-$D$4-$D$5)</f>
        <v>85.61661414141415</v>
      </c>
      <c r="N48" s="203">
        <f>M48*$D$4</f>
        <v>29.96581494949495</v>
      </c>
      <c r="O48" s="203">
        <f>M48-L48-N48</f>
        <v>12.307388282828285</v>
      </c>
      <c r="P48" s="204">
        <f>M48*$D$6</f>
        <v>119.8632597979798</v>
      </c>
      <c r="Q48" s="209">
        <f>P48-J48</f>
        <v>-20.690123134186564</v>
      </c>
      <c r="R48" s="210">
        <f>Q48/J48</f>
        <v>-0.14720473248354327</v>
      </c>
    </row>
    <row r="49" ht="30" customHeight="1" s="71">
      <c r="A49" s="197">
        <f>A14</f>
        <v>4</v>
      </c>
      <c r="B49" s="198" t="str">
        <f>C14</f>
        <v>Spicy Flavor 112.5 g</v>
      </c>
      <c r="C49" s="197" t="str">
        <f>"€"&amp;ROUND(E49,2)&amp;" → €"&amp;ROUND(K49,2)</f>
        <v>€0.65 → €0.54</v>
      </c>
      <c r="D49" s="197">
        <f>D14</f>
        <v>112.5</v>
      </c>
      <c r="E49" s="199">
        <f>'Price 120 UAH - 33 pallets'!$B$5</f>
        <v>0.65</v>
      </c>
      <c r="F49" s="200">
        <f>F14</f>
        <v>50.82510722100659</v>
      </c>
      <c r="G49" s="200">
        <f>G14</f>
        <v>100.39527352297598</v>
      </c>
      <c r="H49" s="200">
        <f>H14</f>
        <v>35.13834573304159</v>
      </c>
      <c r="I49" s="200">
        <f>I14</f>
        <v>14.431820568927805</v>
      </c>
      <c r="J49" s="201">
        <f>K14</f>
        <v>140.55338293216636</v>
      </c>
      <c r="K49" s="202">
        <f>'Price 120 UAH - 33 pallets'!$B$19</f>
        <v>0.54</v>
      </c>
      <c r="L49" s="203">
        <f>'Price 120 UAH - 33 pallets'!$C$8</f>
        <v>43.34341090909091</v>
      </c>
      <c r="M49" s="203">
        <f>L49/(1-$D$4-$D$5)</f>
        <v>85.61661414141415</v>
      </c>
      <c r="N49" s="203">
        <f>M49*$D$4</f>
        <v>29.96581494949495</v>
      </c>
      <c r="O49" s="203">
        <f>M49-L49-N49</f>
        <v>12.307388282828285</v>
      </c>
      <c r="P49" s="204">
        <f>M49*$D$6</f>
        <v>119.8632597979798</v>
      </c>
      <c r="Q49" s="209">
        <f>P49-J49</f>
        <v>-20.690123134186564</v>
      </c>
      <c r="R49" s="210">
        <f>Q49/J49</f>
        <v>-0.14720473248354327</v>
      </c>
    </row>
    <row r="50" ht="30" customHeight="1" s="71">
      <c r="A50" s="197">
        <f>A15</f>
        <v>5</v>
      </c>
      <c r="B50" s="198" t="str">
        <f>C15</f>
        <v>Beef Flavor 113 g</v>
      </c>
      <c r="C50" s="197" t="str">
        <f>"€"&amp;ROUND(E50,2)&amp;" → €"&amp;ROUND(K50,2)</f>
        <v>€0.65 → €0.54</v>
      </c>
      <c r="D50" s="197">
        <f>D15</f>
        <v>113</v>
      </c>
      <c r="E50" s="199">
        <f>'Price 120 UAH - 33 pallets'!$B$5</f>
        <v>0.65</v>
      </c>
      <c r="F50" s="200">
        <f>F15</f>
        <v>50.82510722100659</v>
      </c>
      <c r="G50" s="200">
        <f>G15</f>
        <v>100.39527352297598</v>
      </c>
      <c r="H50" s="200">
        <f>H15</f>
        <v>35.13834573304159</v>
      </c>
      <c r="I50" s="200">
        <f>I15</f>
        <v>14.431820568927805</v>
      </c>
      <c r="J50" s="201">
        <f>K15</f>
        <v>140.55338293216636</v>
      </c>
      <c r="K50" s="202">
        <f>'Price 120 UAH - 33 pallets'!$B$19</f>
        <v>0.54</v>
      </c>
      <c r="L50" s="203">
        <f>'Price 120 UAH - 33 pallets'!$C$8</f>
        <v>43.34341090909091</v>
      </c>
      <c r="M50" s="203">
        <f>L50/(1-$D$4-$D$5)</f>
        <v>85.61661414141415</v>
      </c>
      <c r="N50" s="203">
        <f>M50*$D$4</f>
        <v>29.96581494949495</v>
      </c>
      <c r="O50" s="203">
        <f>M50-L50-N50</f>
        <v>12.307388282828285</v>
      </c>
      <c r="P50" s="204">
        <f>M50*$D$6</f>
        <v>119.8632597979798</v>
      </c>
      <c r="Q50" s="209">
        <f>P50-J50</f>
        <v>-20.690123134186564</v>
      </c>
      <c r="R50" s="210">
        <f>Q50/J50</f>
        <v>-0.14720473248354327</v>
      </c>
    </row>
    <row r="51" ht="30" customHeight="1" s="71">
      <c r="A51" s="197">
        <f>A16</f>
        <v>6</v>
      </c>
      <c r="B51" s="198" t="str">
        <f>C16</f>
        <v>Chicken Flavor 113 g</v>
      </c>
      <c r="C51" s="197" t="str">
        <f>"€"&amp;ROUND(E51,2)&amp;" → €"&amp;ROUND(K51,2)</f>
        <v>€0.65 → €0.54</v>
      </c>
      <c r="D51" s="197">
        <f>D16</f>
        <v>113</v>
      </c>
      <c r="E51" s="199">
        <f>'Price 120 UAH - 33 pallets'!$B$5</f>
        <v>0.65</v>
      </c>
      <c r="F51" s="200">
        <f>F16</f>
        <v>50.82510722100659</v>
      </c>
      <c r="G51" s="200">
        <f>G16</f>
        <v>100.39527352297598</v>
      </c>
      <c r="H51" s="200">
        <f>H16</f>
        <v>35.13834573304159</v>
      </c>
      <c r="I51" s="200">
        <f>I16</f>
        <v>14.431820568927805</v>
      </c>
      <c r="J51" s="201">
        <f>K16</f>
        <v>140.55338293216636</v>
      </c>
      <c r="K51" s="202">
        <f>'Price 120 UAH - 33 pallets'!$B$19</f>
        <v>0.54</v>
      </c>
      <c r="L51" s="203">
        <f>'Price 120 UAH - 33 pallets'!$C$8</f>
        <v>43.34341090909091</v>
      </c>
      <c r="M51" s="203">
        <f>L51/(1-$D$4-$D$5)</f>
        <v>85.61661414141415</v>
      </c>
      <c r="N51" s="203">
        <f>M51*$D$4</f>
        <v>29.96581494949495</v>
      </c>
      <c r="O51" s="203">
        <f>M51-L51-N51</f>
        <v>12.307388282828285</v>
      </c>
      <c r="P51" s="204">
        <f>M51*$D$6</f>
        <v>119.8632597979798</v>
      </c>
      <c r="Q51" s="209">
        <f>P51-J51</f>
        <v>-20.690123134186564</v>
      </c>
      <c r="R51" s="210">
        <f>Q51/J51</f>
        <v>-0.14720473248354327</v>
      </c>
    </row>
    <row r="53" ht="30" customHeight="1" s="71">
      <c r="B53" s="171" t="inlineStr">
        <is>
          <t>"Before" landed cost per Self-Cost (incl. the uplift from G14 on the "Price 120 UAH" sheets); "after" is calculated at the SIAS request (logistics spread evenly per pack). Bonus, margin and markup come from the "Price 120 UAH" sheets.</t>
        </is>
      </c>
    </row>
    <row r="56" ht="26" customHeight="1" s="71">
      <c r="B56" s="188" t="inlineStr">
        <is>
          <t>MARGIN SCENARIOS · BEFORE vs AFTER the SIAS request</t>
        </is>
      </c>
    </row>
    <row r="57" ht="30" customHeight="1" s="71">
      <c r="B57" s="54" t="inlineStr">
        <is>
          <t>For each margin: shelf price at the current purchase price (BEFORE) and the purchase price SIAS must accept so that the shelf price is 120 ₴ (AFTER). Chain bonus and markup as on the "Price 120 UAH" sheet.</t>
        </is>
      </c>
    </row>
    <row r="58" ht="24" customHeight="1" s="71">
      <c r="E58" s="190" t="inlineStr">
        <is>
          <t>BEFORE · current purchase price</t>
        </is>
      </c>
      <c r="F58" s="190" t="n"/>
      <c r="G58" s="191" t="inlineStr">
        <is>
          <t>AFTER · request for a 120 ₴ shelf</t>
        </is>
      </c>
      <c r="H58" s="191" t="n"/>
      <c r="I58" s="191" t="n"/>
      <c r="J58" s="192" t="inlineStr">
        <is>
          <t>CHANGE vs BEFORE</t>
        </is>
      </c>
      <c r="K58" s="192" t="n"/>
      <c r="L58" s="192" t="n"/>
      <c r="M58" s="192" t="n"/>
    </row>
    <row r="59" ht="38" customHeight="1" s="71">
      <c r="B59" s="193" t="inlineStr">
        <is>
          <t>Margin</t>
        </is>
      </c>
      <c r="C59" s="193" t="inlineStr"/>
      <c r="D59" s="193" t="inlineStr">
        <is>
          <t>Share of price for cost</t>
        </is>
      </c>
      <c r="E59" s="194" t="inlineStr">
        <is>
          <t>Shelf 4 SKUs, ₴</t>
        </is>
      </c>
      <c r="F59" s="194" t="inlineStr">
        <is>
          <t>Shelf 2 SKUs, ₴</t>
        </is>
      </c>
      <c r="G59" s="195" t="inlineStr">
        <is>
          <t>Request, €/pack</t>
        </is>
      </c>
      <c r="H59" s="195" t="inlineStr">
        <is>
          <t>Landed cost, ₴</t>
        </is>
      </c>
      <c r="I59" s="195" t="inlineStr">
        <is>
          <t>Shelf, ₴</t>
        </is>
      </c>
      <c r="J59" s="196" t="inlineStr">
        <is>
          <t>Δ 4 SKUs, ₴</t>
        </is>
      </c>
      <c r="K59" s="196" t="inlineStr">
        <is>
          <t>Δ 4 SKUs, %</t>
        </is>
      </c>
      <c r="L59" s="196" t="inlineStr">
        <is>
          <t>Δ 2 SKUs, ₴</t>
        </is>
      </c>
      <c r="M59" s="196" t="inlineStr">
        <is>
          <t>Δ 2 SKUs, %</t>
        </is>
      </c>
    </row>
    <row r="60" ht="28" customHeight="1" s="71">
      <c r="B60" s="211" t="n">
        <v>0.35</v>
      </c>
      <c r="C60" s="212" t="str">
        <f>IF(ABS(B60-'Price 120 UAH - 33 pallets'!$C$14)&lt;0.01,"◄ ≈ current","")</f>
        <v/>
      </c>
      <c r="D60" s="213">
        <f>1-'Model 33 pallets'!$D$4-B60</f>
        <v>0.30000000000000004</v>
      </c>
      <c r="E60" s="214">
        <f>'Model 33 pallets'!$F$13/D60*'Model 33 pallets'!$D$6</f>
        <v>237.1838336980307</v>
      </c>
      <c r="F60" s="215">
        <f>'Model 33 pallets'!$F$11/D60*'Model 33 pallets'!$D$6</f>
        <v>273.6736542669583</v>
      </c>
      <c r="G60" s="216">
        <f>ROUNDDOWN((('Price 120 UAH - 33 pallets'!$B$14/'Price 120 UAH - 33 pallets'!$E$14*D60/(1+'Price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0.29</v>
      </c>
      <c r="H60" s="217">
        <f>(G60*'Model 33 pallets'!$D$3+('Price 120 UAH - 33 pallets'!$E$16+'Price 120 UAH - 33 pallets'!$F$16+'Price 120 UAH - 33 pallets'!$G$16)/('Price 120 UAH - 33 pallets'!$C$18*'Price 120 UAH - 33 pallets'!$D$18)*'Model 33 pallets'!$D$3+(G60+'Price 120 UAH - 33 pallets'!$E$16*'Price 120 UAH - 33 pallets'!$B$18/('Price 120 UAH - 33 pallets'!$C$18*'Price 120 UAH - 33 pallets'!$D$18))*'Price 120 UAH - 33 pallets'!$D$16*'Model 33 pallets'!$D$3+(G60+'Price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25.631410909090906</v>
      </c>
      <c r="I60" s="218">
        <f>H60/D60*'Model 33 pallets'!$D$6</f>
        <v>119.61325090909087</v>
      </c>
      <c r="J60" s="209">
        <f>I60-E60</f>
        <v>-117.57058278893983</v>
      </c>
      <c r="K60" s="210">
        <f>J60/E60</f>
        <v>-0.4956939136864791</v>
      </c>
      <c r="L60" s="209">
        <f>I60-F60</f>
        <v>-154.06040335786741</v>
      </c>
      <c r="M60" s="210">
        <f>L60/F60</f>
        <v>-0.5629347251949481</v>
      </c>
    </row>
    <row r="61" ht="28" customHeight="1" s="71">
      <c r="B61" s="211" t="n">
        <v>0.3</v>
      </c>
      <c r="C61" s="212" t="str">
        <f>IF(ABS(B61-'Price 120 UAH - 33 pallets'!$C$14)&lt;0.01,"◄ ≈ current","")</f>
        <v/>
      </c>
      <c r="D61" s="213">
        <f>1-'Model 33 pallets'!$D$4-B61</f>
        <v>0.35000000000000003</v>
      </c>
      <c r="E61" s="214">
        <f>'Model 33 pallets'!$F$13/D61*'Model 33 pallets'!$D$6</f>
        <v>203.30042888402633</v>
      </c>
      <c r="F61" s="215">
        <f>'Model 33 pallets'!$F$11/D61*'Model 33 pallets'!$D$6</f>
        <v>234.5774179431071</v>
      </c>
      <c r="G61" s="216">
        <f>ROUNDDOWN((('Price 120 UAH - 33 pallets'!$B$14/'Price 120 UAH - 33 pallets'!$E$14*D61/(1+'Price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0.35</v>
      </c>
      <c r="H61" s="217">
        <f>(G61*'Model 33 pallets'!$D$3+('Price 120 UAH - 33 pallets'!$E$16+'Price 120 UAH - 33 pallets'!$F$16+'Price 120 UAH - 33 pallets'!$G$16)/('Price 120 UAH - 33 pallets'!$C$18*'Price 120 UAH - 33 pallets'!$D$18)*'Model 33 pallets'!$D$3+(G61+'Price 120 UAH - 33 pallets'!$E$16*'Price 120 UAH - 33 pallets'!$B$18/('Price 120 UAH - 33 pallets'!$C$18*'Price 120 UAH - 33 pallets'!$D$18))*'Price 120 UAH - 33 pallets'!$D$16*'Model 33 pallets'!$D$3+(G61+'Price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29.88229090909091</v>
      </c>
      <c r="I61" s="218">
        <f>H61/D61*'Model 33 pallets'!$D$6</f>
        <v>119.5291636363636</v>
      </c>
      <c r="J61" s="209">
        <f>I61-E61</f>
        <v>-83.77126524766273</v>
      </c>
      <c r="K61" s="210">
        <f>J61/E61</f>
        <v>-0.4120565101977745</v>
      </c>
      <c r="L61" s="209">
        <f>I61-F61</f>
        <v>-115.04825430674349</v>
      </c>
      <c r="M61" s="210">
        <f>L61/F61</f>
        <v>-0.4904489755047374</v>
      </c>
    </row>
    <row r="62" ht="28" customHeight="1" s="71">
      <c r="B62" s="211" t="n">
        <v>0.25</v>
      </c>
      <c r="C62" s="212" t="str">
        <f>IF(ABS(B62-'Price 120 UAH - 33 pallets'!$C$14)&lt;0.01,"◄ ≈ current","")</f>
        <v/>
      </c>
      <c r="D62" s="213">
        <f>1-'Model 33 pallets'!$D$4-B62</f>
        <v>0.4</v>
      </c>
      <c r="E62" s="214">
        <f>'Model 33 pallets'!$F$13/D62*'Model 33 pallets'!$D$6</f>
        <v>177.88787527352306</v>
      </c>
      <c r="F62" s="215">
        <f>'Model 33 pallets'!$F$11/D62*'Model 33 pallets'!$D$6</f>
        <v>205.25524070021874</v>
      </c>
      <c r="G62" s="216">
        <f>ROUNDDOWN((('Price 120 UAH - 33 pallets'!$B$14/'Price 120 UAH - 33 pallets'!$E$14*D62/(1+'Price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0.41</v>
      </c>
      <c r="H62" s="217">
        <f>(G62*'Model 33 pallets'!$D$3+('Price 120 UAH - 33 pallets'!$E$16+'Price 120 UAH - 33 pallets'!$F$16+'Price 120 UAH - 33 pallets'!$G$16)/('Price 120 UAH - 33 pallets'!$C$18*'Price 120 UAH - 33 pallets'!$D$18)*'Model 33 pallets'!$D$3+(G62+'Price 120 UAH - 33 pallets'!$E$16*'Price 120 UAH - 33 pallets'!$B$18/('Price 120 UAH - 33 pallets'!$C$18*'Price 120 UAH - 33 pallets'!$D$18))*'Price 120 UAH - 33 pallets'!$D$16*'Model 33 pallets'!$D$3+(G62+'Price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34.13317090909091</v>
      </c>
      <c r="I62" s="218">
        <f>H62/D62*'Model 33 pallets'!$D$6</f>
        <v>119.46609818181815</v>
      </c>
      <c r="J62" s="209">
        <f>I62-E62</f>
        <v>-58.42177709170491</v>
      </c>
      <c r="K62" s="210">
        <f>J62/E62</f>
        <v>-0.32841910670907004</v>
      </c>
      <c r="L62" s="209">
        <f>I62-F62</f>
        <v>-85.78914251840058</v>
      </c>
      <c r="M62" s="210">
        <f>L62/F62</f>
        <v>-0.41796322581452683</v>
      </c>
    </row>
    <row r="63" ht="28" customHeight="1" s="71">
      <c r="B63" s="211" t="n">
        <v>0.2</v>
      </c>
      <c r="C63" s="212" t="str">
        <f>IF(ABS(B63-'Price 120 UAH - 33 pallets'!$C$14)&lt;0.01,"◄ ≈ current","")</f>
        <v/>
      </c>
      <c r="D63" s="213">
        <f>1-'Model 33 pallets'!$D$4-B63</f>
        <v>0.45</v>
      </c>
      <c r="E63" s="214">
        <f>'Model 33 pallets'!$F$13/D63*'Model 33 pallets'!$D$6</f>
        <v>158.12255579868716</v>
      </c>
      <c r="F63" s="215">
        <f>'Model 33 pallets'!$F$11/D63*'Model 33 pallets'!$D$6</f>
        <v>182.44910284463887</v>
      </c>
      <c r="G63" s="216">
        <f>ROUNDDOWN((('Price 120 UAH - 33 pallets'!$B$14/'Price 120 UAH - 33 pallets'!$E$14*D63/(1+'Price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0.47</v>
      </c>
      <c r="H63" s="217">
        <f>(G63*'Model 33 pallets'!$D$3+('Price 120 UAH - 33 pallets'!$E$16+'Price 120 UAH - 33 pallets'!$F$16+'Price 120 UAH - 33 pallets'!$G$16)/('Price 120 UAH - 33 pallets'!$C$18*'Price 120 UAH - 33 pallets'!$D$18)*'Model 33 pallets'!$D$3+(G63+'Price 120 UAH - 33 pallets'!$E$16*'Price 120 UAH - 33 pallets'!$B$18/('Price 120 UAH - 33 pallets'!$C$18*'Price 120 UAH - 33 pallets'!$D$18))*'Price 120 UAH - 33 pallets'!$D$16*'Model 33 pallets'!$D$3+(G63+'Price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38.3840509090909</v>
      </c>
      <c r="I63" s="218">
        <f>H63/D63*'Model 33 pallets'!$D$6</f>
        <v>119.41704727272725</v>
      </c>
      <c r="J63" s="209">
        <f>I63-E63</f>
        <v>-38.705508525959914</v>
      </c>
      <c r="K63" s="210">
        <f>J63/E63</f>
        <v>-0.24478170322036544</v>
      </c>
      <c r="L63" s="209">
        <f>I63-F63</f>
        <v>-63.03205557191163</v>
      </c>
      <c r="M63" s="210">
        <f>L63/F63</f>
        <v>-0.3454774761243161</v>
      </c>
    </row>
    <row r="64" ht="28" customHeight="1" s="71">
      <c r="B64" s="211" t="n">
        <v>0.15</v>
      </c>
      <c r="C64" s="212" t="str">
        <f>IF(ABS(B64-'Price 120 UAH - 33 pallets'!$C$14)&lt;0.01,"◄ ≈ current","")</f>
        <v>◄ ≈ current</v>
      </c>
      <c r="D64" s="213">
        <f>1-'Model 33 pallets'!$D$4-B64</f>
        <v>0.5</v>
      </c>
      <c r="E64" s="214">
        <f>'Model 33 pallets'!$F$13/D64*'Model 33 pallets'!$D$6</f>
        <v>142.31030021881844</v>
      </c>
      <c r="F64" s="215">
        <f>'Model 33 pallets'!$F$11/D64*'Model 33 pallets'!$D$6</f>
        <v>164.204192560175</v>
      </c>
      <c r="G64" s="216">
        <f>ROUNDDOWN((('Price 120 UAH - 33 pallets'!$B$14/'Price 120 UAH - 33 pallets'!$E$14*D64/(1+'Price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0.53</v>
      </c>
      <c r="H64" s="217">
        <f>(G64*'Model 33 pallets'!$D$3+('Price 120 UAH - 33 pallets'!$E$16+'Price 120 UAH - 33 pallets'!$F$16+'Price 120 UAH - 33 pallets'!$G$16)/('Price 120 UAH - 33 pallets'!$C$18*'Price 120 UAH - 33 pallets'!$D$18)*'Model 33 pallets'!$D$3+(G64+'Price 120 UAH - 33 pallets'!$E$16*'Price 120 UAH - 33 pallets'!$B$18/('Price 120 UAH - 33 pallets'!$C$18*'Price 120 UAH - 33 pallets'!$D$18))*'Price 120 UAH - 33 pallets'!$D$16*'Model 33 pallets'!$D$3+(G64+'Price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42.63493090909091</v>
      </c>
      <c r="I64" s="218">
        <f>H64/D64*'Model 33 pallets'!$D$6</f>
        <v>119.37780654545455</v>
      </c>
      <c r="J64" s="209">
        <f>I64-E64</f>
        <v>-22.932493673363894</v>
      </c>
      <c r="K64" s="210">
        <f>J64/E64</f>
        <v>-0.16114429973166067</v>
      </c>
      <c r="L64" s="209">
        <f>I64-F64</f>
        <v>-44.82638601472044</v>
      </c>
      <c r="M64" s="210">
        <f>L64/F64</f>
        <v>-0.2729917264341053</v>
      </c>
    </row>
    <row r="65" ht="28" customHeight="1" s="71">
      <c r="B65" s="211" t="n">
        <v>0.1</v>
      </c>
      <c r="C65" s="212" t="str">
        <f>IF(ABS(B65-'Price 120 UAH - 33 pallets'!$C$14)&lt;0.01,"◄ ≈ current","")</f>
        <v/>
      </c>
      <c r="D65" s="213">
        <f>1-'Model 33 pallets'!$D$4-B65</f>
        <v>0.55</v>
      </c>
      <c r="E65" s="214">
        <f>'Model 33 pallets'!$F$13/D65*'Model 33 pallets'!$D$6</f>
        <v>129.37300019892584</v>
      </c>
      <c r="F65" s="215">
        <f>'Model 33 pallets'!$F$11/D65*'Model 33 pallets'!$D$6</f>
        <v>149.27653869106817</v>
      </c>
      <c r="G65" s="216">
        <f>ROUNDDOWN((('Price 120 UAH - 33 pallets'!$B$14/'Price 120 UAH - 33 pallets'!$E$14*D65/(1+'Price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0.59</v>
      </c>
      <c r="H65" s="217">
        <f>(G65*'Model 33 pallets'!$D$3+('Price 120 UAH - 33 pallets'!$E$16+'Price 120 UAH - 33 pallets'!$F$16+'Price 120 UAH - 33 pallets'!$G$16)/('Price 120 UAH - 33 pallets'!$C$18*'Price 120 UAH - 33 pallets'!$D$18)*'Model 33 pallets'!$D$3+(G65+'Price 120 UAH - 33 pallets'!$E$16*'Price 120 UAH - 33 pallets'!$B$18/('Price 120 UAH - 33 pallets'!$C$18*'Price 120 UAH - 33 pallets'!$D$18))*'Price 120 UAH - 33 pallets'!$D$16*'Model 33 pallets'!$D$3+(G65+'Price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46.8858109090909</v>
      </c>
      <c r="I65" s="218">
        <f>H65/D65*'Model 33 pallets'!$D$6</f>
        <v>119.34570049586773</v>
      </c>
      <c r="J65" s="209">
        <f>I65-E65</f>
        <v>-10.027299703058105</v>
      </c>
      <c r="K65" s="210">
        <f>J65/E65</f>
        <v>-0.07750689624295627</v>
      </c>
      <c r="L65" s="209">
        <f>I65-F65</f>
        <v>-29.930838195200437</v>
      </c>
      <c r="M65" s="210">
        <f>L65/F65</f>
        <v>-0.20050597674389486</v>
      </c>
    </row>
  </sheetData>
  <mergeCells count="74">
    <mergeCell ref="U9:Y9"/>
    <mergeCell ref="B7:C7"/>
    <mergeCell ref="B25:C25"/>
    <mergeCell ref="B3:C3"/>
    <mergeCell ref="D34:E34"/>
    <mergeCell ref="K44:P44"/>
    <mergeCell ref="B22:C22"/>
    <mergeCell ref="D22:E22"/>
    <mergeCell ref="B31:C31"/>
    <mergeCell ref="B57:M57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G58:I58"/>
    <mergeCell ref="J58:M58"/>
    <mergeCell ref="B43:R43"/>
    <mergeCell ref="E3:K3"/>
    <mergeCell ref="D27:E27"/>
    <mergeCell ref="B23:C23"/>
    <mergeCell ref="D32:E32"/>
    <mergeCell ref="B42:R42"/>
    <mergeCell ref="E44:J44"/>
    <mergeCell ref="B8:C8"/>
    <mergeCell ref="E9:F9"/>
    <mergeCell ref="E5:K5"/>
    <mergeCell ref="B38:C38"/>
    <mergeCell ref="E8:K8"/>
    <mergeCell ref="B29:C29"/>
    <mergeCell ref="B53:R53"/>
    <mergeCell ref="E58:F58"/>
    <mergeCell ref="B37:C37"/>
    <mergeCell ref="B34:C34"/>
    <mergeCell ref="B28:C28"/>
    <mergeCell ref="D37:E37"/>
    <mergeCell ref="E4:K4"/>
    <mergeCell ref="D28:E28"/>
    <mergeCell ref="Q44:R44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56:M56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L85" evalError="1" formula="1" formulaRange="1" unlockedFormula="1" numberStoredAsText="1" emptyCellReference="1" twoDigitTextYear="1" listDataValidation="1" calculatedColumn="1"/>
  </ignoredErrors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L37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2" customWidth="1" style="71" min="8" max="8"/>
    <col width="14" customWidth="1" style="71" min="9" max="9"/>
    <col width="14" customWidth="1" style="71" min="10" max="10"/>
    <col width="14" customWidth="1" style="71" min="11" max="11"/>
    <col width="14" customWidth="1" style="71" min="12" max="12"/>
  </cols>
  <sheetData>
    <row r="1">
      <c r="A1" s="134" t="inlineStr">
        <is>
          <t>INTERNAL — not for SIAS · real bonus 35 %, proportional cost uplift (G14)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+ 12.5 %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14 %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$B$24*F14*(1+$G$14)</f>
        <v>65.3211</v>
      </c>
      <c r="D4" s="101">
        <f>C4/(1-D14-C14)</f>
        <v>129.02933333333334</v>
      </c>
      <c r="E4" s="102">
        <f>D4*D14</f>
        <v>45.160266666666665</v>
      </c>
      <c r="F4" s="102">
        <f>D4-C4-E4</f>
        <v>18.547966666666674</v>
      </c>
      <c r="G4" s="102">
        <f>D4*(E14-1)</f>
        <v>51.611733333333326</v>
      </c>
      <c r="H4" s="103">
        <f>D4*E14</f>
        <v>180.64106666666666</v>
      </c>
    </row>
    <row r="5" ht="19.95" customHeight="1" s="71">
      <c r="A5" s="136" t="n"/>
      <c r="B5" s="137" t="n">
        <v>0.65</v>
      </c>
      <c r="C5" s="138">
        <f>C4/F14</f>
        <v>1.275802734375</v>
      </c>
      <c r="D5" s="139">
        <f>D4/F14</f>
        <v>2.5201041666666666</v>
      </c>
      <c r="E5" s="139">
        <f>E4/F14</f>
        <v>0.8820364583333332</v>
      </c>
      <c r="F5" s="139">
        <f>F4/F14</f>
        <v>0.36226497395833346</v>
      </c>
      <c r="G5" s="139">
        <f>G4/F14</f>
        <v>1.0080416666666665</v>
      </c>
      <c r="H5" s="139">
        <f>H4/F14</f>
        <v>3.528145833333333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$B$25*F14*(1+$G$14)</f>
        <v>75.3705</v>
      </c>
      <c r="D6" s="109">
        <f>C6/(1-D14-C14)</f>
        <v>148.88000000000002</v>
      </c>
      <c r="E6" s="110">
        <f>D6*D14</f>
        <v>52.108000000000004</v>
      </c>
      <c r="F6" s="110">
        <f>D6-C6-E6</f>
        <v>21.401500000000013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1.472080078125</v>
      </c>
      <c r="D7" s="140">
        <f>D6/F14</f>
        <v>2.9078125000000004</v>
      </c>
      <c r="E7" s="140">
        <f>E6/F14</f>
        <v>1.017734375</v>
      </c>
      <c r="F7" s="140">
        <f>F6/F14</f>
        <v>0.41799804687500025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42.92945999999999</v>
      </c>
      <c r="D8" s="115">
        <f>C8/(1-D14-C14)</f>
        <v>84.79893333333332</v>
      </c>
      <c r="E8" s="116">
        <f>D8*D14</f>
        <v>29.67962666666666</v>
      </c>
      <c r="F8" s="116">
        <f>D8-C8-E8</f>
        <v>12.189846666666671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0.8384660156249998</v>
      </c>
      <c r="D9" s="142">
        <f>D8/F14</f>
        <v>1.6562291666666664</v>
      </c>
      <c r="E9" s="142">
        <f>E8/F14</f>
        <v>0.5796802083333332</v>
      </c>
      <c r="F9" s="142">
        <f>F8/F14</f>
        <v>0.2380829427083334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-22.39164000000001</v>
      </c>
      <c r="D10" s="143">
        <f>D8-D4</f>
        <v>-44.23040000000002</v>
      </c>
      <c r="E10" s="143">
        <f>E8-E4</f>
        <v>-15.480640000000005</v>
      </c>
      <c r="F10" s="143">
        <f>F8-F4</f>
        <v>-6.358120000000003</v>
      </c>
      <c r="G10" s="143">
        <f>G8-G4</f>
        <v>-17.69216</v>
      </c>
      <c r="H10" s="143">
        <f>H8-H4</f>
        <v>-61.92256000000002</v>
      </c>
    </row>
    <row r="11" ht="18" customHeight="1" s="71">
      <c r="A11" s="136" t="n"/>
      <c r="B11" s="144">
        <f>B9-B5</f>
        <v>-0.33</v>
      </c>
      <c r="C11" s="144">
        <f>C9-C5</f>
        <v>-0.43733671875000024</v>
      </c>
      <c r="D11" s="144">
        <f>D9-D5</f>
        <v>-0.8638750000000002</v>
      </c>
      <c r="E11" s="144">
        <f>E9-E5</f>
        <v>-0.30235625</v>
      </c>
      <c r="F11" s="144">
        <f>F9-F5</f>
        <v>-0.12418203125000005</v>
      </c>
      <c r="G11" s="144">
        <f>G9-G5</f>
        <v>-0.34555</v>
      </c>
      <c r="H11" s="144">
        <f>H9-H5</f>
        <v>-1.209425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Margin shown (auto: offsets the cost uplift)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  <c r="H13" s="45" t="inlineStr">
        <is>
          <t>Base share of price for cost (real model: 1 − 25 % − 30 %)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82">
        <f>1-D14-H14*(1+G14)</f>
        <v>0.14375000000000004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45" t="n">
        <v>0.125</v>
      </c>
      <c r="H14" s="145" t="n">
        <v>0.45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20">
      <c r="A20" s="54" t="inlineStr">
        <is>
          <t>Request to SIAS, €/pack (rounded down to the euro cent)</t>
        </is>
      </c>
      <c r="B20" s="147">
        <f>ROUNDDOWN(((B14/E14*(1-D14-C14)/(1+G14))/F14/(1+C16)-(E16+F16+G16+E16*B18*(D16+B16*(1+D16)))/(C18*D18))/((1+D16)*(1+B16)),2)</f>
        <v>0.32</v>
      </c>
    </row>
    <row r="21">
      <c r="A21" s="54" t="inlineStr">
        <is>
          <t>Maximum purchase price before rounding, €/pack</t>
        </is>
      </c>
      <c r="B21" s="148">
        <f>((B14/E14*(1-D14-C14)/(1+G14))/F14/(1+C16)-(E16+F16+G16+E16*B18*(D16+B16*(1+D16)))/(C18*D18))/((1+D16)*(1+B16))</f>
        <v>0.3265407229965157</v>
      </c>
    </row>
    <row r="22" ht="30" customHeight="1" s="71">
      <c r="A22" s="54" t="inlineStr">
        <is>
          <t>Landed cost in Ukraine at the request (incl. uplift), ₴/pack</t>
        </is>
      </c>
      <c r="B22" s="57">
        <f>(B20*F14+(E16+F16+G16)/(C18*D18)*F14+(B20+E16*B18/(C18*D18))*D16*F14+(B20+E16*B18/(C18*D18))*(1+D16)*B16*F14)*(1+C16)*(1+G14)</f>
        <v>42.92945999999999</v>
      </c>
    </row>
    <row r="24" ht="30" customHeight="1" s="71">
      <c r="A24" s="54" t="inlineStr">
        <is>
          <t>Landed cost, 4 SKUs (Vegetable…), €/pack — Self-Cost (col. B) → after uplift (col. C)</t>
        </is>
      </c>
      <c r="B24" s="149">
        <f>'Model 6 pallets'!AL13</f>
        <v>1.134046875</v>
      </c>
      <c r="C24" s="183">
        <f>B24*(1+$G$14)</f>
        <v>1.2758027343749998</v>
      </c>
    </row>
    <row r="25" ht="30" customHeight="1" s="71">
      <c r="A25" s="54" t="inlineStr">
        <is>
          <t>Landed cost, 2 SKUs (Gouda, Carbonara), €/pack — Self-Cost (col. B) → after uplift (col. C)</t>
        </is>
      </c>
      <c r="B25" s="149">
        <f>'Model 6 pallets'!AL11</f>
        <v>1.308515625</v>
      </c>
      <c r="C25" s="183">
        <f>B25*(1+$G$14)</f>
        <v>1.472080078125</v>
      </c>
    </row>
    <row r="28" ht="26" customHeight="1" s="71">
      <c r="A28" s="188" t="inlineStr">
        <is>
          <t>MARGIN SCENARIOS · BEFORE vs AFTER the SIAS request</t>
        </is>
      </c>
    </row>
    <row r="29" ht="30" customHeight="1" s="71">
      <c r="A29" s="54" t="inlineStr">
        <is>
          <t>For each margin: shelf price at the current purchase price (BEFORE) and the purchase price SIAS must accept so that the shelf price is 120 ₴ (AFTER). Chain bonus and markup as on the "Price 120 UAH" sheet.</t>
        </is>
      </c>
    </row>
    <row r="30" ht="24" customHeight="1" s="71">
      <c r="D30" s="190" t="inlineStr">
        <is>
          <t>BEFORE · current purchase price</t>
        </is>
      </c>
      <c r="E30" s="190" t="n"/>
      <c r="F30" s="191" t="inlineStr">
        <is>
          <t>AFTER · request for a 120 ₴ shelf</t>
        </is>
      </c>
      <c r="G30" s="191" t="n"/>
      <c r="H30" s="191" t="n"/>
      <c r="I30" s="192" t="inlineStr">
        <is>
          <t>CHANGE vs BEFORE</t>
        </is>
      </c>
      <c r="J30" s="192" t="n"/>
      <c r="K30" s="192" t="n"/>
      <c r="L30" s="192" t="n"/>
    </row>
    <row r="31" ht="38" customHeight="1" s="71">
      <c r="A31" s="193" t="inlineStr">
        <is>
          <t>Margin</t>
        </is>
      </c>
      <c r="B31" s="193" t="inlineStr"/>
      <c r="C31" s="193" t="inlineStr">
        <is>
          <t>Share of price for cost</t>
        </is>
      </c>
      <c r="D31" s="194" t="inlineStr">
        <is>
          <t>Shelf 4 SKUs, ₴</t>
        </is>
      </c>
      <c r="E31" s="194" t="inlineStr">
        <is>
          <t>Shelf 2 SKUs, ₴</t>
        </is>
      </c>
      <c r="F31" s="195" t="inlineStr">
        <is>
          <t>Request, €/pack</t>
        </is>
      </c>
      <c r="G31" s="195" t="inlineStr">
        <is>
          <t>Landed cost, ₴</t>
        </is>
      </c>
      <c r="H31" s="195" t="inlineStr">
        <is>
          <t>Shelf, ₴</t>
        </is>
      </c>
      <c r="I31" s="196" t="inlineStr">
        <is>
          <t>Δ 4 SKUs, ₴</t>
        </is>
      </c>
      <c r="J31" s="196" t="inlineStr">
        <is>
          <t>Δ 4 SKUs, %</t>
        </is>
      </c>
      <c r="K31" s="196" t="inlineStr">
        <is>
          <t>Δ 2 SKUs, ₴</t>
        </is>
      </c>
      <c r="L31" s="196" t="inlineStr">
        <is>
          <t>Δ 2 SKUs, %</t>
        </is>
      </c>
    </row>
    <row r="32" ht="28" customHeight="1" s="71">
      <c r="A32" s="211" t="n">
        <v>0.35</v>
      </c>
      <c r="B32" s="212" t="str">
        <f>IF(ABS(A32-'Price 120 UAH - 6 pallets'!$C$14)&lt;0.01,"◄ ≈ current","")</f>
        <v/>
      </c>
      <c r="C32" s="213">
        <f>1-'Model 6 pallets'!$D$4-A32</f>
        <v>0.30000000000000004</v>
      </c>
      <c r="D32" s="214">
        <f>'Model 6 pallets'!$F$13/C32*'Model 6 pallets'!$D$6</f>
        <v>304.8317999999999</v>
      </c>
      <c r="E32" s="215">
        <f>'Model 6 pallets'!$F$11/C32*'Model 6 pallets'!$D$6</f>
        <v>351.729</v>
      </c>
      <c r="F32" s="216">
        <f>ROUNDDOWN((('Price 120 UAH - 6 pallets'!$B$14/'Price 120 UAH - 6 pallets'!$E$14*C32/(1+'Price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0.07</v>
      </c>
      <c r="G32" s="217">
        <f>(F32*'Model 6 pallets'!$D$3+('Price 120 UAH - 6 pallets'!$E$16+'Price 120 UAH - 6 pallets'!$F$16+'Price 120 UAH - 6 pallets'!$G$16)/('Price 120 UAH - 6 pallets'!$C$18*'Price 120 UAH - 6 pallets'!$D$18)*'Model 6 pallets'!$D$3+(F32+'Price 120 UAH - 6 pallets'!$E$16*'Price 120 UAH - 6 pallets'!$B$18/('Price 120 UAH - 6 pallets'!$C$18*'Price 120 UAH - 6 pallets'!$D$18))*'Price 120 UAH - 6 pallets'!$D$16*'Model 6 pallets'!$D$3+(F32+'Price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25.217459999999996</v>
      </c>
      <c r="H32" s="218">
        <f>G32/C32*'Model 6 pallets'!$D$6</f>
        <v>117.68147999999995</v>
      </c>
      <c r="I32" s="209">
        <f>H32-D32</f>
        <v>-187.1503199999999</v>
      </c>
      <c r="J32" s="210">
        <f>I32/D32</f>
        <v>-0.613946182780143</v>
      </c>
      <c r="K32" s="209">
        <f>H32-E32</f>
        <v>-234.04752000000002</v>
      </c>
      <c r="L32" s="210">
        <f>K32/E32</f>
        <v>-0.6654200250761241</v>
      </c>
    </row>
    <row r="33" ht="28" customHeight="1" s="71">
      <c r="A33" s="211" t="n">
        <v>0.3</v>
      </c>
      <c r="B33" s="212" t="str">
        <f>IF(ABS(A33-'Price 120 UAH - 6 pallets'!$C$14)&lt;0.01,"◄ ≈ current","")</f>
        <v/>
      </c>
      <c r="C33" s="213">
        <f>1-'Model 6 pallets'!$D$4-A33</f>
        <v>0.35000000000000003</v>
      </c>
      <c r="D33" s="214">
        <f>'Model 6 pallets'!$F$13/C33*'Model 6 pallets'!$D$6</f>
        <v>261.2843999999999</v>
      </c>
      <c r="E33" s="215">
        <f>'Model 6 pallets'!$F$11/C33*'Model 6 pallets'!$D$6</f>
        <v>301.48199999999997</v>
      </c>
      <c r="F33" s="216">
        <f>ROUNDDOWN((('Price 120 UAH - 6 pallets'!$B$14/'Price 120 UAH - 6 pallets'!$E$14*C33/(1+'Price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0.13</v>
      </c>
      <c r="G33" s="217">
        <f>(F33*'Model 6 pallets'!$D$3+('Price 120 UAH - 6 pallets'!$E$16+'Price 120 UAH - 6 pallets'!$F$16+'Price 120 UAH - 6 pallets'!$G$16)/('Price 120 UAH - 6 pallets'!$C$18*'Price 120 UAH - 6 pallets'!$D$18)*'Model 6 pallets'!$D$3+(F33+'Price 120 UAH - 6 pallets'!$E$16*'Price 120 UAH - 6 pallets'!$B$18/('Price 120 UAH - 6 pallets'!$C$18*'Price 120 UAH - 6 pallets'!$D$18))*'Price 120 UAH - 6 pallets'!$D$16*'Model 6 pallets'!$D$3+(F33+'Price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29.468340000000005</v>
      </c>
      <c r="H33" s="218">
        <f>G33/C33*'Model 6 pallets'!$D$6</f>
        <v>117.87335999999999</v>
      </c>
      <c r="I33" s="209">
        <f>H33-D33</f>
        <v>-143.4110399999999</v>
      </c>
      <c r="J33" s="210">
        <f>I33/D33</f>
        <v>-0.5488695077088412</v>
      </c>
      <c r="K33" s="209">
        <f>H33-E33</f>
        <v>-183.60863999999998</v>
      </c>
      <c r="L33" s="210">
        <f>K33/E33</f>
        <v>-0.6090202400143292</v>
      </c>
    </row>
    <row r="34" ht="28" customHeight="1" s="71">
      <c r="A34" s="211" t="n">
        <v>0.25</v>
      </c>
      <c r="B34" s="212" t="str">
        <f>IF(ABS(A34-'Price 120 UAH - 6 pallets'!$C$14)&lt;0.01,"◄ ≈ current","")</f>
        <v/>
      </c>
      <c r="C34" s="213">
        <f>1-'Model 6 pallets'!$D$4-A34</f>
        <v>0.4</v>
      </c>
      <c r="D34" s="214">
        <f>'Model 6 pallets'!$F$13/C34*'Model 6 pallets'!$D$6</f>
        <v>228.62384999999992</v>
      </c>
      <c r="E34" s="215">
        <f>'Model 6 pallets'!$F$11/C34*'Model 6 pallets'!$D$6</f>
        <v>263.79675</v>
      </c>
      <c r="F34" s="216">
        <f>ROUNDDOWN((('Price 120 UAH - 6 pallets'!$B$14/'Price 120 UAH - 6 pallets'!$E$14*C34/(1+'Price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0.19</v>
      </c>
      <c r="G34" s="217">
        <f>(F34*'Model 6 pallets'!$D$3+('Price 120 UAH - 6 pallets'!$E$16+'Price 120 UAH - 6 pallets'!$F$16+'Price 120 UAH - 6 pallets'!$G$16)/('Price 120 UAH - 6 pallets'!$C$18*'Price 120 UAH - 6 pallets'!$D$18)*'Model 6 pallets'!$D$3+(F34+'Price 120 UAH - 6 pallets'!$E$16*'Price 120 UAH - 6 pallets'!$B$18/('Price 120 UAH - 6 pallets'!$C$18*'Price 120 UAH - 6 pallets'!$D$18))*'Price 120 UAH - 6 pallets'!$D$16*'Model 6 pallets'!$D$3+(F34+'Price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33.71922</v>
      </c>
      <c r="H34" s="218">
        <f>G34/C34*'Model 6 pallets'!$D$6</f>
        <v>118.01726999999998</v>
      </c>
      <c r="I34" s="209">
        <f>H34-D34</f>
        <v>-110.60657999999994</v>
      </c>
      <c r="J34" s="210">
        <f>I34/D34</f>
        <v>-0.4837928326375397</v>
      </c>
      <c r="K34" s="209">
        <f>H34-E34</f>
        <v>-145.77947999999998</v>
      </c>
      <c r="L34" s="210">
        <f>K34/E34</f>
        <v>-0.5526204549525344</v>
      </c>
    </row>
    <row r="35" ht="28" customHeight="1" s="71">
      <c r="A35" s="211" t="n">
        <v>0.2</v>
      </c>
      <c r="B35" s="212" t="str">
        <f>IF(ABS(A35-'Price 120 UAH - 6 pallets'!$C$14)&lt;0.01,"◄ ≈ current","")</f>
        <v/>
      </c>
      <c r="C35" s="213">
        <f>1-'Model 6 pallets'!$D$4-A35</f>
        <v>0.45</v>
      </c>
      <c r="D35" s="214">
        <f>'Model 6 pallets'!$F$13/C35*'Model 6 pallets'!$D$6</f>
        <v>203.22119999999993</v>
      </c>
      <c r="E35" s="215">
        <f>'Model 6 pallets'!$F$11/C35*'Model 6 pallets'!$D$6</f>
        <v>234.486</v>
      </c>
      <c r="F35" s="216">
        <f>ROUNDDOWN((('Price 120 UAH - 6 pallets'!$B$14/'Price 120 UAH - 6 pallets'!$E$14*C35/(1+'Price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0.25</v>
      </c>
      <c r="G35" s="217">
        <f>(F35*'Model 6 pallets'!$D$3+('Price 120 UAH - 6 pallets'!$E$16+'Price 120 UAH - 6 pallets'!$F$16+'Price 120 UAH - 6 pallets'!$G$16)/('Price 120 UAH - 6 pallets'!$C$18*'Price 120 UAH - 6 pallets'!$D$18)*'Model 6 pallets'!$D$3+(F35+'Price 120 UAH - 6 pallets'!$E$16*'Price 120 UAH - 6 pallets'!$B$18/('Price 120 UAH - 6 pallets'!$C$18*'Price 120 UAH - 6 pallets'!$D$18))*'Price 120 UAH - 6 pallets'!$D$16*'Model 6 pallets'!$D$3+(F35+'Price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37.9701</v>
      </c>
      <c r="H35" s="218">
        <f>G35/C35*'Model 6 pallets'!$D$6</f>
        <v>118.1292</v>
      </c>
      <c r="I35" s="209">
        <f>H35-D35</f>
        <v>-85.09199999999993</v>
      </c>
      <c r="J35" s="210">
        <f>I35/D35</f>
        <v>-0.418716157566238</v>
      </c>
      <c r="K35" s="209">
        <f>H35-E35</f>
        <v>-116.35679999999999</v>
      </c>
      <c r="L35" s="210">
        <f>K35/E35</f>
        <v>-0.49622066989073976</v>
      </c>
    </row>
    <row r="36" ht="28" customHeight="1" s="71">
      <c r="A36" s="211" t="n">
        <v>0.15</v>
      </c>
      <c r="B36" s="212" t="str">
        <f>IF(ABS(A36-'Price 120 UAH - 6 pallets'!$C$14)&lt;0.01,"◄ ≈ current","")</f>
        <v>◄ ≈ current</v>
      </c>
      <c r="C36" s="213">
        <f>1-'Model 6 pallets'!$D$4-A36</f>
        <v>0.5</v>
      </c>
      <c r="D36" s="214">
        <f>'Model 6 pallets'!$F$13/C36*'Model 6 pallets'!$D$6</f>
        <v>182.89907999999994</v>
      </c>
      <c r="E36" s="215">
        <f>'Model 6 pallets'!$F$11/C36*'Model 6 pallets'!$D$6</f>
        <v>211.03740000000002</v>
      </c>
      <c r="F36" s="216">
        <f>ROUNDDOWN((('Price 120 UAH - 6 pallets'!$B$14/'Price 120 UAH - 6 pallets'!$E$14*C36/(1+'Price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0.31</v>
      </c>
      <c r="G36" s="217">
        <f>(F36*'Model 6 pallets'!$D$3+('Price 120 UAH - 6 pallets'!$E$16+'Price 120 UAH - 6 pallets'!$F$16+'Price 120 UAH - 6 pallets'!$G$16)/('Price 120 UAH - 6 pallets'!$C$18*'Price 120 UAH - 6 pallets'!$D$18)*'Model 6 pallets'!$D$3+(F36+'Price 120 UAH - 6 pallets'!$E$16*'Price 120 UAH - 6 pallets'!$B$18/('Price 120 UAH - 6 pallets'!$C$18*'Price 120 UAH - 6 pallets'!$D$18))*'Price 120 UAH - 6 pallets'!$D$16*'Model 6 pallets'!$D$3+(F36+'Price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42.220980000000004</v>
      </c>
      <c r="H36" s="218">
        <f>G36/C36*'Model 6 pallets'!$D$6</f>
        <v>118.218744</v>
      </c>
      <c r="I36" s="209">
        <f>H36-D36</f>
        <v>-64.68033599999994</v>
      </c>
      <c r="J36" s="210">
        <f>I36/D36</f>
        <v>-0.3536394824949363</v>
      </c>
      <c r="K36" s="209">
        <f>H36-E36</f>
        <v>-92.81865600000002</v>
      </c>
      <c r="L36" s="210">
        <f>K36/E36</f>
        <v>-0.43982088482894505</v>
      </c>
    </row>
    <row r="37" ht="28" customHeight="1" s="71">
      <c r="A37" s="211" t="n">
        <v>0.1</v>
      </c>
      <c r="B37" s="212" t="str">
        <f>IF(ABS(A37-'Price 120 UAH - 6 pallets'!$C$14)&lt;0.01,"◄ ≈ current","")</f>
        <v/>
      </c>
      <c r="C37" s="213">
        <f>1-'Model 6 pallets'!$D$4-A37</f>
        <v>0.55</v>
      </c>
      <c r="D37" s="214">
        <f>'Model 6 pallets'!$F$13/C37*'Model 6 pallets'!$D$6</f>
        <v>166.27189090909084</v>
      </c>
      <c r="E37" s="215">
        <f>'Model 6 pallets'!$F$11/C37*'Model 6 pallets'!$D$6</f>
        <v>191.8521818181818</v>
      </c>
      <c r="F37" s="216">
        <f>ROUNDDOWN((('Price 120 UAH - 6 pallets'!$B$14/'Price 120 UAH - 6 pallets'!$E$14*C37/(1+'Price 120 UAH - 6 pallets'!$G$14))/'Model 6 pallets'!$D$3/(1+'Price 120 UAH - 6 pallets'!$C$16)-('Price 120 UAH - 6 pallets'!$E$16+'Price 120 UAH - 6 pallets'!$F$16+'Price 120 UAH - 6 pallets'!$G$16+'Price 120 UAH - 6 pallets'!$E$16*'Price 120 UAH - 6 pallets'!$B$18*('Price 120 UAH - 6 pallets'!$D$16+'Price 120 UAH - 6 pallets'!$B$16*(1+'Price 120 UAH - 6 pallets'!$D$16)))/('Price 120 UAH - 6 pallets'!$C$18*'Price 120 UAH - 6 pallets'!$D$18))/((1+'Price 120 UAH - 6 pallets'!$D$16)*(1+'Price 120 UAH - 6 pallets'!$B$16)),2)</f>
        <v>0.37</v>
      </c>
      <c r="G37" s="217">
        <f>(F37*'Model 6 pallets'!$D$3+('Price 120 UAH - 6 pallets'!$E$16+'Price 120 UAH - 6 pallets'!$F$16+'Price 120 UAH - 6 pallets'!$G$16)/('Price 120 UAH - 6 pallets'!$C$18*'Price 120 UAH - 6 pallets'!$D$18)*'Model 6 pallets'!$D$3+(F37+'Price 120 UAH - 6 pallets'!$E$16*'Price 120 UAH - 6 pallets'!$B$18/('Price 120 UAH - 6 pallets'!$C$18*'Price 120 UAH - 6 pallets'!$D$18))*'Price 120 UAH - 6 pallets'!$D$16*'Model 6 pallets'!$D$3+(F37+'Price 120 UAH - 6 pallets'!$E$16*'Price 120 UAH - 6 pallets'!$B$18/('Price 120 UAH - 6 pallets'!$C$18*'Price 120 UAH - 6 pallets'!$D$18))*(1+'Price 120 UAH - 6 pallets'!$D$16)*'Price 120 UAH - 6 pallets'!$B$16*'Model 6 pallets'!$D$3)*(1+'Price 120 UAH - 6 pallets'!$C$16)*(1+'Price 120 UAH - 6 pallets'!$G$14)</f>
        <v>46.47186</v>
      </c>
      <c r="H37" s="218">
        <f>G37/C37*'Model 6 pallets'!$D$6</f>
        <v>118.29200727272726</v>
      </c>
      <c r="I37" s="209">
        <f>H37-D37</f>
        <v>-47.97988363636358</v>
      </c>
      <c r="J37" s="210">
        <f>I37/D37</f>
        <v>-0.2885628074236347</v>
      </c>
      <c r="K37" s="209">
        <f>H37-E37</f>
        <v>-73.56017454545454</v>
      </c>
      <c r="L37" s="210">
        <f>K37/E37</f>
        <v>-0.3834210997671503</v>
      </c>
    </row>
  </sheetData>
  <mergeCells count="14">
    <mergeCell ref="A12:H12"/>
    <mergeCell ref="F2:G2"/>
    <mergeCell ref="A8:A9"/>
    <mergeCell ref="B2:C2"/>
    <mergeCell ref="A29:L29"/>
    <mergeCell ref="D2:E2"/>
    <mergeCell ref="D30:E30"/>
    <mergeCell ref="A4:A5"/>
    <mergeCell ref="A28:L28"/>
    <mergeCell ref="F30:H30"/>
    <mergeCell ref="I30:L30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L57" evalError="1" formula="1" formulaRange="1" unlockedFormula="1" numberStoredAsText="1" emptyCellReference="1" twoDigitTextYear="1" listDataValidation="1" calculatedColumn="1"/>
  </ignoredErrors>
</worksheet>
</file>

<file path=xl/worksheets/sheet5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L37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2" customWidth="1" style="71" min="8" max="8"/>
    <col width="14" customWidth="1" style="71" min="9" max="9"/>
    <col width="14" customWidth="1" style="71" min="10" max="10"/>
    <col width="14" customWidth="1" style="71" min="11" max="11"/>
    <col width="14" customWidth="1" style="71" min="12" max="12"/>
  </cols>
  <sheetData>
    <row r="1">
      <c r="A1" s="150" t="inlineStr">
        <is>
          <t>INTERNAL — not for SIAS · real bonus 35 %, proportional cost uplift (G14)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+ 12.5 %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14 %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$B$23*F14*(1+$G$14)</f>
        <v>50.82510722100659</v>
      </c>
      <c r="D4" s="101">
        <f>C4/(1-D14-C14)</f>
        <v>100.39527352297598</v>
      </c>
      <c r="E4" s="102">
        <f>D4*D14</f>
        <v>35.13834573304159</v>
      </c>
      <c r="F4" s="102">
        <f>D4-C4-E4</f>
        <v>14.431820568927805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0.992677875410285</v>
      </c>
      <c r="D5" s="139">
        <f>D4/F14</f>
        <v>1.9608451859956246</v>
      </c>
      <c r="E5" s="139">
        <f>E4/F14</f>
        <v>0.6862958150984685</v>
      </c>
      <c r="F5" s="139">
        <f>F4/F14</f>
        <v>0.2818714954868712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$B$24*F14*(1+$G$14)</f>
        <v>58.64435448577678</v>
      </c>
      <c r="D6" s="109">
        <f>C6/(1-D14-C14)</f>
        <v>115.84070021881834</v>
      </c>
      <c r="E6" s="110">
        <f>D6*D14</f>
        <v>40.544245076586414</v>
      </c>
      <c r="F6" s="110">
        <f>D6-C6-E6</f>
        <v>16.652100656455147</v>
      </c>
      <c r="G6" s="110">
        <f>D6*(E14-1)</f>
        <v>46.33628008752733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1.1453975485503276</v>
      </c>
      <c r="D7" s="140">
        <f>D6/F14</f>
        <v>2.2625136761487954</v>
      </c>
      <c r="E7" s="140">
        <f>E6/F14</f>
        <v>0.7918797866520784</v>
      </c>
      <c r="F7" s="140">
        <f>F6/F14</f>
        <v>0.3252363409463896</v>
      </c>
      <c r="G7" s="140">
        <f>G6/F14</f>
        <v>0.9050054704595181</v>
      </c>
      <c r="H7" s="140">
        <f>H6/F14</f>
        <v>3.1675191466083135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43.34341090909091</v>
      </c>
      <c r="D8" s="115">
        <f>C8/(1-D14-C14)</f>
        <v>85.61661414141415</v>
      </c>
      <c r="E8" s="116">
        <f>D8*D14</f>
        <v>29.96581494949495</v>
      </c>
      <c r="F8" s="116">
        <f>D8-C8-E8</f>
        <v>12.307388282828285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0.8465509943181818</v>
      </c>
      <c r="D9" s="142">
        <f>D8/F14</f>
        <v>1.672199494949495</v>
      </c>
      <c r="E9" s="142">
        <f>E8/F14</f>
        <v>0.5852698232323231</v>
      </c>
      <c r="F9" s="142">
        <f>F8/F14</f>
        <v>0.24037867739898994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-7.481696311915677</v>
      </c>
      <c r="D10" s="143">
        <f>D8-D4</f>
        <v>-14.778659381561837</v>
      </c>
      <c r="E10" s="143">
        <f>E8-E4</f>
        <v>-5.172530783546641</v>
      </c>
      <c r="F10" s="143">
        <f>F8-F4</f>
        <v>-2.1244322860995197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-0.14612688109210314</v>
      </c>
      <c r="D11" s="144">
        <f>D9-D5</f>
        <v>-0.2886456910461297</v>
      </c>
      <c r="E11" s="144">
        <f>E9-E5</f>
        <v>-0.10102599186614536</v>
      </c>
      <c r="F11" s="144">
        <f>F9-F5</f>
        <v>-0.041492818087881245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Margin shown (auto: offsets the cost uplift)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  <c r="H13" s="45" t="inlineStr">
        <is>
          <t>Base share of price for cost (real model: 1 − 25 % − 30 %)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82">
        <f>1-D14-H14*(1+G14)</f>
        <v>0.14375000000000004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45" t="n">
        <v>0.125</v>
      </c>
      <c r="H14" s="145" t="n">
        <v>0.45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ROUNDDOWN(((B14/E14*(1-D14-C14)/(1+G14))/F14/(1+C16)-(E16+F16+G16+E16*B18*(D16+B16*(1+D16)))/(C18*D18))/((1+D16)*(1+B16)),2)</f>
        <v>0.54</v>
      </c>
    </row>
    <row r="20">
      <c r="A20" s="54" t="inlineStr">
        <is>
          <t>Maximum purchase price before rounding, €/pack</t>
        </is>
      </c>
      <c r="B20" s="148">
        <f>((B14/E14*(1-D14-C14)/(1+G14))/F14/(1+C16)-(E16+F16+G16+E16*B18*(D16+B16*(1+D16)))/(C18*D18))/((1+D16)*(1+B16))</f>
        <v>0.5406979199662126</v>
      </c>
    </row>
    <row r="21" ht="30" customHeight="1" s="71">
      <c r="A21" s="54" t="inlineStr">
        <is>
          <t>Landed cost in Ukraine at the request (incl. uplift), ₴/pack</t>
        </is>
      </c>
      <c r="B21" s="57">
        <f>(B19*F14+(E16+F16+G16)/(C18*D18)*F14+(B19+E16*B18/(C18*D18))*D16*F14+(B19+E16*B18/(C18*D18))*(1+D16)*B16*F14)*(1+C16)*(1+G14)</f>
        <v>43.34341090909091</v>
      </c>
    </row>
    <row r="23" ht="30" customHeight="1" s="71">
      <c r="A23" s="54" t="inlineStr">
        <is>
          <t>Landed cost, 4 SKUs (Vegetable…), €/pack — Self-Cost (col. B) → after uplift (col. C)</t>
        </is>
      </c>
      <c r="B23" s="149">
        <f>'Model 33 pallets'!AL13</f>
        <v>0.882380333698031</v>
      </c>
      <c r="C23" s="183">
        <f>B23*(1+$G$14)</f>
        <v>0.992677875410285</v>
      </c>
    </row>
    <row r="24" ht="30" customHeight="1" s="71">
      <c r="A24" s="54" t="inlineStr">
        <is>
          <t>Landed cost, 2 SKUs (Gouda, Carbonara), €/pack — Self-Cost (col. B) → after uplift (col. C)</t>
        </is>
      </c>
      <c r="B24" s="149">
        <f>'Model 33 pallets'!AL11</f>
        <v>1.018131154266958</v>
      </c>
      <c r="C24" s="183">
        <f>B24*(1+$G$14)</f>
        <v>1.1453975485503278</v>
      </c>
    </row>
    <row r="28" ht="26" customHeight="1" s="71">
      <c r="A28" s="188" t="inlineStr">
        <is>
          <t>MARGIN SCENARIOS · BEFORE vs AFTER the SIAS request</t>
        </is>
      </c>
    </row>
    <row r="29" ht="30" customHeight="1" s="71">
      <c r="A29" s="54" t="inlineStr">
        <is>
          <t>For each margin: shelf price at the current purchase price (BEFORE) and the purchase price SIAS must accept so that the shelf price is 120 ₴ (AFTER). Chain bonus and markup as on the "Price 120 UAH" sheet.</t>
        </is>
      </c>
    </row>
    <row r="30" ht="24" customHeight="1" s="71">
      <c r="D30" s="190" t="inlineStr">
        <is>
          <t>BEFORE · current purchase price</t>
        </is>
      </c>
      <c r="E30" s="190" t="n"/>
      <c r="F30" s="191" t="inlineStr">
        <is>
          <t>AFTER · request for a 120 ₴ shelf</t>
        </is>
      </c>
      <c r="G30" s="191" t="n"/>
      <c r="H30" s="191" t="n"/>
      <c r="I30" s="192" t="inlineStr">
        <is>
          <t>CHANGE vs BEFORE</t>
        </is>
      </c>
      <c r="J30" s="192" t="n"/>
      <c r="K30" s="192" t="n"/>
      <c r="L30" s="192" t="n"/>
    </row>
    <row r="31" ht="38" customHeight="1" s="71">
      <c r="A31" s="193" t="inlineStr">
        <is>
          <t>Margin</t>
        </is>
      </c>
      <c r="B31" s="193" t="inlineStr"/>
      <c r="C31" s="193" t="inlineStr">
        <is>
          <t>Share of price for cost</t>
        </is>
      </c>
      <c r="D31" s="194" t="inlineStr">
        <is>
          <t>Shelf 4 SKUs, ₴</t>
        </is>
      </c>
      <c r="E31" s="194" t="inlineStr">
        <is>
          <t>Shelf 2 SKUs, ₴</t>
        </is>
      </c>
      <c r="F31" s="195" t="inlineStr">
        <is>
          <t>Request, €/pack</t>
        </is>
      </c>
      <c r="G31" s="195" t="inlineStr">
        <is>
          <t>Landed cost, ₴</t>
        </is>
      </c>
      <c r="H31" s="195" t="inlineStr">
        <is>
          <t>Shelf, ₴</t>
        </is>
      </c>
      <c r="I31" s="196" t="inlineStr">
        <is>
          <t>Δ 4 SKUs, ₴</t>
        </is>
      </c>
      <c r="J31" s="196" t="inlineStr">
        <is>
          <t>Δ 4 SKUs, %</t>
        </is>
      </c>
      <c r="K31" s="196" t="inlineStr">
        <is>
          <t>Δ 2 SKUs, ₴</t>
        </is>
      </c>
      <c r="L31" s="196" t="inlineStr">
        <is>
          <t>Δ 2 SKUs, %</t>
        </is>
      </c>
    </row>
    <row r="32" ht="28" customHeight="1" s="71">
      <c r="A32" s="211" t="n">
        <v>0.35</v>
      </c>
      <c r="B32" s="212" t="str">
        <f>IF(ABS(A32-'Price 120 UAH - 33 pallets'!$C$14)&lt;0.01,"◄ ≈ current","")</f>
        <v/>
      </c>
      <c r="C32" s="213">
        <f>1-'Model 33 pallets'!$D$4-A32</f>
        <v>0.30000000000000004</v>
      </c>
      <c r="D32" s="214">
        <f>'Model 33 pallets'!$F$13/C32*'Model 33 pallets'!$D$6</f>
        <v>237.1838336980307</v>
      </c>
      <c r="E32" s="215">
        <f>'Model 33 pallets'!$F$11/C32*'Model 33 pallets'!$D$6</f>
        <v>273.6736542669583</v>
      </c>
      <c r="F32" s="216">
        <f>ROUNDDOWN((('Price 120 UAH - 33 pallets'!$B$14/'Price 120 UAH - 33 pallets'!$E$14*C32/(1+'Price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0.29</v>
      </c>
      <c r="G32" s="217">
        <f>(F32*'Model 33 pallets'!$D$3+('Price 120 UAH - 33 pallets'!$E$16+'Price 120 UAH - 33 pallets'!$F$16+'Price 120 UAH - 33 pallets'!$G$16)/('Price 120 UAH - 33 pallets'!$C$18*'Price 120 UAH - 33 pallets'!$D$18)*'Model 33 pallets'!$D$3+(F32+'Price 120 UAH - 33 pallets'!$E$16*'Price 120 UAH - 33 pallets'!$B$18/('Price 120 UAH - 33 pallets'!$C$18*'Price 120 UAH - 33 pallets'!$D$18))*'Price 120 UAH - 33 pallets'!$D$16*'Model 33 pallets'!$D$3+(F32+'Price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25.631410909090906</v>
      </c>
      <c r="H32" s="218">
        <f>G32/C32*'Model 33 pallets'!$D$6</f>
        <v>119.61325090909087</v>
      </c>
      <c r="I32" s="209">
        <f>H32-D32</f>
        <v>-117.57058278893983</v>
      </c>
      <c r="J32" s="210">
        <f>I32/D32</f>
        <v>-0.4956939136864791</v>
      </c>
      <c r="K32" s="209">
        <f>H32-E32</f>
        <v>-154.06040335786741</v>
      </c>
      <c r="L32" s="210">
        <f>K32/E32</f>
        <v>-0.5629347251949481</v>
      </c>
    </row>
    <row r="33" ht="28" customHeight="1" s="71">
      <c r="A33" s="211" t="n">
        <v>0.3</v>
      </c>
      <c r="B33" s="212" t="str">
        <f>IF(ABS(A33-'Price 120 UAH - 33 pallets'!$C$14)&lt;0.01,"◄ ≈ current","")</f>
        <v/>
      </c>
      <c r="C33" s="213">
        <f>1-'Model 33 pallets'!$D$4-A33</f>
        <v>0.35000000000000003</v>
      </c>
      <c r="D33" s="214">
        <f>'Model 33 pallets'!$F$13/C33*'Model 33 pallets'!$D$6</f>
        <v>203.30042888402633</v>
      </c>
      <c r="E33" s="215">
        <f>'Model 33 pallets'!$F$11/C33*'Model 33 pallets'!$D$6</f>
        <v>234.5774179431071</v>
      </c>
      <c r="F33" s="216">
        <f>ROUNDDOWN((('Price 120 UAH - 33 pallets'!$B$14/'Price 120 UAH - 33 pallets'!$E$14*C33/(1+'Price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0.35</v>
      </c>
      <c r="G33" s="217">
        <f>(F33*'Model 33 pallets'!$D$3+('Price 120 UAH - 33 pallets'!$E$16+'Price 120 UAH - 33 pallets'!$F$16+'Price 120 UAH - 33 pallets'!$G$16)/('Price 120 UAH - 33 pallets'!$C$18*'Price 120 UAH - 33 pallets'!$D$18)*'Model 33 pallets'!$D$3+(F33+'Price 120 UAH - 33 pallets'!$E$16*'Price 120 UAH - 33 pallets'!$B$18/('Price 120 UAH - 33 pallets'!$C$18*'Price 120 UAH - 33 pallets'!$D$18))*'Price 120 UAH - 33 pallets'!$D$16*'Model 33 pallets'!$D$3+(F33+'Price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29.88229090909091</v>
      </c>
      <c r="H33" s="218">
        <f>G33/C33*'Model 33 pallets'!$D$6</f>
        <v>119.5291636363636</v>
      </c>
      <c r="I33" s="209">
        <f>H33-D33</f>
        <v>-83.77126524766273</v>
      </c>
      <c r="J33" s="210">
        <f>I33/D33</f>
        <v>-0.4120565101977745</v>
      </c>
      <c r="K33" s="209">
        <f>H33-E33</f>
        <v>-115.04825430674349</v>
      </c>
      <c r="L33" s="210">
        <f>K33/E33</f>
        <v>-0.4904489755047374</v>
      </c>
    </row>
    <row r="34" ht="28" customHeight="1" s="71">
      <c r="A34" s="211" t="n">
        <v>0.25</v>
      </c>
      <c r="B34" s="212" t="str">
        <f>IF(ABS(A34-'Price 120 UAH - 33 pallets'!$C$14)&lt;0.01,"◄ ≈ current","")</f>
        <v/>
      </c>
      <c r="C34" s="213">
        <f>1-'Model 33 pallets'!$D$4-A34</f>
        <v>0.4</v>
      </c>
      <c r="D34" s="214">
        <f>'Model 33 pallets'!$F$13/C34*'Model 33 pallets'!$D$6</f>
        <v>177.88787527352306</v>
      </c>
      <c r="E34" s="215">
        <f>'Model 33 pallets'!$F$11/C34*'Model 33 pallets'!$D$6</f>
        <v>205.25524070021874</v>
      </c>
      <c r="F34" s="216">
        <f>ROUNDDOWN((('Price 120 UAH - 33 pallets'!$B$14/'Price 120 UAH - 33 pallets'!$E$14*C34/(1+'Price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0.41</v>
      </c>
      <c r="G34" s="217">
        <f>(F34*'Model 33 pallets'!$D$3+('Price 120 UAH - 33 pallets'!$E$16+'Price 120 UAH - 33 pallets'!$F$16+'Price 120 UAH - 33 pallets'!$G$16)/('Price 120 UAH - 33 pallets'!$C$18*'Price 120 UAH - 33 pallets'!$D$18)*'Model 33 pallets'!$D$3+(F34+'Price 120 UAH - 33 pallets'!$E$16*'Price 120 UAH - 33 pallets'!$B$18/('Price 120 UAH - 33 pallets'!$C$18*'Price 120 UAH - 33 pallets'!$D$18))*'Price 120 UAH - 33 pallets'!$D$16*'Model 33 pallets'!$D$3+(F34+'Price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34.13317090909091</v>
      </c>
      <c r="H34" s="218">
        <f>G34/C34*'Model 33 pallets'!$D$6</f>
        <v>119.46609818181815</v>
      </c>
      <c r="I34" s="209">
        <f>H34-D34</f>
        <v>-58.42177709170491</v>
      </c>
      <c r="J34" s="210">
        <f>I34/D34</f>
        <v>-0.32841910670907004</v>
      </c>
      <c r="K34" s="209">
        <f>H34-E34</f>
        <v>-85.78914251840058</v>
      </c>
      <c r="L34" s="210">
        <f>K34/E34</f>
        <v>-0.41796322581452683</v>
      </c>
    </row>
    <row r="35" ht="28" customHeight="1" s="71">
      <c r="A35" s="211" t="n">
        <v>0.2</v>
      </c>
      <c r="B35" s="212" t="str">
        <f>IF(ABS(A35-'Price 120 UAH - 33 pallets'!$C$14)&lt;0.01,"◄ ≈ current","")</f>
        <v/>
      </c>
      <c r="C35" s="213">
        <f>1-'Model 33 pallets'!$D$4-A35</f>
        <v>0.45</v>
      </c>
      <c r="D35" s="214">
        <f>'Model 33 pallets'!$F$13/C35*'Model 33 pallets'!$D$6</f>
        <v>158.12255579868716</v>
      </c>
      <c r="E35" s="215">
        <f>'Model 33 pallets'!$F$11/C35*'Model 33 pallets'!$D$6</f>
        <v>182.44910284463887</v>
      </c>
      <c r="F35" s="216">
        <f>ROUNDDOWN((('Price 120 UAH - 33 pallets'!$B$14/'Price 120 UAH - 33 pallets'!$E$14*C35/(1+'Price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0.47</v>
      </c>
      <c r="G35" s="217">
        <f>(F35*'Model 33 pallets'!$D$3+('Price 120 UAH - 33 pallets'!$E$16+'Price 120 UAH - 33 pallets'!$F$16+'Price 120 UAH - 33 pallets'!$G$16)/('Price 120 UAH - 33 pallets'!$C$18*'Price 120 UAH - 33 pallets'!$D$18)*'Model 33 pallets'!$D$3+(F35+'Price 120 UAH - 33 pallets'!$E$16*'Price 120 UAH - 33 pallets'!$B$18/('Price 120 UAH - 33 pallets'!$C$18*'Price 120 UAH - 33 pallets'!$D$18))*'Price 120 UAH - 33 pallets'!$D$16*'Model 33 pallets'!$D$3+(F35+'Price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38.3840509090909</v>
      </c>
      <c r="H35" s="218">
        <f>G35/C35*'Model 33 pallets'!$D$6</f>
        <v>119.41704727272725</v>
      </c>
      <c r="I35" s="209">
        <f>H35-D35</f>
        <v>-38.705508525959914</v>
      </c>
      <c r="J35" s="210">
        <f>I35/D35</f>
        <v>-0.24478170322036544</v>
      </c>
      <c r="K35" s="209">
        <f>H35-E35</f>
        <v>-63.03205557191163</v>
      </c>
      <c r="L35" s="210">
        <f>K35/E35</f>
        <v>-0.3454774761243161</v>
      </c>
    </row>
    <row r="36" ht="28" customHeight="1" s="71">
      <c r="A36" s="211" t="n">
        <v>0.15</v>
      </c>
      <c r="B36" s="212" t="str">
        <f>IF(ABS(A36-'Price 120 UAH - 33 pallets'!$C$14)&lt;0.01,"◄ ≈ current","")</f>
        <v>◄ ≈ current</v>
      </c>
      <c r="C36" s="213">
        <f>1-'Model 33 pallets'!$D$4-A36</f>
        <v>0.5</v>
      </c>
      <c r="D36" s="214">
        <f>'Model 33 pallets'!$F$13/C36*'Model 33 pallets'!$D$6</f>
        <v>142.31030021881844</v>
      </c>
      <c r="E36" s="215">
        <f>'Model 33 pallets'!$F$11/C36*'Model 33 pallets'!$D$6</f>
        <v>164.204192560175</v>
      </c>
      <c r="F36" s="216">
        <f>ROUNDDOWN((('Price 120 UAH - 33 pallets'!$B$14/'Price 120 UAH - 33 pallets'!$E$14*C36/(1+'Price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0.53</v>
      </c>
      <c r="G36" s="217">
        <f>(F36*'Model 33 pallets'!$D$3+('Price 120 UAH - 33 pallets'!$E$16+'Price 120 UAH - 33 pallets'!$F$16+'Price 120 UAH - 33 pallets'!$G$16)/('Price 120 UAH - 33 pallets'!$C$18*'Price 120 UAH - 33 pallets'!$D$18)*'Model 33 pallets'!$D$3+(F36+'Price 120 UAH - 33 pallets'!$E$16*'Price 120 UAH - 33 pallets'!$B$18/('Price 120 UAH - 33 pallets'!$C$18*'Price 120 UAH - 33 pallets'!$D$18))*'Price 120 UAH - 33 pallets'!$D$16*'Model 33 pallets'!$D$3+(F36+'Price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42.63493090909091</v>
      </c>
      <c r="H36" s="218">
        <f>G36/C36*'Model 33 pallets'!$D$6</f>
        <v>119.37780654545455</v>
      </c>
      <c r="I36" s="209">
        <f>H36-D36</f>
        <v>-22.932493673363894</v>
      </c>
      <c r="J36" s="210">
        <f>I36/D36</f>
        <v>-0.16114429973166067</v>
      </c>
      <c r="K36" s="209">
        <f>H36-E36</f>
        <v>-44.82638601472044</v>
      </c>
      <c r="L36" s="210">
        <f>K36/E36</f>
        <v>-0.2729917264341053</v>
      </c>
    </row>
    <row r="37" ht="28" customHeight="1" s="71">
      <c r="A37" s="211" t="n">
        <v>0.1</v>
      </c>
      <c r="B37" s="212" t="str">
        <f>IF(ABS(A37-'Price 120 UAH - 33 pallets'!$C$14)&lt;0.01,"◄ ≈ current","")</f>
        <v/>
      </c>
      <c r="C37" s="213">
        <f>1-'Model 33 pallets'!$D$4-A37</f>
        <v>0.55</v>
      </c>
      <c r="D37" s="214">
        <f>'Model 33 pallets'!$F$13/C37*'Model 33 pallets'!$D$6</f>
        <v>129.37300019892584</v>
      </c>
      <c r="E37" s="215">
        <f>'Model 33 pallets'!$F$11/C37*'Model 33 pallets'!$D$6</f>
        <v>149.27653869106817</v>
      </c>
      <c r="F37" s="216">
        <f>ROUNDDOWN((('Price 120 UAH - 33 pallets'!$B$14/'Price 120 UAH - 33 pallets'!$E$14*C37/(1+'Price 120 UAH - 33 pallets'!$G$14))/'Model 33 pallets'!$D$3/(1+'Price 120 UAH - 33 pallets'!$C$16)-('Price 120 UAH - 33 pallets'!$E$16+'Price 120 UAH - 33 pallets'!$F$16+'Price 120 UAH - 33 pallets'!$G$16+'Price 120 UAH - 33 pallets'!$E$16*'Price 120 UAH - 33 pallets'!$B$18*('Price 120 UAH - 33 pallets'!$D$16+'Price 120 UAH - 33 pallets'!$B$16*(1+'Price 120 UAH - 33 pallets'!$D$16)))/('Price 120 UAH - 33 pallets'!$C$18*'Price 120 UAH - 33 pallets'!$D$18))/((1+'Price 120 UAH - 33 pallets'!$D$16)*(1+'Price 120 UAH - 33 pallets'!$B$16)),2)</f>
        <v>0.59</v>
      </c>
      <c r="G37" s="217">
        <f>(F37*'Model 33 pallets'!$D$3+('Price 120 UAH - 33 pallets'!$E$16+'Price 120 UAH - 33 pallets'!$F$16+'Price 120 UAH - 33 pallets'!$G$16)/('Price 120 UAH - 33 pallets'!$C$18*'Price 120 UAH - 33 pallets'!$D$18)*'Model 33 pallets'!$D$3+(F37+'Price 120 UAH - 33 pallets'!$E$16*'Price 120 UAH - 33 pallets'!$B$18/('Price 120 UAH - 33 pallets'!$C$18*'Price 120 UAH - 33 pallets'!$D$18))*'Price 120 UAH - 33 pallets'!$D$16*'Model 33 pallets'!$D$3+(F37+'Price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pallets'!$C$16)*(1+'Price 120 UAH - 33 pallets'!$G$14)</f>
        <v>46.8858109090909</v>
      </c>
      <c r="H37" s="218">
        <f>G37/C37*'Model 33 pallets'!$D$6</f>
        <v>119.34570049586773</v>
      </c>
      <c r="I37" s="209">
        <f>H37-D37</f>
        <v>-10.027299703058105</v>
      </c>
      <c r="J37" s="210">
        <f>I37/D37</f>
        <v>-0.07750689624295627</v>
      </c>
      <c r="K37" s="209">
        <f>H37-E37</f>
        <v>-29.930838195200437</v>
      </c>
      <c r="L37" s="210">
        <f>K37/E37</f>
        <v>-0.20050597674389486</v>
      </c>
    </row>
  </sheetData>
  <mergeCells count="14">
    <mergeCell ref="A12:H12"/>
    <mergeCell ref="F2:G2"/>
    <mergeCell ref="A8:A9"/>
    <mergeCell ref="B2:C2"/>
    <mergeCell ref="A29:L29"/>
    <mergeCell ref="D2:E2"/>
    <mergeCell ref="D30:E30"/>
    <mergeCell ref="A4:A5"/>
    <mergeCell ref="A28:L28"/>
    <mergeCell ref="F30:H30"/>
    <mergeCell ref="I30:L30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L57" evalError="1" formula="1" formulaRange="1" unlockedFormula="1" numberStoredAsText="1" emptyCellReference="1" twoDigitTextYear="1" listDataValidation="1" calculatedColumn="1"/>
  </ignoredError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  <col width="16" customWidth="1" style="71" min="15" max="15"/>
    <col width="16" customWidth="1" style="71" min="16" max="16"/>
    <col width="16" customWidth="1" style="71" min="17" max="17"/>
    <col width="16" customWidth="1" style="71" min="18" max="18"/>
    <col width="16" customWidth="1" style="71" min="19" max="19"/>
    <col width="16" customWidth="1" style="71" min="20" max="20"/>
  </cols>
  <sheetData>
    <row r="1" ht="26" customHeight="1" s="71">
      <c r="A1" s="153" t="inlineStr">
        <is>
          <t>INTERNAL FILE — for us only · Price-structure scenarios with a proportional cost uplift</t>
        </is>
      </c>
    </row>
    <row r="2" ht="30" customHeight="1" s="71">
      <c r="A2" s="154" t="str">
        <f>"Allowed (shown) landed cost = partner price × (1 − bonus − margin); product landed cost = that budget ÷ (1 + uplift). 1 p.p. of margin or bonus = "&amp;ROUND(E5/100,2)&amp;" ₴ per pack = €"&amp;ROUND(E5/100/D5/(1+C5)/((1+G5)*(1+F5)),4)&amp;" on the request."</f>
        <v>Allowed (shown) landed cost = partner price × (1 − bonus − margin); product landed cost = that budget ÷ (1 + uplift). 1 p.p. of margin or bonus = 0.86 ₴ per pack = €0.0136 on the request.</v>
      </c>
    </row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Cost uplift, % of landed cost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(shown cost), ₴</t>
        </is>
      </c>
      <c r="H7" s="161" t="inlineStr">
        <is>
          <t>Product landed cost allowed (budget ÷ (1 + uplift)),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  <c r="O7" s="161" t="inlineStr">
        <is>
          <t>33 pallets: shelf BEFORE 4 SKUs, ₴</t>
        </is>
      </c>
      <c r="P7" s="161" t="inlineStr">
        <is>
          <t>33 pallets: shelf BEFORE 2 SKUs, ₴</t>
        </is>
      </c>
      <c r="Q7" s="161" t="inlineStr">
        <is>
          <t>33 pallets: shelf AFTER request, ₴</t>
        </is>
      </c>
      <c r="R7" s="161" t="inlineStr">
        <is>
          <t>6 pallets: shelf BEFORE 4 SKUs, ₴</t>
        </is>
      </c>
      <c r="S7" s="161" t="inlineStr">
        <is>
          <t>6 pallets: shelf BEFORE 2 SKUs, ₴</t>
        </is>
      </c>
      <c r="T7" s="161" t="inlineStr">
        <is>
          <t>6 pallets: shelf AFTER request, ₴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4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G9/(1+D9)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84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84">
        <f>M9/0.65-1</f>
        <v>-0.5076923076923077</v>
      </c>
      <c r="O9" s="166">
        <f>'Model 33 pallets'!$AL$13*'Model 33 pallets'!$D$3*(1+$D9)/(1-$B9-$C9)*'Model 33 pallets'!$D$6</f>
        <v>140.55338293216636</v>
      </c>
      <c r="P9" s="166">
        <f>'Model 33 pallets'!$AL$11*'Model 33 pallets'!$D$3*(1+$D9)/(1-$B9-$C9)*'Model 33 pallets'!$D$6</f>
        <v>162.17698030634565</v>
      </c>
      <c r="Q9" s="219">
        <f>($J9*'Model 33 pallets'!$D$3+('Price 120 UAH - 33 pallets'!$E$16+'Price 120 UAH - 33 pallets'!$F$16+'Price 120 UAH - 33 pallets'!$G$16)/('Price 120 UAH - 33 pallets'!$C$18*'Price 120 UAH - 33 pallets'!$D$18)*'Model 33 pallets'!$D$3+($J9+'Price 120 UAH - 33 pallets'!$E$16*'Price 120 UAH - 33 pallets'!$B$18/('Price 120 UAH - 33 pallets'!$C$18*'Price 120 UAH - 33 pallets'!$D$18))*'Price 120 UAH - 33 pallets'!$D$16*'Model 33 pallets'!$D$3+($J9+'Price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pallets'!$C$16)*(1+$D9)/(1-$B9-$C9)*'Model 33 pallets'!$D$6</f>
        <v>119.8632597979798</v>
      </c>
      <c r="R9" s="166">
        <f>'Model 6 pallets'!$AL$13*'Model 6 pallets'!$D$3*(1+$D9)/(1-$B9-$C9)*'Model 6 pallets'!$D$6</f>
        <v>180.64106666666663</v>
      </c>
      <c r="S9" s="166">
        <f>'Model 6 pallets'!$AL$11*'Model 6 pallets'!$D$3*(1+$D9)/(1-$B9-$C9)*'Model 6 pallets'!$D$6</f>
        <v>208.43200000000002</v>
      </c>
      <c r="T9" s="219">
        <f>($M9*'Model 6 pallets'!$D$3+('Price 120 UAH - 6 pallets'!$E$16+'Price 120 UAH - 6 pallets'!$F$16+'Price 120 UAH - 6 pallets'!$G$16)/('Price 120 UAH - 6 pallets'!$C$18*'Price 120 UAH - 6 pallets'!$D$18)*'Model 6 pallets'!$D$3+($M9+'Price 120 UAH - 6 pallets'!$E$16*'Price 120 UAH - 6 pallets'!$B$18/('Price 120 UAH - 6 pallets'!$C$18*'Price 120 UAH - 6 pallets'!$D$18))*'Price 120 UAH - 6 pallets'!$D$16*'Model 6 pallets'!$D$3+($M9+'Price 120 UAH - 6 pallets'!$E$16*'Price 120 UAH - 6 pallets'!$B$18/('Price 120 UAH - 6 pallets'!$C$18*'Price 120 UAH - 6 pallets'!$D$18))*(1+'Price 120 UAH - 6 pallets'!$D$16)*'Price 120 UAH - 6 pallets'!$B$16*'Model 6 pallets'!$D$3)*(1+'Price 120 UAH - 6 pallets'!$C$16)*(1+$D9)/(1-$B9-$C9)*'Model 6 pallets'!$D$6</f>
        <v>118.71850666666664</v>
      </c>
    </row>
    <row r="10" ht="20" customHeight="1" s="71">
      <c r="A10" s="162" t="inlineStr">
        <is>
          <t>SAME REQUEST PRICE, different structure (uplift matched to the sum of bonus + margin)</t>
        </is>
      </c>
    </row>
    <row r="11" ht="34" customHeight="1" s="71">
      <c r="A11" s="170" t="inlineStr">
        <is>
          <t>★ Chain bonus 35 % + margin 20 % (no uplift)</t>
        </is>
      </c>
      <c r="B11" s="164" t="n">
        <v>0.35</v>
      </c>
      <c r="C11" s="164" t="n">
        <v>0.2</v>
      </c>
      <c r="D11" s="164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G11/(1+D11)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84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84">
        <f>M11/0.65-1</f>
        <v>-0.5076923076923077</v>
      </c>
      <c r="O11" s="166">
        <f>'Model 33 pallets'!$AL$13*'Model 33 pallets'!$D$3*(1+$D11)/(1-$B11-$C11)*'Model 33 pallets'!$D$6</f>
        <v>140.55338293216636</v>
      </c>
      <c r="P11" s="166">
        <f>'Model 33 pallets'!$AL$11*'Model 33 pallets'!$D$3*(1+$D11)/(1-$B11-$C11)*'Model 33 pallets'!$D$6</f>
        <v>162.17698030634565</v>
      </c>
      <c r="Q11" s="219">
        <f>($J11*'Model 33 pallets'!$D$3+('Price 120 UAH - 33 pallets'!$E$16+'Price 120 UAH - 33 pallets'!$F$16+'Price 120 UAH - 33 pallets'!$G$16)/('Price 120 UAH - 33 pallets'!$C$18*'Price 120 UAH - 33 pallets'!$D$18)*'Model 33 pallets'!$D$3+($J11+'Price 120 UAH - 33 pallets'!$E$16*'Price 120 UAH - 33 pallets'!$B$18/('Price 120 UAH - 33 pallets'!$C$18*'Price 120 UAH - 33 pallets'!$D$18))*'Price 120 UAH - 33 pallets'!$D$16*'Model 33 pallets'!$D$3+($J11+'Price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pallets'!$C$16)*(1+$D11)/(1-$B11-$C11)*'Model 33 pallets'!$D$6</f>
        <v>119.8632597979798</v>
      </c>
      <c r="R11" s="166">
        <f>'Model 6 pallets'!$AL$13*'Model 6 pallets'!$D$3*(1+$D11)/(1-$B11-$C11)*'Model 6 pallets'!$D$6</f>
        <v>180.64106666666663</v>
      </c>
      <c r="S11" s="166">
        <f>'Model 6 pallets'!$AL$11*'Model 6 pallets'!$D$3*(1+$D11)/(1-$B11-$C11)*'Model 6 pallets'!$D$6</f>
        <v>208.43200000000002</v>
      </c>
      <c r="T11" s="219">
        <f>($M11*'Model 6 pallets'!$D$3+('Price 120 UAH - 6 pallets'!$E$16+'Price 120 UAH - 6 pallets'!$F$16+'Price 120 UAH - 6 pallets'!$G$16)/('Price 120 UAH - 6 pallets'!$C$18*'Price 120 UAH - 6 pallets'!$D$18)*'Model 6 pallets'!$D$3+($M11+'Price 120 UAH - 6 pallets'!$E$16*'Price 120 UAH - 6 pallets'!$B$18/('Price 120 UAH - 6 pallets'!$C$18*'Price 120 UAH - 6 pallets'!$D$18))*'Price 120 UAH - 6 pallets'!$D$16*'Model 6 pallets'!$D$3+($M11+'Price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pallets'!$C$16)*(1+$D11)/(1-$B11-$C11)*'Model 6 pallets'!$D$6</f>
        <v>118.71850666666664</v>
      </c>
    </row>
    <row r="12" ht="34" customHeight="1" s="71">
      <c r="A12" s="163" t="inlineStr">
        <is>
          <t>Bonus 30 % + margin 25 % (no uplift)</t>
        </is>
      </c>
      <c r="B12" s="164" t="n">
        <v>0.3</v>
      </c>
      <c r="C12" s="164" t="n">
        <v>0.25</v>
      </c>
      <c r="D12" s="164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G12/(1+D12)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84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84">
        <f>M12/0.65-1</f>
        <v>-0.5076923076923077</v>
      </c>
      <c r="O12" s="166">
        <f>'Model 33 pallets'!$AL$13*'Model 33 pallets'!$D$3*(1+$D12)/(1-$B12-$C12)*'Model 33 pallets'!$D$6</f>
        <v>140.5533829321664</v>
      </c>
      <c r="P12" s="166">
        <f>'Model 33 pallets'!$AL$11*'Model 33 pallets'!$D$3*(1+$D12)/(1-$B12-$C12)*'Model 33 pallets'!$D$6</f>
        <v>162.17698030634565</v>
      </c>
      <c r="Q12" s="219">
        <f>($J12*'Model 33 pallets'!$D$3+('Price 120 UAH - 33 pallets'!$E$16+'Price 120 UAH - 33 pallets'!$F$16+'Price 120 UAH - 33 pallets'!$G$16)/('Price 120 UAH - 33 pallets'!$C$18*'Price 120 UAH - 33 pallets'!$D$18)*'Model 33 pallets'!$D$3+($J12+'Price 120 UAH - 33 pallets'!$E$16*'Price 120 UAH - 33 pallets'!$B$18/('Price 120 UAH - 33 pallets'!$C$18*'Price 120 UAH - 33 pallets'!$D$18))*'Price 120 UAH - 33 pallets'!$D$16*'Model 33 pallets'!$D$3+($J12+'Price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pallets'!$C$16)*(1+$D12)/(1-$B12-$C12)*'Model 33 pallets'!$D$6</f>
        <v>119.86325979797982</v>
      </c>
      <c r="R12" s="166">
        <f>'Model 6 pallets'!$AL$13*'Model 6 pallets'!$D$3*(1+$D12)/(1-$B12-$C12)*'Model 6 pallets'!$D$6</f>
        <v>180.64106666666666</v>
      </c>
      <c r="S12" s="166">
        <f>'Model 6 pallets'!$AL$11*'Model 6 pallets'!$D$3*(1+$D12)/(1-$B12-$C12)*'Model 6 pallets'!$D$6</f>
        <v>208.43200000000002</v>
      </c>
      <c r="T12" s="219">
        <f>($M12*'Model 6 pallets'!$D$3+('Price 120 UAH - 6 pallets'!$E$16+'Price 120 UAH - 6 pallets'!$F$16+'Price 120 UAH - 6 pallets'!$G$16)/('Price 120 UAH - 6 pallets'!$C$18*'Price 120 UAH - 6 pallets'!$D$18)*'Model 6 pallets'!$D$3+($M12+'Price 120 UAH - 6 pallets'!$E$16*'Price 120 UAH - 6 pallets'!$B$18/('Price 120 UAH - 6 pallets'!$C$18*'Price 120 UAH - 6 pallets'!$D$18))*'Price 120 UAH - 6 pallets'!$D$16*'Model 6 pallets'!$D$3+($M12+'Price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pallets'!$C$16)*(1+$D12)/(1-$B12-$C12)*'Model 6 pallets'!$D$6</f>
        <v>118.71850666666664</v>
      </c>
    </row>
    <row r="13" ht="34" customHeight="1" s="71">
      <c r="A13" s="163" t="inlineStr">
        <is>
          <t>Bonus 25 % + margin 20 % + uplift matched to the same request</t>
        </is>
      </c>
      <c r="B13" s="164" t="n">
        <v>0.25</v>
      </c>
      <c r="C13" s="164" t="n">
        <v>0.2</v>
      </c>
      <c r="D13" s="164">
        <f>(1-B13-C13)/(1-$B$9-$C$9)-1</f>
        <v>0.22222222222222232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G13/(1+D13)</f>
        <v>38.57142857142857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84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84">
        <f>M13/0.65-1</f>
        <v>-0.5076923076923077</v>
      </c>
      <c r="O13" s="166">
        <f>'Model 33 pallets'!$AL$13*'Model 33 pallets'!$D$3*(1+$D13)/(1-$B13-$C13)*'Model 33 pallets'!$D$6</f>
        <v>140.55338293216636</v>
      </c>
      <c r="P13" s="166">
        <f>'Model 33 pallets'!$AL$11*'Model 33 pallets'!$D$3*(1+$D13)/(1-$B13-$C13)*'Model 33 pallets'!$D$6</f>
        <v>162.17698030634565</v>
      </c>
      <c r="Q13" s="219">
        <f>($J13*'Model 33 pallets'!$D$3+('Price 120 UAH - 33 pallets'!$E$16+'Price 120 UAH - 33 pallets'!$F$16+'Price 120 UAH - 33 pallets'!$G$16)/('Price 120 UAH - 33 pallets'!$C$18*'Price 120 UAH - 33 pallets'!$D$18)*'Model 33 pallets'!$D$3+($J13+'Price 120 UAH - 33 pallets'!$E$16*'Price 120 UAH - 33 pallets'!$B$18/('Price 120 UAH - 33 pallets'!$C$18*'Price 120 UAH - 33 pallets'!$D$18))*'Price 120 UAH - 33 pallets'!$D$16*'Model 33 pallets'!$D$3+($J13+'Price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pallets'!$C$16)*(1+$D13)/(1-$B13-$C13)*'Model 33 pallets'!$D$6</f>
        <v>119.8632597979798</v>
      </c>
      <c r="R13" s="166">
        <f>'Model 6 pallets'!$AL$13*'Model 6 pallets'!$D$3*(1+$D13)/(1-$B13-$C13)*'Model 6 pallets'!$D$6</f>
        <v>180.64106666666663</v>
      </c>
      <c r="S13" s="166">
        <f>'Model 6 pallets'!$AL$11*'Model 6 pallets'!$D$3*(1+$D13)/(1-$B13-$C13)*'Model 6 pallets'!$D$6</f>
        <v>208.43200000000002</v>
      </c>
      <c r="T13" s="219">
        <f>($M13*'Model 6 pallets'!$D$3+('Price 120 UAH - 6 pallets'!$E$16+'Price 120 UAH - 6 pallets'!$F$16+'Price 120 UAH - 6 pallets'!$G$16)/('Price 120 UAH - 6 pallets'!$C$18*'Price 120 UAH - 6 pallets'!$D$18)*'Model 6 pallets'!$D$3+($M13+'Price 120 UAH - 6 pallets'!$E$16*'Price 120 UAH - 6 pallets'!$B$18/('Price 120 UAH - 6 pallets'!$C$18*'Price 120 UAH - 6 pallets'!$D$18))*'Price 120 UAH - 6 pallets'!$D$16*'Model 6 pallets'!$D$3+($M13+'Price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pallets'!$C$16)*(1+$D13)/(1-$B13-$C13)*'Model 6 pallets'!$D$6</f>
        <v>118.71850666666664</v>
      </c>
    </row>
    <row r="14" ht="34" customHeight="1" s="71">
      <c r="A14" s="163" t="inlineStr">
        <is>
          <t>Bonus 25 % + margin 25 % + uplift matched to the same request</t>
        </is>
      </c>
      <c r="B14" s="164" t="n">
        <v>0.25</v>
      </c>
      <c r="C14" s="164" t="n">
        <v>0.25</v>
      </c>
      <c r="D14" s="164">
        <f>(1-B14-C14)/(1-$B$9-$C$9)-1</f>
        <v>0.11111111111111116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G14/(1+D14)</f>
        <v>38.57142857142858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84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84">
        <f>M14/0.65-1</f>
        <v>-0.5076923076923077</v>
      </c>
      <c r="O14" s="166">
        <f>'Model 33 pallets'!$AL$13*'Model 33 pallets'!$D$3*(1+$D14)/(1-$B14-$C14)*'Model 33 pallets'!$D$6</f>
        <v>140.55338293216636</v>
      </c>
      <c r="P14" s="166">
        <f>'Model 33 pallets'!$AL$11*'Model 33 pallets'!$D$3*(1+$D14)/(1-$B14-$C14)*'Model 33 pallets'!$D$6</f>
        <v>162.17698030634565</v>
      </c>
      <c r="Q14" s="219">
        <f>($J14*'Model 33 pallets'!$D$3+('Price 120 UAH - 33 pallets'!$E$16+'Price 120 UAH - 33 pallets'!$F$16+'Price 120 UAH - 33 pallets'!$G$16)/('Price 120 UAH - 33 pallets'!$C$18*'Price 120 UAH - 33 pallets'!$D$18)*'Model 33 pallets'!$D$3+($J14+'Price 120 UAH - 33 pallets'!$E$16*'Price 120 UAH - 33 pallets'!$B$18/('Price 120 UAH - 33 pallets'!$C$18*'Price 120 UAH - 33 pallets'!$D$18))*'Price 120 UAH - 33 pallets'!$D$16*'Model 33 pallets'!$D$3+($J14+'Price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pallets'!$C$16)*(1+$D14)/(1-$B14-$C14)*'Model 33 pallets'!$D$6</f>
        <v>119.8632597979798</v>
      </c>
      <c r="R14" s="166">
        <f>'Model 6 pallets'!$AL$13*'Model 6 pallets'!$D$3*(1+$D14)/(1-$B14-$C14)*'Model 6 pallets'!$D$6</f>
        <v>180.64106666666666</v>
      </c>
      <c r="S14" s="166">
        <f>'Model 6 pallets'!$AL$11*'Model 6 pallets'!$D$3*(1+$D14)/(1-$B14-$C14)*'Model 6 pallets'!$D$6</f>
        <v>208.43200000000002</v>
      </c>
      <c r="T14" s="219">
        <f>($M14*'Model 6 pallets'!$D$3+('Price 120 UAH - 6 pallets'!$E$16+'Price 120 UAH - 6 pallets'!$F$16+'Price 120 UAH - 6 pallets'!$G$16)/('Price 120 UAH - 6 pallets'!$C$18*'Price 120 UAH - 6 pallets'!$D$18)*'Model 6 pallets'!$D$3+($M14+'Price 120 UAH - 6 pallets'!$E$16*'Price 120 UAH - 6 pallets'!$B$18/('Price 120 UAH - 6 pallets'!$C$18*'Price 120 UAH - 6 pallets'!$D$18))*'Price 120 UAH - 6 pallets'!$D$16*'Model 6 pallets'!$D$3+($M14+'Price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pallets'!$C$16)*(1+$D14)/(1-$B14-$C14)*'Model 6 pallets'!$D$6</f>
        <v>118.71850666666664</v>
      </c>
    </row>
    <row r="15" ht="20" customHeight="1" s="71">
      <c r="A15" s="162" t="inlineStr">
        <is>
          <t>EXAMPLE: +10 % proportional uplift of landed cost (the request gets lower)</t>
        </is>
      </c>
    </row>
    <row r="16" ht="34" customHeight="1" s="71">
      <c r="A16" s="163" t="inlineStr">
        <is>
          <t>Bonus 25 % + margin 20 % + 10 % uplift</t>
        </is>
      </c>
      <c r="B16" s="164" t="n">
        <v>0.25</v>
      </c>
      <c r="C16" s="164" t="n">
        <v>0.2</v>
      </c>
      <c r="D16" s="164" t="n">
        <v>0.1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G16/(1+D16)</f>
        <v>42.857142857142854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0.6087510558547143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16" s="184">
        <f>J16/0.65-1</f>
        <v>-0.07692307692307698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16" s="184">
        <f>M16/0.65-1</f>
        <v>-0.4</v>
      </c>
      <c r="O16" s="166">
        <f>'Model 33 pallets'!$AL$13*'Model 33 pallets'!$D$3*(1+$D16)/(1-$B16-$C16)*'Model 33 pallets'!$D$6</f>
        <v>126.49804463894974</v>
      </c>
      <c r="P16" s="166">
        <f>'Model 33 pallets'!$AL$11*'Model 33 pallets'!$D$3*(1+$D16)/(1-$B16-$C16)*'Model 33 pallets'!$D$6</f>
        <v>145.95928227571108</v>
      </c>
      <c r="Q16" s="219">
        <f>($J16*'Model 33 pallets'!$D$3+('Price 120 UAH - 33 pallets'!$E$16+'Price 120 UAH - 33 pallets'!$F$16+'Price 120 UAH - 33 pallets'!$G$16)/('Price 120 UAH - 33 pallets'!$C$18*'Price 120 UAH - 33 pallets'!$D$18)*'Model 33 pallets'!$D$3+($J16+'Price 120 UAH - 33 pallets'!$E$16*'Price 120 UAH - 33 pallets'!$B$18/('Price 120 UAH - 33 pallets'!$C$18*'Price 120 UAH - 33 pallets'!$D$18))*'Price 120 UAH - 33 pallets'!$D$16*'Model 33 pallets'!$D$3+($J16+'Price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pallets'!$C$16)*(1+$D16)/(1-$B16-$C16)*'Model 33 pallets'!$D$6</f>
        <v>118.45690181818179</v>
      </c>
      <c r="R16" s="166">
        <f>'Model 6 pallets'!$AL$13*'Model 6 pallets'!$D$3*(1+$D16)/(1-$B16-$C16)*'Model 6 pallets'!$D$6</f>
        <v>162.57695999999999</v>
      </c>
      <c r="S16" s="166">
        <f>'Model 6 pallets'!$AL$11*'Model 6 pallets'!$D$3*(1+$D16)/(1-$B16-$C16)*'Model 6 pallets'!$D$6</f>
        <v>187.58880000000002</v>
      </c>
      <c r="T16" s="219">
        <f>($M16*'Model 6 pallets'!$D$3+('Price 120 UAH - 6 pallets'!$E$16+'Price 120 UAH - 6 pallets'!$F$16+'Price 120 UAH - 6 pallets'!$G$16)/('Price 120 UAH - 6 pallets'!$C$18*'Price 120 UAH - 6 pallets'!$D$18)*'Model 6 pallets'!$D$3+($M16+'Price 120 UAH - 6 pallets'!$E$16*'Price 120 UAH - 6 pallets'!$B$18/('Price 120 UAH - 6 pallets'!$C$18*'Price 120 UAH - 6 pallets'!$D$18))*'Price 120 UAH - 6 pallets'!$D$16*'Model 6 pallets'!$D$3+($M16+'Price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pallets'!$C$16)*(1+$D16)/(1-$B16-$C16)*'Model 6 pallets'!$D$6</f>
        <v>119.18995199999998</v>
      </c>
    </row>
    <row r="17" ht="34" customHeight="1" s="71">
      <c r="A17" s="163" t="inlineStr">
        <is>
          <t>Bonus 25 % + margin 25 % + 10 % uplift</t>
        </is>
      </c>
      <c r="B17" s="164" t="n">
        <v>0.25</v>
      </c>
      <c r="C17" s="164" t="n">
        <v>0.25</v>
      </c>
      <c r="D17" s="164" t="n">
        <v>0.1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G17/(1+D17)</f>
        <v>38.96103896103896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0.5468845686833491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7" s="184">
        <f>J17/0.65-1</f>
        <v>-0.16923076923076918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0.3327273717136522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0.33</v>
      </c>
      <c r="N17" s="184">
        <f>M17/0.65-1</f>
        <v>-0.49230769230769234</v>
      </c>
      <c r="O17" s="166">
        <f>'Model 33 pallets'!$AL$13*'Model 33 pallets'!$D$3*(1+$D17)/(1-$B17-$C17)*'Model 33 pallets'!$D$6</f>
        <v>139.14784910284473</v>
      </c>
      <c r="P17" s="166">
        <f>'Model 33 pallets'!$AL$11*'Model 33 pallets'!$D$3*(1+$D17)/(1-$B17-$C17)*'Model 33 pallets'!$D$6</f>
        <v>160.5552105032822</v>
      </c>
      <c r="Q17" s="219">
        <f>($J17*'Model 33 pallets'!$D$3+('Price 120 UAH - 33 pallets'!$E$16+'Price 120 UAH - 33 pallets'!$F$16+'Price 120 UAH - 33 pallets'!$G$16)/('Price 120 UAH - 33 pallets'!$C$18*'Price 120 UAH - 33 pallets'!$D$18)*'Model 33 pallets'!$D$3+($J17+'Price 120 UAH - 33 pallets'!$E$16*'Price 120 UAH - 33 pallets'!$B$18/('Price 120 UAH - 33 pallets'!$C$18*'Price 120 UAH - 33 pallets'!$D$18))*'Price 120 UAH - 33 pallets'!$D$16*'Model 33 pallets'!$D$3+($J17+'Price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pallets'!$C$16)*(1+$D17)/(1-$B17-$C17)*'Model 33 pallets'!$D$6</f>
        <v>118.66462720000001</v>
      </c>
      <c r="R17" s="166">
        <f>'Model 6 pallets'!$AL$13*'Model 6 pallets'!$D$3*(1+$D17)/(1-$B17-$C17)*'Model 6 pallets'!$D$6</f>
        <v>178.834656</v>
      </c>
      <c r="S17" s="166">
        <f>'Model 6 pallets'!$AL$11*'Model 6 pallets'!$D$3*(1+$D17)/(1-$B17-$C17)*'Model 6 pallets'!$D$6</f>
        <v>206.34768000000003</v>
      </c>
      <c r="T17" s="219">
        <f>($M17*'Model 6 pallets'!$D$3+('Price 120 UAH - 6 pallets'!$E$16+'Price 120 UAH - 6 pallets'!$F$16+'Price 120 UAH - 6 pallets'!$G$16)/('Price 120 UAH - 6 pallets'!$C$18*'Price 120 UAH - 6 pallets'!$D$18)*'Model 6 pallets'!$D$3+($M17+'Price 120 UAH - 6 pallets'!$E$16*'Price 120 UAH - 6 pallets'!$B$18/('Price 120 UAH - 6 pallets'!$C$18*'Price 120 UAH - 6 pallets'!$D$18))*'Price 120 UAH - 6 pallets'!$D$16*'Model 6 pallets'!$D$3+($M17+'Price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pallets'!$C$16)*(1+$D17)/(1-$B17-$C17)*'Model 6 pallets'!$D$6</f>
        <v>119.47098239999997</v>
      </c>
    </row>
    <row r="18" ht="34" customHeight="1" s="71">
      <c r="A18" s="163" t="inlineStr">
        <is>
          <t>Bonus 35 % + margin 20 % + 10 % uplift</t>
        </is>
      </c>
      <c r="B18" s="164" t="n">
        <v>0.35</v>
      </c>
      <c r="C18" s="164" t="n">
        <v>0.2</v>
      </c>
      <c r="D18" s="164" t="n">
        <v>0.1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G18/(1+D18)</f>
        <v>35.064935064935064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0.4850180815119839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0.48</v>
      </c>
      <c r="K18" s="184">
        <f>J18/0.65-1</f>
        <v>-0.2615384615384616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0.2708608845422869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0.27</v>
      </c>
      <c r="N18" s="184">
        <f>M18/0.65-1</f>
        <v>-0.5846153846153845</v>
      </c>
      <c r="O18" s="166">
        <f>'Model 33 pallets'!$AL$13*'Model 33 pallets'!$D$3*(1+$D18)/(1-$B18-$C18)*'Model 33 pallets'!$D$6</f>
        <v>154.60872122538302</v>
      </c>
      <c r="P18" s="166">
        <f>'Model 33 pallets'!$AL$11*'Model 33 pallets'!$D$3*(1+$D18)/(1-$B18-$C18)*'Model 33 pallets'!$D$6</f>
        <v>178.39467833698023</v>
      </c>
      <c r="Q18" s="219">
        <f>($J18*'Model 33 pallets'!$D$3+('Price 120 UAH - 33 pallets'!$E$16+'Price 120 UAH - 33 pallets'!$F$16+'Price 120 UAH - 33 pallets'!$G$16)/('Price 120 UAH - 33 pallets'!$C$18*'Price 120 UAH - 33 pallets'!$D$18)*'Model 33 pallets'!$D$3+($J18+'Price 120 UAH - 33 pallets'!$E$16*'Price 120 UAH - 33 pallets'!$B$18/('Price 120 UAH - 33 pallets'!$C$18*'Price 120 UAH - 33 pallets'!$D$18))*'Price 120 UAH - 33 pallets'!$D$16*'Model 33 pallets'!$D$3+($J18+'Price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pallets'!$C$16)*(1+$D18)/(1-$B18-$C18)*'Model 33 pallets'!$D$6</f>
        <v>118.91851377777775</v>
      </c>
      <c r="R18" s="166">
        <f>'Model 6 pallets'!$AL$13*'Model 6 pallets'!$D$3*(1+$D18)/(1-$B18-$C18)*'Model 6 pallets'!$D$6</f>
        <v>198.7051733333333</v>
      </c>
      <c r="S18" s="166">
        <f>'Model 6 pallets'!$AL$11*'Model 6 pallets'!$D$3*(1+$D18)/(1-$B18-$C18)*'Model 6 pallets'!$D$6</f>
        <v>229.2752</v>
      </c>
      <c r="T18" s="219">
        <f>($M18*'Model 6 pallets'!$D$3+('Price 120 UAH - 6 pallets'!$E$16+'Price 120 UAH - 6 pallets'!$F$16+'Price 120 UAH - 6 pallets'!$G$16)/('Price 120 UAH - 6 pallets'!$C$18*'Price 120 UAH - 6 pallets'!$D$18)*'Model 6 pallets'!$D$3+($M18+'Price 120 UAH - 6 pallets'!$E$16*'Price 120 UAH - 6 pallets'!$B$18/('Price 120 UAH - 6 pallets'!$C$18*'Price 120 UAH - 6 pallets'!$D$18))*'Price 120 UAH - 6 pallets'!$D$16*'Model 6 pallets'!$D$3+($M18+'Price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pallets'!$C$16)*(1+$D18)/(1-$B18-$C18)*'Model 6 pallets'!$D$6</f>
        <v>119.814464</v>
      </c>
    </row>
    <row r="19" ht="34" customHeight="1" s="71">
      <c r="A19" s="163" t="inlineStr">
        <is>
          <t>Bonus 35 % + margin 25 % + 10 % uplift</t>
        </is>
      </c>
      <c r="B19" s="164" t="n">
        <v>0.35</v>
      </c>
      <c r="C19" s="164" t="n">
        <v>0.25</v>
      </c>
      <c r="D19" s="164" t="n">
        <v>0.1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G19/(1+D19)</f>
        <v>31.168831168831172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0.42315159434061883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0.42</v>
      </c>
      <c r="K19" s="184">
        <f>J19/0.65-1</f>
        <v>-0.3538461538461539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0.20899439737092185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</v>
      </c>
      <c r="N19" s="184">
        <f>M19/0.65-1</f>
        <v>-0.6923076923076923</v>
      </c>
      <c r="O19" s="166">
        <f>'Model 33 pallets'!$AL$13*'Model 33 pallets'!$D$3*(1+$D19)/(1-$B19-$C19)*'Model 33 pallets'!$D$6</f>
        <v>173.9348113785559</v>
      </c>
      <c r="P19" s="166">
        <f>'Model 33 pallets'!$AL$11*'Model 33 pallets'!$D$3*(1+$D19)/(1-$B19-$C19)*'Model 33 pallets'!$D$6</f>
        <v>200.69401312910276</v>
      </c>
      <c r="Q19" s="219">
        <f>($J19*'Model 33 pallets'!$D$3+('Price 120 UAH - 33 pallets'!$E$16+'Price 120 UAH - 33 pallets'!$F$16+'Price 120 UAH - 33 pallets'!$G$16)/('Price 120 UAH - 33 pallets'!$C$18*'Price 120 UAH - 33 pallets'!$D$18)*'Model 33 pallets'!$D$3+($J19+'Price 120 UAH - 33 pallets'!$E$16*'Price 120 UAH - 33 pallets'!$B$18/('Price 120 UAH - 33 pallets'!$C$18*'Price 120 UAH - 33 pallets'!$D$18))*'Price 120 UAH - 33 pallets'!$D$16*'Model 33 pallets'!$D$3+($J19+'Price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pallets'!$C$16)*(1+$D19)/(1-$B19-$C19)*'Model 33 pallets'!$D$6</f>
        <v>119.235872</v>
      </c>
      <c r="R19" s="166">
        <f>'Model 6 pallets'!$AL$13*'Model 6 pallets'!$D$3*(1+$D19)/(1-$B19-$C19)*'Model 6 pallets'!$D$6</f>
        <v>223.54332</v>
      </c>
      <c r="S19" s="166">
        <f>'Model 6 pallets'!$AL$11*'Model 6 pallets'!$D$3*(1+$D19)/(1-$B19-$C19)*'Model 6 pallets'!$D$6</f>
        <v>257.93460000000005</v>
      </c>
      <c r="T19" s="219">
        <f>($M19*'Model 6 pallets'!$D$3+('Price 120 UAH - 6 pallets'!$E$16+'Price 120 UAH - 6 pallets'!$F$16+'Price 120 UAH - 6 pallets'!$G$16)/('Price 120 UAH - 6 pallets'!$C$18*'Price 120 UAH - 6 pallets'!$D$18)*'Model 6 pallets'!$D$3+($M19+'Price 120 UAH - 6 pallets'!$E$16*'Price 120 UAH - 6 pallets'!$B$18/('Price 120 UAH - 6 pallets'!$C$18*'Price 120 UAH - 6 pallets'!$D$18))*'Price 120 UAH - 6 pallets'!$D$16*'Model 6 pallets'!$D$3+($M19+'Price 120 UAH - 6 pallets'!$E$16*'Price 120 UAH - 6 pallets'!$B$18/('Price 120 UAH - 6 pallets'!$C$18*'Price 120 UAH - 6 pallets'!$D$18))*(1+'Price 120 UAH - 6 pallets'!$D$16)*'Price 120 UAH - 6 pallets'!$B$16*'Model 6 pallets'!$D$3)*(1+'Price 120 UAH - 6 pallets'!$C$16)*(1+$D19)/(1-$B19-$C19)*'Model 6 pallets'!$D$6</f>
        <v>117.81924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 (no uplift)</t>
        </is>
      </c>
      <c r="B21" s="164" t="n">
        <v>0.35</v>
      </c>
      <c r="C21" s="164" t="n">
        <v>0.25</v>
      </c>
      <c r="D21" s="164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G21/(1+D21)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84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84">
        <f>M21/0.65-1</f>
        <v>-0.6153846153846154</v>
      </c>
      <c r="O21" s="166">
        <f>'Model 33 pallets'!$AL$13*'Model 33 pallets'!$D$3*(1+$D21)/(1-$B21-$C21)*'Model 33 pallets'!$D$6</f>
        <v>158.12255579868716</v>
      </c>
      <c r="P21" s="166">
        <f>'Model 33 pallets'!$AL$11*'Model 33 pallets'!$D$3*(1+$D21)/(1-$B21-$C21)*'Model 33 pallets'!$D$6</f>
        <v>182.44910284463887</v>
      </c>
      <c r="Q21" s="219">
        <f>($J21*'Model 33 pallets'!$D$3+('Price 120 UAH - 33 pallets'!$E$16+'Price 120 UAH - 33 pallets'!$F$16+'Price 120 UAH - 33 pallets'!$G$16)/('Price 120 UAH - 33 pallets'!$C$18*'Price 120 UAH - 33 pallets'!$D$18)*'Model 33 pallets'!$D$3+($J21+'Price 120 UAH - 33 pallets'!$E$16*'Price 120 UAH - 33 pallets'!$B$18/('Price 120 UAH - 33 pallets'!$C$18*'Price 120 UAH - 33 pallets'!$D$18))*'Price 120 UAH - 33 pallets'!$D$16*'Model 33 pallets'!$D$3+($J21+'Price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pallets'!$C$16)*(1+$D21)/(1-$B21-$C21)*'Model 33 pallets'!$D$6</f>
        <v>119.41704727272723</v>
      </c>
      <c r="R21" s="166">
        <f>'Model 6 pallets'!$AL$13*'Model 6 pallets'!$D$3*(1+$D21)/(1-$B21-$C21)*'Model 6 pallets'!$D$6</f>
        <v>203.22119999999998</v>
      </c>
      <c r="S21" s="166">
        <f>'Model 6 pallets'!$AL$11*'Model 6 pallets'!$D$3*(1+$D21)/(1-$B21-$C21)*'Model 6 pallets'!$D$6</f>
        <v>234.486</v>
      </c>
      <c r="T21" s="219">
        <f>($M21*'Model 6 pallets'!$D$3+('Price 120 UAH - 6 pallets'!$E$16+'Price 120 UAH - 6 pallets'!$F$16+'Price 120 UAH - 6 pallets'!$G$16)/('Price 120 UAH - 6 pallets'!$C$18*'Price 120 UAH - 6 pallets'!$D$18)*'Model 6 pallets'!$D$3+($M21+'Price 120 UAH - 6 pallets'!$E$16*'Price 120 UAH - 6 pallets'!$B$18/('Price 120 UAH - 6 pallets'!$C$18*'Price 120 UAH - 6 pallets'!$D$18))*'Price 120 UAH - 6 pallets'!$D$16*'Model 6 pallets'!$D$3+($M21+'Price 120 UAH - 6 pallets'!$E$16*'Price 120 UAH - 6 pallets'!$B$18/('Price 120 UAH - 6 pallets'!$C$18*'Price 120 UAH - 6 pallets'!$D$18))*(1+'Price 120 UAH - 6 pallets'!$D$16)*'Price 120 UAH - 6 pallets'!$B$16*'Model 6 pallets'!$D$3)*(1+'Price 120 UAH - 6 pallets'!$C$16)*(1+$D21)/(1-$B21-$C21)*'Model 6 pallets'!$D$6</f>
        <v>118.1292</v>
      </c>
    </row>
    <row r="22" ht="34" customHeight="1" s="71">
      <c r="A22" s="163" t="inlineStr">
        <is>
          <t>Bonus 35 % + margin 30 % (no uplift)</t>
        </is>
      </c>
      <c r="B22" s="164" t="n">
        <v>0.35</v>
      </c>
      <c r="C22" s="164" t="n">
        <v>0.3</v>
      </c>
      <c r="D22" s="164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G22/(1+D22)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84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84">
        <f>M22/0.65-1</f>
        <v>-0.7076923076923076</v>
      </c>
      <c r="O22" s="166">
        <f>'Model 33 pallets'!$AL$13*'Model 33 pallets'!$D$3*(1+$D22)/(1-$B22-$C22)*'Model 33 pallets'!$D$6</f>
        <v>180.71149234135675</v>
      </c>
      <c r="P22" s="166">
        <f>'Model 33 pallets'!$AL$11*'Model 33 pallets'!$D$3*(1+$D22)/(1-$B22-$C22)*'Model 33 pallets'!$D$6</f>
        <v>208.51326039387297</v>
      </c>
      <c r="Q22" s="219">
        <f>($J22*'Model 33 pallets'!$D$3+('Price 120 UAH - 33 pallets'!$E$16+'Price 120 UAH - 33 pallets'!$F$16+'Price 120 UAH - 33 pallets'!$G$16)/('Price 120 UAH - 33 pallets'!$C$18*'Price 120 UAH - 33 pallets'!$D$18)*'Model 33 pallets'!$D$3+($J22+'Price 120 UAH - 33 pallets'!$E$16*'Price 120 UAH - 33 pallets'!$B$18/('Price 120 UAH - 33 pallets'!$C$18*'Price 120 UAH - 33 pallets'!$D$18))*'Price 120 UAH - 33 pallets'!$D$16*'Model 33 pallets'!$D$3+($J22+'Price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pallets'!$C$16)*(1+$D22)/(1-$B22-$C22)*'Model 33 pallets'!$D$6</f>
        <v>118.84334545454546</v>
      </c>
      <c r="R22" s="166">
        <f>'Model 6 pallets'!$AL$13*'Model 6 pallets'!$D$3*(1+$D22)/(1-$B22-$C22)*'Model 6 pallets'!$D$6</f>
        <v>232.25279999999995</v>
      </c>
      <c r="S22" s="166">
        <f>'Model 6 pallets'!$AL$11*'Model 6 pallets'!$D$3*(1+$D22)/(1-$B22-$C22)*'Model 6 pallets'!$D$6</f>
        <v>267.984</v>
      </c>
      <c r="T22" s="219">
        <f>($M22*'Model 6 pallets'!$D$3+('Price 120 UAH - 6 pallets'!$E$16+'Price 120 UAH - 6 pallets'!$F$16+'Price 120 UAH - 6 pallets'!$G$16)/('Price 120 UAH - 6 pallets'!$C$18*'Price 120 UAH - 6 pallets'!$D$18)*'Model 6 pallets'!$D$3+($M22+'Price 120 UAH - 6 pallets'!$E$16*'Price 120 UAH - 6 pallets'!$B$18/('Price 120 UAH - 6 pallets'!$C$18*'Price 120 UAH - 6 pallets'!$D$18))*'Price 120 UAH - 6 pallets'!$D$16*'Model 6 pallets'!$D$3+($M22+'Price 120 UAH - 6 pallets'!$E$16*'Price 120 UAH - 6 pallets'!$B$18/('Price 120 UAH - 6 pallets'!$C$18*'Price 120 UAH - 6 pallets'!$D$18))*(1+'Price 120 UAH - 6 pallets'!$D$16)*'Price 120 UAH - 6 pallets'!$B$16*'Model 6 pallets'!$D$3)*(1+'Price 120 UAH - 6 pallets'!$C$16)*(1+$D22)/(1-$B22-$C22)*'Model 6 pallets'!$D$6</f>
        <v>119.89056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 (no uplift)</t>
        </is>
      </c>
      <c r="B24" s="164" t="n">
        <v>0.25</v>
      </c>
      <c r="C24" s="164" t="n">
        <v>0.25</v>
      </c>
      <c r="D24" s="164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G24/(1+D24)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84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84">
        <f>M24/0.65-1</f>
        <v>-0.4</v>
      </c>
      <c r="O24" s="166">
        <f>'Model 33 pallets'!$AL$13*'Model 33 pallets'!$D$3*(1+$D24)/(1-$B24-$C24)*'Model 33 pallets'!$D$6</f>
        <v>126.49804463894974</v>
      </c>
      <c r="P24" s="166">
        <f>'Model 33 pallets'!$AL$11*'Model 33 pallets'!$D$3*(1+$D24)/(1-$B24-$C24)*'Model 33 pallets'!$D$6</f>
        <v>145.95928227571108</v>
      </c>
      <c r="Q24" s="219">
        <f>($J24*'Model 33 pallets'!$D$3+('Price 120 UAH - 33 pallets'!$E$16+'Price 120 UAH - 33 pallets'!$F$16+'Price 120 UAH - 33 pallets'!$G$16)/('Price 120 UAH - 33 pallets'!$C$18*'Price 120 UAH - 33 pallets'!$D$18)*'Model 33 pallets'!$D$3+($J24+'Price 120 UAH - 33 pallets'!$E$16*'Price 120 UAH - 33 pallets'!$B$18/('Price 120 UAH - 33 pallets'!$C$18*'Price 120 UAH - 33 pallets'!$D$18))*'Price 120 UAH - 33 pallets'!$D$16*'Model 33 pallets'!$D$3+($J24+'Price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pallets'!$C$16)*(1+$D24)/(1-$B24-$C24)*'Model 33 pallets'!$D$6</f>
        <v>118.45690181818179</v>
      </c>
      <c r="R24" s="166">
        <f>'Model 6 pallets'!$AL$13*'Model 6 pallets'!$D$3*(1+$D24)/(1-$B24-$C24)*'Model 6 pallets'!$D$6</f>
        <v>162.57695999999999</v>
      </c>
      <c r="S24" s="166">
        <f>'Model 6 pallets'!$AL$11*'Model 6 pallets'!$D$3*(1+$D24)/(1-$B24-$C24)*'Model 6 pallets'!$D$6</f>
        <v>187.58880000000002</v>
      </c>
      <c r="T24" s="219">
        <f>($M24*'Model 6 pallets'!$D$3+('Price 120 UAH - 6 pallets'!$E$16+'Price 120 UAH - 6 pallets'!$F$16+'Price 120 UAH - 6 pallets'!$G$16)/('Price 120 UAH - 6 pallets'!$C$18*'Price 120 UAH - 6 pallets'!$D$18)*'Model 6 pallets'!$D$3+($M24+'Price 120 UAH - 6 pallets'!$E$16*'Price 120 UAH - 6 pallets'!$B$18/('Price 120 UAH - 6 pallets'!$C$18*'Price 120 UAH - 6 pallets'!$D$18))*'Price 120 UAH - 6 pallets'!$D$16*'Model 6 pallets'!$D$3+($M24+'Price 120 UAH - 6 pallets'!$E$16*'Price 120 UAH - 6 pallets'!$B$18/('Price 120 UAH - 6 pallets'!$C$18*'Price 120 UAH - 6 pallets'!$D$18))*(1+'Price 120 UAH - 6 pallets'!$D$16)*'Price 120 UAH - 6 pallets'!$B$16*'Model 6 pallets'!$D$3)*(1+'Price 120 UAH - 6 pallets'!$C$16)*(1+$D24)/(1-$B24-$C24)*'Model 6 pallets'!$D$6</f>
        <v>119.18995199999998</v>
      </c>
    </row>
    <row r="25" ht="34" customHeight="1" s="71">
      <c r="A25" s="163" t="inlineStr">
        <is>
          <t>Bonus 25 % + margin 20 % (no uplift)</t>
        </is>
      </c>
      <c r="B25" s="164" t="n">
        <v>0.25</v>
      </c>
      <c r="C25" s="164" t="n">
        <v>0.2</v>
      </c>
      <c r="D25" s="164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G25/(1+D25)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84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84">
        <f>M25/0.65-1</f>
        <v>-0.29230769230769227</v>
      </c>
      <c r="O25" s="166">
        <f>'Model 33 pallets'!$AL$13*'Model 33 pallets'!$D$3*(1+$D25)/(1-$B25-$C25)*'Model 33 pallets'!$D$6</f>
        <v>114.9982223990452</v>
      </c>
      <c r="P25" s="166">
        <f>'Model 33 pallets'!$AL$11*'Model 33 pallets'!$D$3*(1+$D25)/(1-$B25-$C25)*'Model 33 pallets'!$D$6</f>
        <v>132.6902566142828</v>
      </c>
      <c r="Q25" s="219">
        <f>($J25*'Model 33 pallets'!$D$3+('Price 120 UAH - 33 pallets'!$E$16+'Price 120 UAH - 33 pallets'!$F$16+'Price 120 UAH - 33 pallets'!$G$16)/('Price 120 UAH - 33 pallets'!$C$18*'Price 120 UAH - 33 pallets'!$D$18)*'Model 33 pallets'!$D$3+($J25+'Price 120 UAH - 33 pallets'!$E$16*'Price 120 UAH - 33 pallets'!$B$18/('Price 120 UAH - 33 pallets'!$C$18*'Price 120 UAH - 33 pallets'!$D$18))*'Price 120 UAH - 33 pallets'!$D$16*'Model 33 pallets'!$D$3+($J25+'Price 120 UAH - 33 pallets'!$E$16*'Price 120 UAH - 33 pallets'!$B$18/('Price 120 UAH - 33 pallets'!$C$18*'Price 120 UAH - 33 pallets'!$D$18))*(1+'Price 120 UAH - 33 pallets'!$D$16)*'Price 120 UAH - 33 pallets'!$B$16*'Model 33 pallets'!$D$3)*(1+'Price 120 UAH - 33 pallets'!$C$16)*(1+$D25)/(1-$B25-$C25)*'Model 33 pallets'!$D$6</f>
        <v>118.90927074380163</v>
      </c>
      <c r="R25" s="166">
        <f>'Model 6 pallets'!$AL$13*'Model 6 pallets'!$D$3*(1+$D25)/(1-$B25-$C25)*'Model 6 pallets'!$D$6</f>
        <v>147.79723636363633</v>
      </c>
      <c r="S25" s="166">
        <f>'Model 6 pallets'!$AL$11*'Model 6 pallets'!$D$3*(1+$D25)/(1-$B25-$C25)*'Model 6 pallets'!$D$6</f>
        <v>170.5352727272727</v>
      </c>
      <c r="T25" s="219">
        <f>($M25*'Model 6 pallets'!$D$3+('Price 120 UAH - 6 pallets'!$E$16+'Price 120 UAH - 6 pallets'!$F$16+'Price 120 UAH - 6 pallets'!$G$16)/('Price 120 UAH - 6 pallets'!$C$18*'Price 120 UAH - 6 pallets'!$D$18)*'Model 6 pallets'!$D$3+($M25+'Price 120 UAH - 6 pallets'!$E$16*'Price 120 UAH - 6 pallets'!$B$18/('Price 120 UAH - 6 pallets'!$C$18*'Price 120 UAH - 6 pallets'!$D$18))*'Price 120 UAH - 6 pallets'!$D$16*'Model 6 pallets'!$D$3+($M25+'Price 120 UAH - 6 pallets'!$E$16*'Price 120 UAH - 6 pallets'!$B$18/('Price 120 UAH - 6 pallets'!$C$18*'Price 120 UAH - 6 pallets'!$D$18))*(1+'Price 120 UAH - 6 pallets'!$D$16)*'Price 120 UAH - 6 pallets'!$B$16*'Model 6 pallets'!$D$3)*(1+'Price 120 UAH - 6 pallets'!$C$16)*(1+$D25)/(1-$B25-$C25)*'Model 6 pallets'!$D$6</f>
        <v>119.57567999999998</v>
      </c>
    </row>
    <row r="26"/>
    <row r="27" ht="28" customHeight="1" s="71">
      <c r="A27" s="171" t="inlineStr">
        <is>
          <t>How to read: yellow cells (bonus, margin, cost uplift)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the uplift is applied to the whole landed cost (after financing).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  <row r="30"/>
    <row r="31"/>
    <row r="32"/>
    <row r="33"/>
    <row r="34"/>
    <row r="35"/>
    <row r="36"/>
    <row r="37"/>
    <row r="38"/>
    <row r="39"/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  <ignoredErrors>
    <ignoredError sqref="A1:T59" evalError="1" formula="1" formulaRange="1" unlockedFormula="1" numberStoredAsText="1" emptyCellReference="1" twoDigitTextYear="1" listDataValidation="1" calculatedColumn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2026-10-16T16:13:29Z</dcterms:modified>
</cp:coreProperties>
</file>