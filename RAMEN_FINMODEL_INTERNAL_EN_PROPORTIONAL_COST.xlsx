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Model 6 pallets" sheetId="1" state="visible" r:id="rId1"/>
    <sheet xmlns:r="http://schemas.openxmlformats.org/officeDocument/2006/relationships" name="Model 33 pallets" sheetId="2" state="visible" r:id="rId2"/>
    <sheet xmlns:r="http://schemas.openxmlformats.org/officeDocument/2006/relationships" name="Price 120 UAH - 6 pallets" sheetId="3" state="visible" r:id="rId3"/>
    <sheet xmlns:r="http://schemas.openxmlformats.org/officeDocument/2006/relationships" name="Price 120 UAH - 33 pallets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6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0.21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−68 % / −72 %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70.837104</v>
      </c>
      <c r="D4" s="101">
        <f>C4/(1-D14-C14)</f>
        <v>157.41578666666666</v>
      </c>
      <c r="E4" s="102">
        <f>D4*D14</f>
        <v>55.09552533333333</v>
      </c>
      <c r="F4" s="102">
        <f>D4-C4-E4</f>
        <v>31.483157333333338</v>
      </c>
      <c r="G4" s="102">
        <f>D4*(E14-1)</f>
        <v>62.96631466666665</v>
      </c>
      <c r="H4" s="103">
        <f>D4*E14</f>
        <v>220.3821013333333</v>
      </c>
    </row>
    <row r="5" ht="19.95" customHeight="1" s="71">
      <c r="A5" s="136" t="n"/>
      <c r="B5" s="137" t="n">
        <v>0.65</v>
      </c>
      <c r="C5" s="138">
        <f>C4/F14</f>
        <v>1.3835371874999998</v>
      </c>
      <c r="D5" s="139">
        <f>D4/F14</f>
        <v>3.074527083333333</v>
      </c>
      <c r="E5" s="139">
        <f>E4/F14</f>
        <v>1.0760844791666664</v>
      </c>
      <c r="F5" s="139">
        <f>F4/F14</f>
        <v>0.6149054166666668</v>
      </c>
      <c r="G5" s="139">
        <f>G4/F14</f>
        <v>1.2298108333333329</v>
      </c>
      <c r="H5" s="139">
        <f>H4/F14</f>
        <v>4.3043379166666655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81.73512000000001</v>
      </c>
      <c r="D6" s="109">
        <f>C6/(1-D14-C14)</f>
        <v>181.63360000000003</v>
      </c>
      <c r="E6" s="110">
        <f>D6*D14</f>
        <v>63.571760000000005</v>
      </c>
      <c r="F6" s="110">
        <f>D6-C6-E6</f>
        <v>36.326720000000016</v>
      </c>
      <c r="G6" s="110">
        <f>D6*(E14-1)</f>
        <v>72.65343999999999</v>
      </c>
      <c r="H6" s="111">
        <f>D6*E14</f>
        <v>254.28704000000002</v>
      </c>
    </row>
    <row r="7" ht="19.95" customHeight="1" s="71">
      <c r="A7" s="136" t="n"/>
      <c r="B7" s="137" t="n">
        <v>0.75</v>
      </c>
      <c r="C7" s="138">
        <f>C6/F14</f>
        <v>1.5963890625000001</v>
      </c>
      <c r="D7" s="140">
        <f>D6/F14</f>
        <v>3.5475312500000005</v>
      </c>
      <c r="E7" s="140">
        <f>E6/F14</f>
        <v>1.2416359375000001</v>
      </c>
      <c r="F7" s="140">
        <f>F6/F14</f>
        <v>0.7095062500000002</v>
      </c>
      <c r="G7" s="140">
        <f>G6/F14</f>
        <v>1.4190124999999998</v>
      </c>
      <c r="H7" s="140">
        <f>H6/F14</f>
        <v>4.9665437500000005</v>
      </c>
    </row>
    <row r="8" ht="25.95" customHeight="1" s="71">
      <c r="A8" s="114" t="inlineStr">
        <is>
          <t>AFTER · SIAS request
(all 6 SKUs)</t>
        </is>
      </c>
      <c r="B8" s="115">
        <f>B9*F14</f>
        <v>10.752</v>
      </c>
      <c r="C8" s="115">
        <f>B22</f>
        <v>38.1032352</v>
      </c>
      <c r="D8" s="115">
        <f>C8/(1-D14-C14)</f>
        <v>84.673856</v>
      </c>
      <c r="E8" s="116">
        <f>D8*D14</f>
        <v>29.635849599999997</v>
      </c>
      <c r="F8" s="116">
        <f>D8-C8-E8</f>
        <v>16.934771200000004</v>
      </c>
      <c r="G8" s="116">
        <f>D8*(E14-1)</f>
        <v>33.86954239999999</v>
      </c>
      <c r="H8" s="117">
        <f>D8*E14</f>
        <v>118.54339839999999</v>
      </c>
    </row>
    <row r="9" ht="19.95" customHeight="1" s="71">
      <c r="A9" s="136" t="n"/>
      <c r="B9" s="141">
        <f>B20</f>
        <v>0.21</v>
      </c>
      <c r="C9" s="142">
        <f>C8/F14</f>
        <v>0.7442038125</v>
      </c>
      <c r="D9" s="142">
        <f>D8/F14</f>
        <v>1.65378625</v>
      </c>
      <c r="E9" s="142">
        <f>E8/F14</f>
        <v>0.5788251874999999</v>
      </c>
      <c r="F9" s="142">
        <f>F8/F14</f>
        <v>0.33075725000000006</v>
      </c>
      <c r="G9" s="142">
        <f>G8/F14</f>
        <v>0.6615144999999998</v>
      </c>
      <c r="H9" s="142">
        <f>H8/F14</f>
        <v>2.3153007499999996</v>
      </c>
    </row>
    <row r="10" ht="24" customHeight="1" s="71">
      <c r="A10" s="121" t="inlineStr">
        <is>
          <t>CHANGE: AFTER − BEFORE (4 SKUs)</t>
        </is>
      </c>
      <c r="B10" s="143">
        <f>B8-B4</f>
        <v>-22.528</v>
      </c>
      <c r="C10" s="143">
        <f>C8-C4</f>
        <v>-32.733868799999996</v>
      </c>
      <c r="D10" s="143">
        <f>D8-D4</f>
        <v>-72.74193066666666</v>
      </c>
      <c r="E10" s="143">
        <f>E8-E4</f>
        <v>-25.45967573333333</v>
      </c>
      <c r="F10" s="143">
        <f>F8-F4</f>
        <v>-14.548386133333334</v>
      </c>
      <c r="G10" s="143">
        <f>G8-G4</f>
        <v>-29.096772266666655</v>
      </c>
      <c r="H10" s="143">
        <f>H8-H4</f>
        <v>-101.83870293333332</v>
      </c>
    </row>
    <row r="11" ht="18" customHeight="1" s="71">
      <c r="A11" s="136" t="n"/>
      <c r="B11" s="144">
        <f>B9-B5</f>
        <v>-0.44000000000000006</v>
      </c>
      <c r="C11" s="144">
        <f>C9-C5</f>
        <v>-0.6393333749999998</v>
      </c>
      <c r="D11" s="144">
        <f>D9-D5</f>
        <v>-1.420740833333333</v>
      </c>
      <c r="E11" s="144">
        <f>E9-E5</f>
        <v>-0.4972592916666665</v>
      </c>
      <c r="F11" s="144">
        <f>F9-F5</f>
        <v>-0.2841481666666667</v>
      </c>
      <c r="G11" s="144">
        <f>G9-G5</f>
        <v>-0.5682963333333331</v>
      </c>
      <c r="H11" s="144">
        <f>H9-H5</f>
        <v>-1.989037166666666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0.21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0.216093830325013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38.1032352</v>
      </c>
    </row>
    <row r="23"/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pallets'!E13</f>
        <v>1.134046875</v>
      </c>
      <c r="C24" s="174">
        <f>B24*(1+$G$14)</f>
        <v>1.3835371874999998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pallets'!E11</f>
        <v>1.308515625</v>
      </c>
      <c r="C25" s="174">
        <f>B25*(1+$G$14)</f>
        <v>1.5963890625000001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0.43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−34 % / −43 %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55.11700516411381</v>
      </c>
      <c r="D4" s="101">
        <f>C4/(1-D14-C14)</f>
        <v>122.4822336980307</v>
      </c>
      <c r="E4" s="102">
        <f>D4*D14</f>
        <v>42.86878179431074</v>
      </c>
      <c r="F4" s="102">
        <f>D4-C4-E4</f>
        <v>24.496446739606135</v>
      </c>
      <c r="G4" s="102">
        <f>D4*(E14-1)</f>
        <v>48.99289347921227</v>
      </c>
      <c r="H4" s="103">
        <f>D4*E14</f>
        <v>171.47512717724297</v>
      </c>
    </row>
    <row r="5">
      <c r="A5" s="136" t="n"/>
      <c r="B5" s="137" t="n">
        <v>0.65</v>
      </c>
      <c r="C5" s="138">
        <f>C4/F14</f>
        <v>1.0765040071115979</v>
      </c>
      <c r="D5" s="139">
        <f>D4/F14</f>
        <v>2.392231126914662</v>
      </c>
      <c r="E5" s="139">
        <f>E4/F14</f>
        <v>0.8372808944201316</v>
      </c>
      <c r="F5" s="139">
        <f>F4/F14</f>
        <v>0.4784462253829323</v>
      </c>
      <c r="G5" s="139">
        <f>G4/F14</f>
        <v>0.9568924507658646</v>
      </c>
      <c r="H5" s="139">
        <f>H4/F14</f>
        <v>3.3491235776805266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63.59654442013126</v>
      </c>
      <c r="D6" s="109">
        <f>C6/(1-D14-C14)</f>
        <v>141.32565426695834</v>
      </c>
      <c r="E6" s="110">
        <f>D6*D14</f>
        <v>49.46397899343542</v>
      </c>
      <c r="F6" s="110">
        <f>D6-C6-E6</f>
        <v>28.265130853391653</v>
      </c>
      <c r="G6" s="110">
        <f>D6*(E14-1)</f>
        <v>56.53026170678332</v>
      </c>
      <c r="H6" s="111">
        <f>D6*E14</f>
        <v>197.85591597374167</v>
      </c>
    </row>
    <row r="7" ht="19.95" customHeight="1" s="71">
      <c r="A7" s="136" t="n"/>
      <c r="B7" s="137" t="n">
        <v>0.75</v>
      </c>
      <c r="C7" s="138">
        <f>C6/F14</f>
        <v>1.2421200082056887</v>
      </c>
      <c r="D7" s="140">
        <f>D6/F14</f>
        <v>2.76026668490153</v>
      </c>
      <c r="E7" s="140">
        <f>E6/F14</f>
        <v>0.9660933397155355</v>
      </c>
      <c r="F7" s="140">
        <f>F6/F14</f>
        <v>0.5520533369803057</v>
      </c>
      <c r="G7" s="140">
        <f>G6/F14</f>
        <v>1.1041066739606116</v>
      </c>
      <c r="H7" s="140">
        <f>H6/F14</f>
        <v>3.864373358862142</v>
      </c>
    </row>
    <row r="8" ht="25.95" customHeight="1" s="71">
      <c r="A8" s="114" t="inlineStr">
        <is>
          <t>AFTER · SIAS request
(all 6 SKUs)</t>
        </is>
      </c>
      <c r="B8" s="115">
        <f>B9*F14</f>
        <v>22.016000000000002</v>
      </c>
      <c r="C8" s="115">
        <f>B21</f>
        <v>38.552141963636366</v>
      </c>
      <c r="D8" s="115">
        <f>C8/(1-D14-C14)</f>
        <v>85.67142658585858</v>
      </c>
      <c r="E8" s="116">
        <f>D8*D14</f>
        <v>29.9849993050505</v>
      </c>
      <c r="F8" s="116">
        <f>D8-C8-E8</f>
        <v>17.134285317171717</v>
      </c>
      <c r="G8" s="116">
        <f>D8*(E14-1)</f>
        <v>34.268570634343426</v>
      </c>
      <c r="H8" s="117">
        <f>D8*E14</f>
        <v>119.939997220202</v>
      </c>
    </row>
    <row r="9" ht="19.95" customHeight="1" s="71">
      <c r="A9" s="136" t="n"/>
      <c r="B9" s="141">
        <f>B19</f>
        <v>0.43</v>
      </c>
      <c r="C9" s="142">
        <f>C8/F14</f>
        <v>0.7529715227272727</v>
      </c>
      <c r="D9" s="142">
        <f>D8/F14</f>
        <v>1.6732700505050504</v>
      </c>
      <c r="E9" s="142">
        <f>E8/F14</f>
        <v>0.5856445176767675</v>
      </c>
      <c r="F9" s="142">
        <f>F8/F14</f>
        <v>0.3346540101010101</v>
      </c>
      <c r="G9" s="142">
        <f>G8/F14</f>
        <v>0.66930802020202</v>
      </c>
      <c r="H9" s="142">
        <f>H8/F14</f>
        <v>2.34257807070707</v>
      </c>
    </row>
    <row r="10" ht="24" customHeight="1" s="71">
      <c r="A10" s="121" t="inlineStr">
        <is>
          <t>CHANGE: AFTER − BEFORE (4 SKUs)</t>
        </is>
      </c>
      <c r="B10" s="143">
        <f>B8-B4</f>
        <v>-11.264</v>
      </c>
      <c r="C10" s="143">
        <f>C8-C4</f>
        <v>-16.564863200477447</v>
      </c>
      <c r="D10" s="143">
        <f>D8-D4</f>
        <v>-36.810807112172114</v>
      </c>
      <c r="E10" s="143">
        <f>E8-E4</f>
        <v>-12.883782489260241</v>
      </c>
      <c r="F10" s="143">
        <f>F8-F4</f>
        <v>-7.3621614224344185</v>
      </c>
      <c r="G10" s="143">
        <f>G8-G4</f>
        <v>-14.724322844868844</v>
      </c>
      <c r="H10" s="143">
        <f>H8-H4</f>
        <v>-51.535129957040965</v>
      </c>
    </row>
    <row r="11" ht="18" customHeight="1" s="71">
      <c r="A11" s="136" t="n"/>
      <c r="B11" s="144">
        <f>B9-B5</f>
        <v>-0.22000000000000003</v>
      </c>
      <c r="C11" s="144">
        <f>C9-C5</f>
        <v>-0.32353248438432514</v>
      </c>
      <c r="D11" s="144">
        <f>D9-D5</f>
        <v>-0.7189610764096117</v>
      </c>
      <c r="E11" s="144">
        <f>E9-E5</f>
        <v>-0.25163637674336414</v>
      </c>
      <c r="F11" s="144">
        <f>F9-F5</f>
        <v>-0.1437922152819222</v>
      </c>
      <c r="G11" s="144">
        <f>G9-G5</f>
        <v>-0.28758443056384464</v>
      </c>
      <c r="H11" s="144">
        <f>H9-H5</f>
        <v>-1.0065455069734566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0.43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0.43025102729470993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38.552141963636366</v>
      </c>
    </row>
    <row r="22"/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pallets'!E13</f>
        <v>0.882380333698031</v>
      </c>
      <c r="C23" s="174">
        <f>B23*(1+$G$14)</f>
        <v>1.0765040071115979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pallets'!E11</f>
        <v>1.018131154266958</v>
      </c>
      <c r="C24" s="174">
        <f>B24*(1+$G$14)</f>
        <v>1.2421200082056887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75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75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75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75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75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75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75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75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75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75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75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75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75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75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75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75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75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75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75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75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75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75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75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75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75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75">
        <f>M25/0.65-1</f>
        <v>-0.29230769230769227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2026-10-16T13:04:08Z</dcterms:modified>
  <cp:lastModifiedBy/>
</cp:coreProperties>
</file>