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&quot;€&quot;0.000"/>
    <numFmt numFmtId="186" formatCode="+#,##0.00&quot; ₴&quot;;-#,##0.00&quot; ₴&quot;"/>
    <numFmt numFmtId="187" formatCode="+&quot;€&quot;0.000;-&quot;€&quot;0.000"/>
  </numFmts>
  <fonts count="54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172B46"/>
      <sz val="20"/>
    </font>
    <font>
      <name val="Arial"/>
      <color rgb="005E6D7E"/>
      <sz val="10"/>
    </font>
    <font>
      <name val="Arial"/>
      <b val="1"/>
      <color rgb="00B53A3A"/>
      <sz val="10"/>
    </font>
    <font>
      <name val="Arial"/>
      <b val="1"/>
      <color rgb="00FFFFFF"/>
      <sz val="9"/>
    </font>
    <font>
      <name val="Arial"/>
      <b val="1"/>
      <color rgb="00172B46"/>
      <sz val="10"/>
    </font>
    <font>
      <name val="Arial"/>
      <b val="1"/>
      <color rgb="000000FF"/>
      <sz val="10"/>
    </font>
    <font>
      <name val="Arial"/>
      <b val="1"/>
      <color rgb="00172B46"/>
      <sz val="13"/>
    </font>
    <font>
      <name val="Arial"/>
      <color rgb="00008000"/>
      <sz val="10"/>
    </font>
    <font>
      <name val="Arial"/>
      <color rgb="00172B46"/>
      <sz val="13"/>
    </font>
    <font>
      <name val="Arial"/>
      <b val="1"/>
      <color rgb="00172B46"/>
      <sz val="15"/>
    </font>
    <font>
      <name val="Arial"/>
      <b val="1"/>
      <color rgb="00223A5E"/>
      <sz val="10"/>
    </font>
    <font>
      <name val="Arial"/>
      <b val="1"/>
      <color rgb="00B53A3A"/>
      <sz val="11"/>
    </font>
    <font>
      <name val="Arial"/>
      <color rgb="005E6D7E"/>
      <sz val="9"/>
    </font>
    <font>
      <name val="Arial"/>
      <i val="1"/>
      <color rgb="005E6D7E"/>
      <sz val="9"/>
    </font>
    <font>
      <name val="Arial"/>
      <b val="1"/>
      <color rgb="00223A5E"/>
      <sz val="9"/>
    </font>
    <font>
      <name val="Arial"/>
      <b val="1"/>
      <color rgb="005E6D7E"/>
      <sz val="8"/>
    </font>
    <font>
      <name val="Arial"/>
      <b val="1"/>
      <color rgb="000000FF"/>
      <sz val="11"/>
    </font>
    <font>
      <name val="Arial"/>
      <b val="1"/>
      <color rgb="00008000"/>
      <sz val="11"/>
    </font>
    <font>
      <name val="Arial"/>
      <b val="1"/>
      <color rgb="005E6D7E"/>
      <sz val="9"/>
    </font>
    <font>
      <name val="Arial"/>
      <i val="1"/>
      <color rgb="005E6D7E"/>
      <sz val="8"/>
    </font>
    <font>
      <name val="Arial"/>
      <b val="1"/>
      <color rgb="00172B46"/>
      <sz val="11"/>
    </font>
    <font>
      <name val="Arial"/>
      <color rgb="00172B46"/>
      <sz val="11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FCE3A6"/>
      </patternFill>
    </fill>
    <fill>
      <patternFill patternType="solid">
        <fgColor rgb="003E5A85"/>
      </patternFill>
    </fill>
    <fill>
      <patternFill patternType="solid">
        <fgColor rgb="00F2F5F9"/>
      </patternFill>
    </fill>
    <fill>
      <patternFill patternType="solid">
        <fgColor rgb="00FFF4D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  <border>
      <left style="thin">
        <color rgb="00D5DCE8"/>
      </left>
      <right/>
      <top/>
      <bottom/>
      <diagonal/>
    </border>
    <border>
      <left style="thin">
        <color rgb="00D5DCE8"/>
      </left>
      <right style="thin">
        <color rgb="00D5DCE8"/>
      </right>
      <top/>
      <bottom/>
      <diagonal/>
    </border>
    <border>
      <left style="thin">
        <color rgb="00D5DCE8"/>
      </left>
      <right style="thin">
        <color rgb="00D5DCE8"/>
      </right>
      <top/>
      <bottom style="thin">
        <color rgb="00D5DCE8"/>
      </bottom>
      <diagonal/>
    </border>
    <border>
      <bottom style="medium">
        <color rgb="00223A5E"/>
      </bottom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202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10" fillId="19" borderId="1" applyAlignment="1" pivotButton="0" quotePrefix="0" xfId="5">
      <alignment horizontal="center" vertical="center" wrapText="1"/>
    </xf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1" fillId="25" borderId="24" applyAlignment="1" pivotButton="0" quotePrefix="0" xfId="0">
      <alignment horizontal="left" vertical="center" wrapText="1"/>
    </xf>
    <xf numFmtId="172" fontId="32" fillId="26" borderId="24" applyAlignment="1" pivotButton="0" quotePrefix="0" xfId="0">
      <alignment horizontal="center" vertical="center" wrapText="1"/>
    </xf>
    <xf numFmtId="0" fontId="0" fillId="26" borderId="24" pivotButton="0" quotePrefix="0" xfId="0"/>
    <xf numFmtId="0" fontId="33" fillId="25" borderId="24" applyAlignment="1" pivotButton="0" quotePrefix="0" xfId="0">
      <alignment horizontal="center" vertical="center" wrapText="1"/>
    </xf>
    <xf numFmtId="0" fontId="0" fillId="25" borderId="24" pivotButton="0" quotePrefix="0" xfId="0"/>
    <xf numFmtId="0" fontId="34" fillId="25" borderId="24" applyAlignment="1" pivotButton="0" quotePrefix="0" xfId="0">
      <alignment horizontal="center" vertical="center" wrapText="1"/>
    </xf>
    <xf numFmtId="0" fontId="35" fillId="27" borderId="0" applyAlignment="1" pivotButton="0" quotePrefix="0" xfId="0">
      <alignment horizontal="center" vertical="center" wrapText="1"/>
    </xf>
    <xf numFmtId="0" fontId="36" fillId="28" borderId="24" applyAlignment="1" pivotButton="0" quotePrefix="0" xfId="0">
      <alignment horizontal="left" vertical="center" wrapText="1"/>
    </xf>
    <xf numFmtId="171" fontId="38" fillId="28" borderId="24" applyAlignment="1" pivotButton="0" quotePrefix="0" xfId="0">
      <alignment horizontal="center" vertical="center" wrapText="1"/>
    </xf>
    <xf numFmtId="171" fontId="40" fillId="28" borderId="24" applyAlignment="1" pivotButton="0" quotePrefix="0" xfId="0">
      <alignment horizontal="center" vertical="center" wrapText="1"/>
    </xf>
    <xf numFmtId="171" fontId="41" fillId="28" borderId="24" applyAlignment="1" pivotButton="0" quotePrefix="0" xfId="0">
      <alignment horizontal="center" vertical="center" wrapText="1"/>
    </xf>
    <xf numFmtId="0" fontId="0" fillId="28" borderId="24" pivotButton="0" quotePrefix="0" xfId="0"/>
    <xf numFmtId="185" fontId="37" fillId="29" borderId="24" applyAlignment="1" pivotButton="0" quotePrefix="0" xfId="0">
      <alignment horizontal="center" vertical="center" wrapText="1"/>
    </xf>
    <xf numFmtId="185" fontId="39" fillId="28" borderId="24" applyAlignment="1" pivotButton="0" quotePrefix="0" xfId="0">
      <alignment horizontal="center" vertical="center" wrapText="1"/>
    </xf>
    <xf numFmtId="185" fontId="33" fillId="28" borderId="24" applyAlignment="1" pivotButton="0" quotePrefix="0" xfId="0">
      <alignment horizontal="center" vertical="center" wrapText="1"/>
    </xf>
    <xf numFmtId="0" fontId="36" fillId="0" borderId="24" applyAlignment="1" pivotButton="0" quotePrefix="0" xfId="0">
      <alignment horizontal="left" vertical="center" wrapText="1"/>
    </xf>
    <xf numFmtId="171" fontId="38" fillId="0" borderId="24" applyAlignment="1" pivotButton="0" quotePrefix="0" xfId="0">
      <alignment horizontal="center" vertical="center" wrapText="1"/>
    </xf>
    <xf numFmtId="171" fontId="40" fillId="0" borderId="24" applyAlignment="1" pivotButton="0" quotePrefix="0" xfId="0">
      <alignment horizontal="center" vertical="center" wrapText="1"/>
    </xf>
    <xf numFmtId="171" fontId="41" fillId="25" borderId="24" applyAlignment="1" pivotButton="0" quotePrefix="0" xfId="0">
      <alignment horizontal="center" vertical="center" wrapText="1"/>
    </xf>
    <xf numFmtId="0" fontId="0" fillId="0" borderId="24" pivotButton="0" quotePrefix="0" xfId="0"/>
    <xf numFmtId="185" fontId="33" fillId="0" borderId="24" applyAlignment="1" pivotButton="0" quotePrefix="0" xfId="0">
      <alignment horizontal="center" vertical="center" wrapText="1"/>
    </xf>
    <xf numFmtId="0" fontId="42" fillId="26" borderId="24" applyAlignment="1" pivotButton="0" quotePrefix="0" xfId="0">
      <alignment horizontal="left" vertical="center" wrapText="1"/>
    </xf>
    <xf numFmtId="171" fontId="38" fillId="26" borderId="24" applyAlignment="1" pivotButton="0" quotePrefix="0" xfId="0">
      <alignment horizontal="center" vertical="center" wrapText="1"/>
    </xf>
    <xf numFmtId="171" fontId="40" fillId="26" borderId="24" applyAlignment="1" pivotButton="0" quotePrefix="0" xfId="0">
      <alignment horizontal="center" vertical="center" wrapText="1"/>
    </xf>
    <xf numFmtId="171" fontId="41" fillId="26" borderId="24" applyAlignment="1" pivotButton="0" quotePrefix="0" xfId="0">
      <alignment horizontal="center" vertical="center" wrapText="1"/>
    </xf>
    <xf numFmtId="185" fontId="36" fillId="26" borderId="24" applyAlignment="1" pivotButton="0" quotePrefix="0" xfId="0">
      <alignment horizontal="center" vertical="center" wrapText="1"/>
    </xf>
    <xf numFmtId="185" fontId="33" fillId="26" borderId="24" applyAlignment="1" pivotButton="0" quotePrefix="0" xfId="0">
      <alignment horizontal="center" vertical="center" wrapText="1"/>
    </xf>
    <xf numFmtId="0" fontId="42" fillId="25" borderId="24" applyAlignment="1" pivotButton="0" quotePrefix="0" xfId="0">
      <alignment horizontal="left" vertical="center" wrapText="1"/>
    </xf>
    <xf numFmtId="186" fontId="43" fillId="25" borderId="24" applyAlignment="1" pivotButton="0" quotePrefix="0" xfId="0">
      <alignment horizontal="center" vertical="center" wrapText="1"/>
    </xf>
    <xf numFmtId="187" fontId="44" fillId="25" borderId="2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left" vertical="center" wrapText="1"/>
    </xf>
    <xf numFmtId="0" fontId="46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47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left" vertical="center" wrapText="1"/>
    </xf>
    <xf numFmtId="171" fontId="48" fillId="29" borderId="24" applyAlignment="1" pivotButton="0" quotePrefix="0" xfId="0">
      <alignment horizontal="center" vertical="center" wrapText="1"/>
    </xf>
    <xf numFmtId="173" fontId="48" fillId="29" borderId="24" applyAlignment="1" pivotButton="0" quotePrefix="0" xfId="0">
      <alignment horizontal="center" vertical="center" wrapText="1"/>
    </xf>
    <xf numFmtId="173" fontId="49" fillId="28" borderId="24" applyAlignment="1" pivotButton="0" quotePrefix="0" xfId="0">
      <alignment horizontal="center" vertical="center" wrapText="1"/>
    </xf>
    <xf numFmtId="170" fontId="49" fillId="28" borderId="24" applyAlignment="1" pivotButton="0" quotePrefix="0" xfId="0">
      <alignment horizontal="center" vertical="center" wrapText="1"/>
    </xf>
    <xf numFmtId="2" fontId="49" fillId="28" borderId="24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left" vertical="center" wrapText="1"/>
    </xf>
    <xf numFmtId="3" fontId="48" fillId="29" borderId="24" applyAlignment="1" pivotButton="0" quotePrefix="0" xfId="0">
      <alignment horizontal="center" vertical="center" wrapText="1"/>
    </xf>
    <xf numFmtId="2" fontId="48" fillId="29" borderId="24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 wrapText="1"/>
    </xf>
    <xf numFmtId="172" fontId="52" fillId="26" borderId="24" applyAlignment="1" pivotButton="0" quotePrefix="0" xfId="0">
      <alignment horizontal="center" vertical="center" wrapText="1"/>
    </xf>
    <xf numFmtId="178" fontId="53" fillId="0" borderId="24" applyAlignment="1" pivotButton="0" quotePrefix="0" xfId="0">
      <alignment horizontal="center" vertical="center" wrapText="1"/>
    </xf>
    <xf numFmtId="171" fontId="53" fillId="0" borderId="24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124" t="n"/>
      <c r="N2" s="124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124" t="n"/>
      <c r="N3" s="124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124" t="n"/>
      <c r="N4" s="124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124" t="n"/>
      <c r="N5" s="124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124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124" t="n"/>
    </row>
    <row r="8" ht="30" customFormat="1" customHeight="1" s="21">
      <c r="B8" s="80" t="inlineStr">
        <is>
          <t>Частка ціни для собівартості</t>
        </is>
      </c>
      <c r="C8" s="125" t="n"/>
      <c r="D8" s="24">
        <f>IF(AND(COUNT(D3:D6)=4,D3&gt;0,D4&gt;=0,D5&gt;=0,D4+D5&lt;1,D6&gt;0),1-D4-D5,NA())</f>
        <v>0.4</v>
      </c>
      <c r="E8" s="126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7" t="n">
        <v>0.3</v>
      </c>
      <c r="Q9" s="128" t="n"/>
      <c r="R9" s="128" t="n"/>
      <c r="S9" s="128" t="n"/>
      <c r="T9" s="129" t="n"/>
      <c r="U9" s="130" t="n">
        <v>0.25</v>
      </c>
      <c r="V9" s="128" t="n"/>
      <c r="W9" s="128" t="n"/>
      <c r="X9" s="128" t="n"/>
      <c r="Y9" s="129" t="n"/>
      <c r="Z9" s="127" t="n">
        <v>0.2</v>
      </c>
      <c r="AA9" s="128" t="n"/>
      <c r="AB9" s="128" t="n"/>
      <c r="AC9" s="128" t="n"/>
      <c r="AD9" s="129" t="n"/>
      <c r="AE9" s="130" t="n">
        <v>0.15</v>
      </c>
      <c r="AF9" s="128" t="n"/>
      <c r="AG9" s="128" t="n"/>
      <c r="AH9" s="128" t="n"/>
      <c r="AI9" s="129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1" t="n">
        <v>1.308515625</v>
      </c>
      <c r="F11" s="132">
        <f>IF(AND(ISNUMBER(E11),ISNUMBER($D$8)),E11*$D$3,NA())</f>
        <v>66.99600000000001</v>
      </c>
      <c r="G11" s="133">
        <f>F11/$D$8</f>
        <v>167.49</v>
      </c>
      <c r="H11" s="134">
        <f>G11*$D$4</f>
        <v>41.8725</v>
      </c>
      <c r="I11" s="135">
        <f>G11-F11-H11</f>
        <v>58.6215</v>
      </c>
      <c r="J11" s="13">
        <f>I11/G11</f>
        <v>0.35</v>
      </c>
      <c r="K11" s="136">
        <f>G11*$D$6</f>
        <v>234.486</v>
      </c>
      <c r="L11" s="137">
        <f>F11/(1-$D$4)</f>
        <v>89.32800000000002</v>
      </c>
      <c r="M11" s="137">
        <f>L11*$D$6</f>
        <v>125.05920000000002</v>
      </c>
      <c r="N11" s="138">
        <f>G11-F11</f>
        <v>100.494</v>
      </c>
      <c r="O11" s="139">
        <f>N11-H11</f>
        <v>58.6215</v>
      </c>
      <c r="P11" s="140">
        <f>$F11/(1-$D$4-$P$9)</f>
        <v>148.88000000000002</v>
      </c>
      <c r="Q11" s="141">
        <f>P11*$D$4</f>
        <v>37.220000000000006</v>
      </c>
      <c r="R11" s="142">
        <f>P11-$F11-Q11</f>
        <v>44.66400000000001</v>
      </c>
      <c r="S11" s="44">
        <f>R11/P11</f>
        <v>0.3</v>
      </c>
      <c r="T11" s="140">
        <f>P11*$D$6</f>
        <v>208.43200000000002</v>
      </c>
      <c r="U11" s="140">
        <f>$F11/(1-$D$4-$U$9)</f>
        <v>133.99200000000002</v>
      </c>
      <c r="V11" s="141">
        <f>U11*$D$4</f>
        <v>33.498000000000005</v>
      </c>
      <c r="W11" s="142">
        <f>U11-$F11-V11</f>
        <v>33.498000000000005</v>
      </c>
      <c r="X11" s="44">
        <f>W11/U11</f>
        <v>0.25</v>
      </c>
      <c r="Y11" s="140">
        <f>U11*$D$6</f>
        <v>187.58880000000002</v>
      </c>
      <c r="Z11" s="140">
        <f>$F11/(1-$D$4-$Z$9)</f>
        <v>121.81090909090909</v>
      </c>
      <c r="AA11" s="141">
        <f>Z11*$D$4</f>
        <v>30.452727272727273</v>
      </c>
      <c r="AB11" s="142">
        <f>Z11-$F11-AA11</f>
        <v>24.36218181818181</v>
      </c>
      <c r="AC11" s="44">
        <f>AB11/Z11</f>
        <v>0.19999999999999993</v>
      </c>
      <c r="AD11" s="140">
        <f>Z11*$D$6</f>
        <v>170.5352727272727</v>
      </c>
      <c r="AE11" s="140">
        <f>$F11/(1-$D$4-$AE$9)</f>
        <v>111.66000000000003</v>
      </c>
      <c r="AF11" s="141">
        <f>AE11*$D$4</f>
        <v>27.915000000000006</v>
      </c>
      <c r="AG11" s="142">
        <f>AE11-$F11-AF11</f>
        <v>16.74900000000001</v>
      </c>
      <c r="AH11" s="44">
        <f>AG11/AE11</f>
        <v>0.15000000000000005</v>
      </c>
      <c r="AI11" s="140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1" t="n">
        <v>1.308515625</v>
      </c>
      <c r="F12" s="132">
        <f>IF(AND(ISNUMBER(E12),ISNUMBER($D$8)),E12*$D$3,NA())</f>
        <v>66.99600000000001</v>
      </c>
      <c r="G12" s="133">
        <f>F12/$D$8</f>
        <v>167.49</v>
      </c>
      <c r="H12" s="134">
        <f>G12*$D$4</f>
        <v>41.8725</v>
      </c>
      <c r="I12" s="135">
        <f>G12-F12-H12</f>
        <v>58.6215</v>
      </c>
      <c r="J12" s="13">
        <f>I12/G12</f>
        <v>0.35</v>
      </c>
      <c r="K12" s="136">
        <f>G12*$D$6</f>
        <v>234.486</v>
      </c>
      <c r="L12" s="137">
        <f>F12/(1-$D$4)</f>
        <v>89.32800000000002</v>
      </c>
      <c r="M12" s="137">
        <f>L12*$D$6</f>
        <v>125.05920000000002</v>
      </c>
      <c r="N12" s="138">
        <f>G12-F12</f>
        <v>100.494</v>
      </c>
      <c r="O12" s="139">
        <f>N12-H12</f>
        <v>58.6215</v>
      </c>
      <c r="P12" s="140">
        <f>$F12/(1-$D$4-$P$9)</f>
        <v>148.88000000000002</v>
      </c>
      <c r="Q12" s="141">
        <f>P12*$D$4</f>
        <v>37.220000000000006</v>
      </c>
      <c r="R12" s="142">
        <f>P12-$F12-Q12</f>
        <v>44.66400000000001</v>
      </c>
      <c r="S12" s="44">
        <f>R12/P12</f>
        <v>0.3</v>
      </c>
      <c r="T12" s="140">
        <f>P12*$D$6</f>
        <v>208.43200000000002</v>
      </c>
      <c r="U12" s="140">
        <f>$F12/(1-$D$4-$U$9)</f>
        <v>133.99200000000002</v>
      </c>
      <c r="V12" s="141">
        <f>U12*$D$4</f>
        <v>33.498000000000005</v>
      </c>
      <c r="W12" s="142">
        <f>U12-$F12-V12</f>
        <v>33.498000000000005</v>
      </c>
      <c r="X12" s="44">
        <f>W12/U12</f>
        <v>0.25</v>
      </c>
      <c r="Y12" s="140">
        <f>U12*$D$6</f>
        <v>187.58880000000002</v>
      </c>
      <c r="Z12" s="140">
        <f>$F12/(1-$D$4-$Z$9)</f>
        <v>121.81090909090909</v>
      </c>
      <c r="AA12" s="141">
        <f>Z12*$D$4</f>
        <v>30.452727272727273</v>
      </c>
      <c r="AB12" s="142">
        <f>Z12-$F12-AA12</f>
        <v>24.36218181818181</v>
      </c>
      <c r="AC12" s="44">
        <f>AB12/Z12</f>
        <v>0.19999999999999993</v>
      </c>
      <c r="AD12" s="140">
        <f>Z12*$D$6</f>
        <v>170.5352727272727</v>
      </c>
      <c r="AE12" s="140">
        <f>$F12/(1-$D$4-$AE$9)</f>
        <v>111.66000000000003</v>
      </c>
      <c r="AF12" s="141">
        <f>AE12*$D$4</f>
        <v>27.915000000000006</v>
      </c>
      <c r="AG12" s="142">
        <f>AE12-$F12-AF12</f>
        <v>16.74900000000001</v>
      </c>
      <c r="AH12" s="44">
        <f>AG12/AE12</f>
        <v>0.15000000000000005</v>
      </c>
      <c r="AI12" s="140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1" t="n">
        <v>1.134046875</v>
      </c>
      <c r="F13" s="132">
        <f>IF(AND(ISNUMBER(E13),ISNUMBER($D$8)),E13*$D$3,NA())</f>
        <v>58.063199999999995</v>
      </c>
      <c r="G13" s="133">
        <f>F13/$D$8</f>
        <v>145.158</v>
      </c>
      <c r="H13" s="134">
        <f>G13*$D$4</f>
        <v>36.2895</v>
      </c>
      <c r="I13" s="135">
        <f>G13-F13-H13</f>
        <v>50.805299999999995</v>
      </c>
      <c r="J13" s="13">
        <f>I13/G13</f>
        <v>0.35</v>
      </c>
      <c r="K13" s="136">
        <f>G13*$D$6</f>
        <v>203.22119999999998</v>
      </c>
      <c r="L13" s="137">
        <f>F13/(1-$D$4)</f>
        <v>77.4176</v>
      </c>
      <c r="M13" s="137">
        <f>L13*$D$6</f>
        <v>108.38463999999999</v>
      </c>
      <c r="N13" s="138">
        <f>G13-F13</f>
        <v>87.09479999999999</v>
      </c>
      <c r="O13" s="139">
        <f>N13-H13</f>
        <v>50.805299999999995</v>
      </c>
      <c r="P13" s="140">
        <f>$F13/(1-$D$4-$P$9)</f>
        <v>129.0293333333333</v>
      </c>
      <c r="Q13" s="141">
        <f>P13*$D$4</f>
        <v>32.25733333333333</v>
      </c>
      <c r="R13" s="142">
        <f>P13-$F13-Q13</f>
        <v>38.70879999999999</v>
      </c>
      <c r="S13" s="44">
        <f>R13/P13</f>
        <v>0.3</v>
      </c>
      <c r="T13" s="140">
        <f>P13*$D$6</f>
        <v>180.64106666666663</v>
      </c>
      <c r="U13" s="140">
        <f>$F13/(1-$D$4-$U$9)</f>
        <v>116.12639999999999</v>
      </c>
      <c r="V13" s="141">
        <f>U13*$D$4</f>
        <v>29.031599999999997</v>
      </c>
      <c r="W13" s="142">
        <f>U13-$F13-V13</f>
        <v>29.031599999999997</v>
      </c>
      <c r="X13" s="44">
        <f>W13/U13</f>
        <v>0.25</v>
      </c>
      <c r="Y13" s="140">
        <f>U13*$D$6</f>
        <v>162.57695999999999</v>
      </c>
      <c r="Z13" s="140">
        <f>$F13/(1-$D$4-$Z$9)</f>
        <v>105.56945454545453</v>
      </c>
      <c r="AA13" s="141">
        <f>Z13*$D$4</f>
        <v>26.392363636363633</v>
      </c>
      <c r="AB13" s="142">
        <f>Z13-$F13-AA13</f>
        <v>21.113890909090905</v>
      </c>
      <c r="AC13" s="44">
        <f>AB13/Z13</f>
        <v>0.19999999999999998</v>
      </c>
      <c r="AD13" s="140">
        <f>Z13*$D$6</f>
        <v>147.79723636363633</v>
      </c>
      <c r="AE13" s="140">
        <f>$F13/(1-$D$4-$AE$9)</f>
        <v>96.77199999999999</v>
      </c>
      <c r="AF13" s="141">
        <f>AE13*$D$4</f>
        <v>24.192999999999998</v>
      </c>
      <c r="AG13" s="142">
        <f>AE13-$F13-AF13</f>
        <v>14.515799999999999</v>
      </c>
      <c r="AH13" s="44">
        <f>AG13/AE13</f>
        <v>0.15</v>
      </c>
      <c r="AI13" s="140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3" t="n">
        <v>112.5</v>
      </c>
      <c r="E14" s="131" t="n">
        <v>1.134046875</v>
      </c>
      <c r="F14" s="132">
        <f>IF(AND(ISNUMBER(E14),ISNUMBER($D$8)),E14*$D$3,NA())</f>
        <v>58.063199999999995</v>
      </c>
      <c r="G14" s="133">
        <f>F14/$D$8</f>
        <v>145.158</v>
      </c>
      <c r="H14" s="134">
        <f>G14*$D$4</f>
        <v>36.2895</v>
      </c>
      <c r="I14" s="135">
        <f>G14-F14-H14</f>
        <v>50.805299999999995</v>
      </c>
      <c r="J14" s="13">
        <f>I14/G14</f>
        <v>0.35</v>
      </c>
      <c r="K14" s="136">
        <f>G14*$D$6</f>
        <v>203.22119999999998</v>
      </c>
      <c r="L14" s="137">
        <f>F14/(1-$D$4)</f>
        <v>77.4176</v>
      </c>
      <c r="M14" s="137">
        <f>L14*$D$6</f>
        <v>108.38463999999999</v>
      </c>
      <c r="N14" s="138">
        <f>G14-F14</f>
        <v>87.09479999999999</v>
      </c>
      <c r="O14" s="139">
        <f>N14-H14</f>
        <v>50.805299999999995</v>
      </c>
      <c r="P14" s="140">
        <f>$F14/(1-$D$4-$P$9)</f>
        <v>129.0293333333333</v>
      </c>
      <c r="Q14" s="141">
        <f>P14*$D$4</f>
        <v>32.25733333333333</v>
      </c>
      <c r="R14" s="142">
        <f>P14-$F14-Q14</f>
        <v>38.70879999999999</v>
      </c>
      <c r="S14" s="44">
        <f>R14/P14</f>
        <v>0.3</v>
      </c>
      <c r="T14" s="140">
        <f>P14*$D$6</f>
        <v>180.64106666666663</v>
      </c>
      <c r="U14" s="140">
        <f>$F14/(1-$D$4-$U$9)</f>
        <v>116.12639999999999</v>
      </c>
      <c r="V14" s="141">
        <f>U14*$D$4</f>
        <v>29.031599999999997</v>
      </c>
      <c r="W14" s="142">
        <f>U14-$F14-V14</f>
        <v>29.031599999999997</v>
      </c>
      <c r="X14" s="44">
        <f>W14/U14</f>
        <v>0.25</v>
      </c>
      <c r="Y14" s="140">
        <f>U14*$D$6</f>
        <v>162.57695999999999</v>
      </c>
      <c r="Z14" s="140">
        <f>$F14/(1-$D$4-$Z$9)</f>
        <v>105.56945454545453</v>
      </c>
      <c r="AA14" s="141">
        <f>Z14*$D$4</f>
        <v>26.392363636363633</v>
      </c>
      <c r="AB14" s="142">
        <f>Z14-$F14-AA14</f>
        <v>21.113890909090905</v>
      </c>
      <c r="AC14" s="44">
        <f>AB14/Z14</f>
        <v>0.19999999999999998</v>
      </c>
      <c r="AD14" s="140">
        <f>Z14*$D$6</f>
        <v>147.79723636363633</v>
      </c>
      <c r="AE14" s="140">
        <f>$F14/(1-$D$4-$AE$9)</f>
        <v>96.77199999999999</v>
      </c>
      <c r="AF14" s="141">
        <f>AE14*$D$4</f>
        <v>24.192999999999998</v>
      </c>
      <c r="AG14" s="142">
        <f>AE14-$F14-AF14</f>
        <v>14.515799999999999</v>
      </c>
      <c r="AH14" s="44">
        <f>AG14/AE14</f>
        <v>0.15</v>
      </c>
      <c r="AI14" s="140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1" t="n">
        <v>1.134046875</v>
      </c>
      <c r="F15" s="132">
        <f>IF(AND(ISNUMBER(E15),ISNUMBER($D$8)),E15*$D$3,NA())</f>
        <v>58.063199999999995</v>
      </c>
      <c r="G15" s="133">
        <f>F15/$D$8</f>
        <v>145.158</v>
      </c>
      <c r="H15" s="134">
        <f>G15*$D$4</f>
        <v>36.2895</v>
      </c>
      <c r="I15" s="135">
        <f>G15-F15-H15</f>
        <v>50.805299999999995</v>
      </c>
      <c r="J15" s="13">
        <f>I15/G15</f>
        <v>0.35</v>
      </c>
      <c r="K15" s="136">
        <f>G15*$D$6</f>
        <v>203.22119999999998</v>
      </c>
      <c r="L15" s="137">
        <f>F15/(1-$D$4)</f>
        <v>77.4176</v>
      </c>
      <c r="M15" s="137">
        <f>L15*$D$6</f>
        <v>108.38463999999999</v>
      </c>
      <c r="N15" s="138">
        <f>G15-F15</f>
        <v>87.09479999999999</v>
      </c>
      <c r="O15" s="139">
        <f>N15-H15</f>
        <v>50.805299999999995</v>
      </c>
      <c r="P15" s="140">
        <f>$F15/(1-$D$4-$P$9)</f>
        <v>129.0293333333333</v>
      </c>
      <c r="Q15" s="141">
        <f>P15*$D$4</f>
        <v>32.25733333333333</v>
      </c>
      <c r="R15" s="142">
        <f>P15-$F15-Q15</f>
        <v>38.70879999999999</v>
      </c>
      <c r="S15" s="44">
        <f>R15/P15</f>
        <v>0.3</v>
      </c>
      <c r="T15" s="140">
        <f>P15*$D$6</f>
        <v>180.64106666666663</v>
      </c>
      <c r="U15" s="140">
        <f>$F15/(1-$D$4-$U$9)</f>
        <v>116.12639999999999</v>
      </c>
      <c r="V15" s="141">
        <f>U15*$D$4</f>
        <v>29.031599999999997</v>
      </c>
      <c r="W15" s="142">
        <f>U15-$F15-V15</f>
        <v>29.031599999999997</v>
      </c>
      <c r="X15" s="44">
        <f>W15/U15</f>
        <v>0.25</v>
      </c>
      <c r="Y15" s="140">
        <f>U15*$D$6</f>
        <v>162.57695999999999</v>
      </c>
      <c r="Z15" s="140">
        <f>$F15/(1-$D$4-$Z$9)</f>
        <v>105.56945454545453</v>
      </c>
      <c r="AA15" s="141">
        <f>Z15*$D$4</f>
        <v>26.392363636363633</v>
      </c>
      <c r="AB15" s="142">
        <f>Z15-$F15-AA15</f>
        <v>21.113890909090905</v>
      </c>
      <c r="AC15" s="44">
        <f>AB15/Z15</f>
        <v>0.19999999999999998</v>
      </c>
      <c r="AD15" s="140">
        <f>Z15*$D$6</f>
        <v>147.79723636363633</v>
      </c>
      <c r="AE15" s="140">
        <f>$F15/(1-$D$4-$AE$9)</f>
        <v>96.77199999999999</v>
      </c>
      <c r="AF15" s="141">
        <f>AE15*$D$4</f>
        <v>24.192999999999998</v>
      </c>
      <c r="AG15" s="142">
        <f>AE15-$F15-AF15</f>
        <v>14.515799999999999</v>
      </c>
      <c r="AH15" s="44">
        <f>AG15/AE15</f>
        <v>0.15</v>
      </c>
      <c r="AI15" s="140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1" t="n">
        <v>1.134046875</v>
      </c>
      <c r="F16" s="132">
        <f>IF(AND(ISNUMBER(E16),ISNUMBER($D$8)),E16*$D$3,NA())</f>
        <v>58.063199999999995</v>
      </c>
      <c r="G16" s="133">
        <f>F16/$D$8</f>
        <v>145.158</v>
      </c>
      <c r="H16" s="134">
        <f>G16*$D$4</f>
        <v>36.2895</v>
      </c>
      <c r="I16" s="135">
        <f>G16-F16-H16</f>
        <v>50.805299999999995</v>
      </c>
      <c r="J16" s="13">
        <f>I16/G16</f>
        <v>0.35</v>
      </c>
      <c r="K16" s="136">
        <f>G16*$D$6</f>
        <v>203.22119999999998</v>
      </c>
      <c r="L16" s="137">
        <f>F16/(1-$D$4)</f>
        <v>77.4176</v>
      </c>
      <c r="M16" s="137">
        <f>L16*$D$6</f>
        <v>108.38463999999999</v>
      </c>
      <c r="N16" s="138">
        <f>G16-F16</f>
        <v>87.09479999999999</v>
      </c>
      <c r="O16" s="139">
        <f>N16-H16</f>
        <v>50.805299999999995</v>
      </c>
      <c r="P16" s="140">
        <f>$F16/(1-$D$4-$P$9)</f>
        <v>129.0293333333333</v>
      </c>
      <c r="Q16" s="141">
        <f>P16*$D$4</f>
        <v>32.25733333333333</v>
      </c>
      <c r="R16" s="142">
        <f>P16-$F16-Q16</f>
        <v>38.70879999999999</v>
      </c>
      <c r="S16" s="44">
        <f>R16/P16</f>
        <v>0.3</v>
      </c>
      <c r="T16" s="140">
        <f>P16*$D$6</f>
        <v>180.64106666666663</v>
      </c>
      <c r="U16" s="140">
        <f>$F16/(1-$D$4-$U$9)</f>
        <v>116.12639999999999</v>
      </c>
      <c r="V16" s="141">
        <f>U16*$D$4</f>
        <v>29.031599999999997</v>
      </c>
      <c r="W16" s="142">
        <f>U16-$F16-V16</f>
        <v>29.031599999999997</v>
      </c>
      <c r="X16" s="44">
        <f>W16/U16</f>
        <v>0.25</v>
      </c>
      <c r="Y16" s="140">
        <f>U16*$D$6</f>
        <v>162.57695999999999</v>
      </c>
      <c r="Z16" s="140">
        <f>$F16/(1-$D$4-$Z$9)</f>
        <v>105.56945454545453</v>
      </c>
      <c r="AA16" s="141">
        <f>Z16*$D$4</f>
        <v>26.392363636363633</v>
      </c>
      <c r="AB16" s="142">
        <f>Z16-$F16-AA16</f>
        <v>21.113890909090905</v>
      </c>
      <c r="AC16" s="44">
        <f>AB16/Z16</f>
        <v>0.19999999999999998</v>
      </c>
      <c r="AD16" s="140">
        <f>Z16*$D$6</f>
        <v>147.79723636363633</v>
      </c>
      <c r="AE16" s="140">
        <f>$F16/(1-$D$4-$AE$9)</f>
        <v>96.77199999999999</v>
      </c>
      <c r="AF16" s="141">
        <f>AE16*$D$4</f>
        <v>24.192999999999998</v>
      </c>
      <c r="AG16" s="142">
        <f>AE16-$F16-AF16</f>
        <v>14.515799999999999</v>
      </c>
      <c r="AH16" s="44">
        <f>AG16/AE16</f>
        <v>0.15</v>
      </c>
      <c r="AI16" s="140">
        <f>AE16*$D$6</f>
        <v>135.4808</v>
      </c>
    </row>
    <row r="19" ht="28.05" customHeight="1">
      <c r="A19" s="27" t="n"/>
      <c r="B19" s="144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5" t="inlineStr">
        <is>
          <t>Що рахуємо</t>
        </is>
      </c>
      <c r="D21" s="145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6" t="n"/>
      <c r="D22" s="86" t="inlineStr">
        <is>
          <t>Із Self-Cost</t>
        </is>
      </c>
      <c r="E22" s="146" t="n"/>
      <c r="F22" s="147">
        <f>E11</f>
        <v>1.308515625</v>
      </c>
      <c r="G22" s="147">
        <f>E12</f>
        <v>1.308515625</v>
      </c>
      <c r="H22" s="147">
        <f>E13</f>
        <v>1.134046875</v>
      </c>
      <c r="I22" s="147">
        <f>E14</f>
        <v>1.134046875</v>
      </c>
      <c r="J22" s="147">
        <f>E15</f>
        <v>1.134046875</v>
      </c>
      <c r="K22" s="147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6" t="n"/>
      <c r="D23" s="86" t="inlineStr">
        <is>
          <t>Умова в D3</t>
        </is>
      </c>
      <c r="E23" s="146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6" t="n"/>
      <c r="D24" s="86" t="inlineStr">
        <is>
          <t>Крок 1 × крок 2</t>
        </is>
      </c>
      <c r="E24" s="146" t="n"/>
      <c r="F24" s="148">
        <f>F11</f>
        <v>66.99600000000001</v>
      </c>
      <c r="G24" s="148">
        <f>F12</f>
        <v>66.99600000000001</v>
      </c>
      <c r="H24" s="148">
        <f>F13</f>
        <v>58.063199999999995</v>
      </c>
      <c r="I24" s="148">
        <f>F14</f>
        <v>58.063199999999995</v>
      </c>
      <c r="J24" s="148">
        <f>F15</f>
        <v>58.063199999999995</v>
      </c>
      <c r="K24" s="148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6" t="n"/>
      <c r="D25" s="86" t="inlineStr">
        <is>
          <t>База для всіх відсотків</t>
        </is>
      </c>
      <c r="E25" s="146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6" t="n"/>
      <c r="D26" s="86" t="inlineStr">
        <is>
          <t>Умова в D4</t>
        </is>
      </c>
      <c r="E26" s="146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6" t="n"/>
      <c r="D27" s="86" t="inlineStr">
        <is>
          <t>Крок 4 − крок 5</t>
        </is>
      </c>
      <c r="E27" s="146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6" t="n"/>
      <c r="D28" s="86" t="inlineStr">
        <is>
          <t>Умова в D5</t>
        </is>
      </c>
      <c r="E28" s="146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6" t="n"/>
      <c r="D29" s="86" t="inlineStr">
        <is>
          <t>Крок 6 − крок 7</t>
        </is>
      </c>
      <c r="E29" s="146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6" t="n"/>
      <c r="D30" s="90" t="inlineStr">
        <is>
          <t>Крок 3 ÷ крок 8</t>
        </is>
      </c>
      <c r="E30" s="146" t="n"/>
      <c r="F30" s="149">
        <f>G11</f>
        <v>167.49</v>
      </c>
      <c r="G30" s="149">
        <f>G12</f>
        <v>167.49</v>
      </c>
      <c r="H30" s="149">
        <f>G13</f>
        <v>145.158</v>
      </c>
      <c r="I30" s="149">
        <f>G14</f>
        <v>145.158</v>
      </c>
      <c r="J30" s="149">
        <f>G15</f>
        <v>145.158</v>
      </c>
      <c r="K30" s="149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6" t="n"/>
      <c r="D31" s="86" t="inlineStr">
        <is>
          <t>Крок 9 − крок 3</t>
        </is>
      </c>
      <c r="E31" s="146" t="n"/>
      <c r="F31" s="148">
        <f>N11</f>
        <v>100.494</v>
      </c>
      <c r="G31" s="148">
        <f>N12</f>
        <v>100.494</v>
      </c>
      <c r="H31" s="148">
        <f>N13</f>
        <v>87.09479999999999</v>
      </c>
      <c r="I31" s="148">
        <f>N14</f>
        <v>87.09479999999999</v>
      </c>
      <c r="J31" s="148">
        <f>N15</f>
        <v>87.09479999999999</v>
      </c>
      <c r="K31" s="148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6" t="n"/>
      <c r="D32" s="86" t="inlineStr">
        <is>
          <t>Крок 9 × крок 5</t>
        </is>
      </c>
      <c r="E32" s="146" t="n"/>
      <c r="F32" s="148">
        <f>H11</f>
        <v>41.8725</v>
      </c>
      <c r="G32" s="148">
        <f>H12</f>
        <v>41.8725</v>
      </c>
      <c r="H32" s="148">
        <f>H13</f>
        <v>36.2895</v>
      </c>
      <c r="I32" s="148">
        <f>H14</f>
        <v>36.2895</v>
      </c>
      <c r="J32" s="148">
        <f>H15</f>
        <v>36.2895</v>
      </c>
      <c r="K32" s="148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6" t="n"/>
      <c r="D33" s="92" t="inlineStr">
        <is>
          <t>Крок 10 − крок 11</t>
        </is>
      </c>
      <c r="E33" s="146" t="n"/>
      <c r="F33" s="150">
        <f>I11</f>
        <v>58.6215</v>
      </c>
      <c r="G33" s="150">
        <f>I12</f>
        <v>58.6215</v>
      </c>
      <c r="H33" s="150">
        <f>I13</f>
        <v>50.805299999999995</v>
      </c>
      <c r="I33" s="150">
        <f>I14</f>
        <v>50.805299999999995</v>
      </c>
      <c r="J33" s="150">
        <f>I15</f>
        <v>50.805299999999995</v>
      </c>
      <c r="K33" s="150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6" t="n"/>
      <c r="D34" s="92" t="inlineStr">
        <is>
          <t>Крок 12 ÷ крок 9</t>
        </is>
      </c>
      <c r="E34" s="146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6" t="n"/>
      <c r="D35" s="86" t="inlineStr">
        <is>
          <t>Множник D6 − 1</t>
        </is>
      </c>
      <c r="E35" s="146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6" t="n"/>
      <c r="D36" s="86" t="inlineStr">
        <is>
          <t>1 + крок 14</t>
        </is>
      </c>
      <c r="E36" s="146" t="n"/>
      <c r="F36" s="151">
        <f>$D$6</f>
        <v>1.4</v>
      </c>
      <c r="G36" s="151">
        <f>$D$6</f>
        <v>1.4</v>
      </c>
      <c r="H36" s="151">
        <f>$D$6</f>
        <v>1.4</v>
      </c>
      <c r="I36" s="151">
        <f>$D$6</f>
        <v>1.4</v>
      </c>
      <c r="J36" s="151">
        <f>$D$6</f>
        <v>1.4</v>
      </c>
      <c r="K36" s="151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6" t="n"/>
      <c r="D37" s="90" t="inlineStr">
        <is>
          <t>Крок 9 × крок 15</t>
        </is>
      </c>
      <c r="E37" s="146" t="n"/>
      <c r="F37" s="149">
        <f>K11</f>
        <v>234.486</v>
      </c>
      <c r="G37" s="149">
        <f>K12</f>
        <v>234.486</v>
      </c>
      <c r="H37" s="149">
        <f>K13</f>
        <v>203.22119999999998</v>
      </c>
      <c r="I37" s="149">
        <f>K14</f>
        <v>203.22119999999998</v>
      </c>
      <c r="J37" s="149">
        <f>K15</f>
        <v>203.22119999999998</v>
      </c>
      <c r="K37" s="149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6" t="n"/>
      <c r="D38" s="86" t="inlineStr">
        <is>
          <t>Крок 3 ÷ крок 6</t>
        </is>
      </c>
      <c r="E38" s="146" t="n"/>
      <c r="F38" s="148">
        <f>L11</f>
        <v>89.32800000000002</v>
      </c>
      <c r="G38" s="148">
        <f>L12</f>
        <v>89.32800000000002</v>
      </c>
      <c r="H38" s="148">
        <f>L13</f>
        <v>77.4176</v>
      </c>
      <c r="I38" s="148">
        <f>L14</f>
        <v>77.4176</v>
      </c>
      <c r="J38" s="148">
        <f>L15</f>
        <v>77.4176</v>
      </c>
      <c r="K38" s="148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6" t="n"/>
      <c r="D39" s="86" t="inlineStr">
        <is>
          <t>Крок 17 × крок 15</t>
        </is>
      </c>
      <c r="E39" s="146" t="n"/>
      <c r="F39" s="148">
        <f>M11</f>
        <v>125.05920000000002</v>
      </c>
      <c r="G39" s="148">
        <f>M12</f>
        <v>125.05920000000002</v>
      </c>
      <c r="H39" s="148">
        <f>M13</f>
        <v>108.38463999999999</v>
      </c>
      <c r="I39" s="148">
        <f>M14</f>
        <v>108.38463999999999</v>
      </c>
      <c r="J39" s="148">
        <f>M15</f>
        <v>108.38463999999999</v>
      </c>
      <c r="K39" s="148">
        <f>M16</f>
        <v>108.38463999999999</v>
      </c>
    </row>
  </sheetData>
  <mergeCells count="63">
    <mergeCell ref="U9:Y9"/>
    <mergeCell ref="Z9:AD9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B21:C21"/>
    <mergeCell ref="B2:C2"/>
    <mergeCell ref="A9:D9"/>
    <mergeCell ref="G9:J9"/>
    <mergeCell ref="D35:E35"/>
    <mergeCell ref="E3:K3"/>
    <mergeCell ref="D27:E27"/>
    <mergeCell ref="B23:C23"/>
    <mergeCell ref="D32:E32"/>
    <mergeCell ref="D26:E26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124" t="n"/>
      <c r="N2" s="124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124" t="n"/>
      <c r="N3" s="124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124" t="n"/>
      <c r="N4" s="124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124" t="n"/>
      <c r="N5" s="124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124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124" t="n"/>
    </row>
    <row r="8" ht="30" customFormat="1" customHeight="1" s="21">
      <c r="B8" s="80" t="inlineStr">
        <is>
          <t>Частка ціни для собівартості</t>
        </is>
      </c>
      <c r="C8" s="125" t="n"/>
      <c r="D8" s="24">
        <f>IF(AND(COUNT(D3:D6)=4,D3&gt;0,D4&gt;=0,D5&gt;=0,D4+D5&lt;1,D6&gt;0),1-D4-D5,NA())</f>
        <v>0.4</v>
      </c>
      <c r="E8" s="126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7" t="n">
        <v>0.3</v>
      </c>
      <c r="Q9" s="128" t="n"/>
      <c r="R9" s="128" t="n"/>
      <c r="S9" s="128" t="n"/>
      <c r="T9" s="129" t="n"/>
      <c r="U9" s="130" t="n">
        <v>0.25</v>
      </c>
      <c r="V9" s="128" t="n"/>
      <c r="W9" s="128" t="n"/>
      <c r="X9" s="128" t="n"/>
      <c r="Y9" s="129" t="n"/>
      <c r="Z9" s="127" t="n">
        <v>0.2</v>
      </c>
      <c r="AA9" s="128" t="n"/>
      <c r="AB9" s="128" t="n"/>
      <c r="AC9" s="128" t="n"/>
      <c r="AD9" s="129" t="n"/>
      <c r="AE9" s="130" t="n">
        <v>0.15</v>
      </c>
      <c r="AF9" s="128" t="n"/>
      <c r="AG9" s="128" t="n"/>
      <c r="AH9" s="128" t="n"/>
      <c r="AI9" s="129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1" t="n">
        <v>1.018131154266958</v>
      </c>
      <c r="F11" s="132">
        <f>IF(AND(ISNUMBER(E11),ISNUMBER($D$8)),E11*$D$3,NA())</f>
        <v>52.12831509846825</v>
      </c>
      <c r="G11" s="133">
        <f>F11/$D$8</f>
        <v>130.32078774617062</v>
      </c>
      <c r="H11" s="134">
        <f>G11*$D$4</f>
        <v>32.580196936542656</v>
      </c>
      <c r="I11" s="135">
        <f>G11-F11-H11</f>
        <v>45.61227571115972</v>
      </c>
      <c r="J11" s="13">
        <f>I11/G11</f>
        <v>0.35</v>
      </c>
      <c r="K11" s="136">
        <f>G11*$D$6</f>
        <v>182.44910284463887</v>
      </c>
      <c r="L11" s="137">
        <f>F11/(1-$D$4)</f>
        <v>69.504420131291</v>
      </c>
      <c r="M11" s="137">
        <f>L11*$D$6</f>
        <v>97.3061881838074</v>
      </c>
      <c r="N11" s="138">
        <f>G11-F11</f>
        <v>78.19247264770237</v>
      </c>
      <c r="O11" s="139">
        <f>N11-H11</f>
        <v>45.61227571115972</v>
      </c>
      <c r="P11" s="140">
        <f>$F11/(1-$D$4-$P$9)</f>
        <v>115.84070021881833</v>
      </c>
      <c r="Q11" s="141">
        <f>P11*$D$4</f>
        <v>28.96017505470458</v>
      </c>
      <c r="R11" s="142">
        <f>P11-$F11-Q11</f>
        <v>34.7522100656455</v>
      </c>
      <c r="S11" s="44">
        <f>R11/P11</f>
        <v>0.3</v>
      </c>
      <c r="T11" s="140">
        <f>P11*$D$6</f>
        <v>162.17698030634565</v>
      </c>
      <c r="U11" s="140">
        <f>$F11/(1-$D$4-$U$9)</f>
        <v>104.2566301969365</v>
      </c>
      <c r="V11" s="141">
        <f>U11*$D$4</f>
        <v>26.064157549234125</v>
      </c>
      <c r="W11" s="142">
        <f>U11-$F11-V11</f>
        <v>26.064157549234125</v>
      </c>
      <c r="X11" s="44">
        <f>W11/U11</f>
        <v>0.25</v>
      </c>
      <c r="Y11" s="140">
        <f>U11*$D$6</f>
        <v>145.95928227571108</v>
      </c>
      <c r="Z11" s="140">
        <f>$F11/(1-$D$4-$Z$9)</f>
        <v>94.77875472448771</v>
      </c>
      <c r="AA11" s="141">
        <f>Z11*$D$4</f>
        <v>23.694688681121928</v>
      </c>
      <c r="AB11" s="142">
        <f>Z11-$F11-AA11</f>
        <v>18.955750944897535</v>
      </c>
      <c r="AC11" s="44">
        <f>AB11/Z11</f>
        <v>0.19999999999999993</v>
      </c>
      <c r="AD11" s="140">
        <f>Z11*$D$6</f>
        <v>132.6902566142828</v>
      </c>
      <c r="AE11" s="140">
        <f>$F11/(1-$D$4-$AE$9)</f>
        <v>86.88052516411375</v>
      </c>
      <c r="AF11" s="141">
        <f>AE11*$D$4</f>
        <v>21.720131291028437</v>
      </c>
      <c r="AG11" s="142">
        <f>AE11-$F11-AF11</f>
        <v>13.032078774617062</v>
      </c>
      <c r="AH11" s="44">
        <f>AG11/AE11</f>
        <v>0.15</v>
      </c>
      <c r="AI11" s="140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1" t="n">
        <v>1.018131154266958</v>
      </c>
      <c r="F12" s="132">
        <f>IF(AND(ISNUMBER(E12),ISNUMBER($D$8)),E12*$D$3,NA())</f>
        <v>52.12831509846825</v>
      </c>
      <c r="G12" s="133">
        <f>F12/$D$8</f>
        <v>130.32078774617062</v>
      </c>
      <c r="H12" s="134">
        <f>G12*$D$4</f>
        <v>32.580196936542656</v>
      </c>
      <c r="I12" s="135">
        <f>G12-F12-H12</f>
        <v>45.61227571115972</v>
      </c>
      <c r="J12" s="13">
        <f>I12/G12</f>
        <v>0.35</v>
      </c>
      <c r="K12" s="136">
        <f>G12*$D$6</f>
        <v>182.44910284463887</v>
      </c>
      <c r="L12" s="137">
        <f>F12/(1-$D$4)</f>
        <v>69.504420131291</v>
      </c>
      <c r="M12" s="137">
        <f>L12*$D$6</f>
        <v>97.3061881838074</v>
      </c>
      <c r="N12" s="138">
        <f>G12-F12</f>
        <v>78.19247264770237</v>
      </c>
      <c r="O12" s="139">
        <f>N12-H12</f>
        <v>45.61227571115972</v>
      </c>
      <c r="P12" s="140">
        <f>$F12/(1-$D$4-$P$9)</f>
        <v>115.84070021881833</v>
      </c>
      <c r="Q12" s="141">
        <f>P12*$D$4</f>
        <v>28.96017505470458</v>
      </c>
      <c r="R12" s="142">
        <f>P12-$F12-Q12</f>
        <v>34.7522100656455</v>
      </c>
      <c r="S12" s="44">
        <f>R12/P12</f>
        <v>0.3</v>
      </c>
      <c r="T12" s="140">
        <f>P12*$D$6</f>
        <v>162.17698030634565</v>
      </c>
      <c r="U12" s="140">
        <f>$F12/(1-$D$4-$U$9)</f>
        <v>104.2566301969365</v>
      </c>
      <c r="V12" s="141">
        <f>U12*$D$4</f>
        <v>26.064157549234125</v>
      </c>
      <c r="W12" s="142">
        <f>U12-$F12-V12</f>
        <v>26.064157549234125</v>
      </c>
      <c r="X12" s="44">
        <f>W12/U12</f>
        <v>0.25</v>
      </c>
      <c r="Y12" s="140">
        <f>U12*$D$6</f>
        <v>145.95928227571108</v>
      </c>
      <c r="Z12" s="140">
        <f>$F12/(1-$D$4-$Z$9)</f>
        <v>94.77875472448771</v>
      </c>
      <c r="AA12" s="141">
        <f>Z12*$D$4</f>
        <v>23.694688681121928</v>
      </c>
      <c r="AB12" s="142">
        <f>Z12-$F12-AA12</f>
        <v>18.955750944897535</v>
      </c>
      <c r="AC12" s="44">
        <f>AB12/Z12</f>
        <v>0.19999999999999993</v>
      </c>
      <c r="AD12" s="140">
        <f>Z12*$D$6</f>
        <v>132.6902566142828</v>
      </c>
      <c r="AE12" s="140">
        <f>$F12/(1-$D$4-$AE$9)</f>
        <v>86.88052516411375</v>
      </c>
      <c r="AF12" s="141">
        <f>AE12*$D$4</f>
        <v>21.720131291028437</v>
      </c>
      <c r="AG12" s="142">
        <f>AE12-$F12-AF12</f>
        <v>13.032078774617062</v>
      </c>
      <c r="AH12" s="44">
        <f>AG12/AE12</f>
        <v>0.15</v>
      </c>
      <c r="AI12" s="140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1" t="n">
        <v>0.8823803336980306</v>
      </c>
      <c r="F13" s="132">
        <f>IF(AND(ISNUMBER(E13),ISNUMBER($D$8)),E13*$D$3,NA())</f>
        <v>45.17787308533919</v>
      </c>
      <c r="G13" s="133">
        <f>F13/$D$8</f>
        <v>112.94468271334797</v>
      </c>
      <c r="H13" s="134">
        <f>G13*$D$4</f>
        <v>28.236170678336993</v>
      </c>
      <c r="I13" s="135">
        <f>G13-F13-H13</f>
        <v>39.5306389496718</v>
      </c>
      <c r="J13" s="13">
        <f>I13/G13</f>
        <v>0.35000000000000003</v>
      </c>
      <c r="K13" s="136">
        <f>G13*$D$6</f>
        <v>158.12255579868716</v>
      </c>
      <c r="L13" s="137">
        <f>F13/(1-$D$4)</f>
        <v>60.23716411378559</v>
      </c>
      <c r="M13" s="137">
        <f>L13*$D$6</f>
        <v>84.33202975929981</v>
      </c>
      <c r="N13" s="138">
        <f>G13-F13</f>
        <v>67.76680962800879</v>
      </c>
      <c r="O13" s="139">
        <f>N13-H13</f>
        <v>39.5306389496718</v>
      </c>
      <c r="P13" s="140">
        <f>$F13/(1-$D$4-$P$9)</f>
        <v>100.39527352297598</v>
      </c>
      <c r="Q13" s="141">
        <f>P13*$D$4</f>
        <v>25.098818380743996</v>
      </c>
      <c r="R13" s="142">
        <f>P13-$F13-Q13</f>
        <v>30.118582056892794</v>
      </c>
      <c r="S13" s="44">
        <f>R13/P13</f>
        <v>0.3</v>
      </c>
      <c r="T13" s="140">
        <f>P13*$D$6</f>
        <v>140.55338293216636</v>
      </c>
      <c r="U13" s="140">
        <f>$F13/(1-$D$4-$U$9)</f>
        <v>90.35574617067839</v>
      </c>
      <c r="V13" s="141">
        <f>U13*$D$4</f>
        <v>22.588936542669597</v>
      </c>
      <c r="W13" s="142">
        <f>U13-$F13-V13</f>
        <v>22.588936542669597</v>
      </c>
      <c r="X13" s="44">
        <f>W13/U13</f>
        <v>0.25</v>
      </c>
      <c r="Y13" s="140">
        <f>U13*$D$6</f>
        <v>126.49804463894974</v>
      </c>
      <c r="Z13" s="140">
        <f>$F13/(1-$D$4-$Z$9)</f>
        <v>82.14158742788943</v>
      </c>
      <c r="AA13" s="141">
        <f>Z13*$D$4</f>
        <v>20.53539685697236</v>
      </c>
      <c r="AB13" s="142">
        <f>Z13-$F13-AA13</f>
        <v>16.42831748557788</v>
      </c>
      <c r="AC13" s="44">
        <f>AB13/Z13</f>
        <v>0.19999999999999993</v>
      </c>
      <c r="AD13" s="140">
        <f>Z13*$D$6</f>
        <v>114.9982223990452</v>
      </c>
      <c r="AE13" s="140">
        <f>$F13/(1-$D$4-$AE$9)</f>
        <v>75.29645514223199</v>
      </c>
      <c r="AF13" s="141">
        <f>AE13*$D$4</f>
        <v>18.824113785557998</v>
      </c>
      <c r="AG13" s="142">
        <f>AE13-$F13-AF13</f>
        <v>11.2944682713348</v>
      </c>
      <c r="AH13" s="44">
        <f>AG13/AE13</f>
        <v>0.15000000000000002</v>
      </c>
      <c r="AI13" s="140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3" t="n">
        <v>112.5</v>
      </c>
      <c r="E14" s="131" t="n">
        <v>0.8823803336980306</v>
      </c>
      <c r="F14" s="132">
        <f>IF(AND(ISNUMBER(E14),ISNUMBER($D$8)),E14*$D$3,NA())</f>
        <v>45.17787308533919</v>
      </c>
      <c r="G14" s="133">
        <f>F14/$D$8</f>
        <v>112.94468271334797</v>
      </c>
      <c r="H14" s="134">
        <f>G14*$D$4</f>
        <v>28.236170678336993</v>
      </c>
      <c r="I14" s="135">
        <f>G14-F14-H14</f>
        <v>39.5306389496718</v>
      </c>
      <c r="J14" s="13">
        <f>I14/G14</f>
        <v>0.35000000000000003</v>
      </c>
      <c r="K14" s="136">
        <f>G14*$D$6</f>
        <v>158.12255579868716</v>
      </c>
      <c r="L14" s="137">
        <f>F14/(1-$D$4)</f>
        <v>60.23716411378559</v>
      </c>
      <c r="M14" s="137">
        <f>L14*$D$6</f>
        <v>84.33202975929981</v>
      </c>
      <c r="N14" s="138">
        <f>G14-F14</f>
        <v>67.76680962800879</v>
      </c>
      <c r="O14" s="139">
        <f>N14-H14</f>
        <v>39.5306389496718</v>
      </c>
      <c r="P14" s="140">
        <f>$F14/(1-$D$4-$P$9)</f>
        <v>100.39527352297598</v>
      </c>
      <c r="Q14" s="141">
        <f>P14*$D$4</f>
        <v>25.098818380743996</v>
      </c>
      <c r="R14" s="142">
        <f>P14-$F14-Q14</f>
        <v>30.118582056892794</v>
      </c>
      <c r="S14" s="44">
        <f>R14/P14</f>
        <v>0.3</v>
      </c>
      <c r="T14" s="140">
        <f>P14*$D$6</f>
        <v>140.55338293216636</v>
      </c>
      <c r="U14" s="140">
        <f>$F14/(1-$D$4-$U$9)</f>
        <v>90.35574617067839</v>
      </c>
      <c r="V14" s="141">
        <f>U14*$D$4</f>
        <v>22.588936542669597</v>
      </c>
      <c r="W14" s="142">
        <f>U14-$F14-V14</f>
        <v>22.588936542669597</v>
      </c>
      <c r="X14" s="44">
        <f>W14/U14</f>
        <v>0.25</v>
      </c>
      <c r="Y14" s="140">
        <f>U14*$D$6</f>
        <v>126.49804463894974</v>
      </c>
      <c r="Z14" s="140">
        <f>$F14/(1-$D$4-$Z$9)</f>
        <v>82.14158742788943</v>
      </c>
      <c r="AA14" s="141">
        <f>Z14*$D$4</f>
        <v>20.53539685697236</v>
      </c>
      <c r="AB14" s="142">
        <f>Z14-$F14-AA14</f>
        <v>16.42831748557788</v>
      </c>
      <c r="AC14" s="44">
        <f>AB14/Z14</f>
        <v>0.19999999999999993</v>
      </c>
      <c r="AD14" s="140">
        <f>Z14*$D$6</f>
        <v>114.9982223990452</v>
      </c>
      <c r="AE14" s="140">
        <f>$F14/(1-$D$4-$AE$9)</f>
        <v>75.29645514223199</v>
      </c>
      <c r="AF14" s="141">
        <f>AE14*$D$4</f>
        <v>18.824113785557998</v>
      </c>
      <c r="AG14" s="142">
        <f>AE14-$F14-AF14</f>
        <v>11.2944682713348</v>
      </c>
      <c r="AH14" s="44">
        <f>AG14/AE14</f>
        <v>0.15000000000000002</v>
      </c>
      <c r="AI14" s="140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1" t="n">
        <v>0.8823803336980306</v>
      </c>
      <c r="F15" s="132">
        <f>IF(AND(ISNUMBER(E15),ISNUMBER($D$8)),E15*$D$3,NA())</f>
        <v>45.17787308533919</v>
      </c>
      <c r="G15" s="133">
        <f>F15/$D$8</f>
        <v>112.94468271334797</v>
      </c>
      <c r="H15" s="134">
        <f>G15*$D$4</f>
        <v>28.236170678336993</v>
      </c>
      <c r="I15" s="135">
        <f>G15-F15-H15</f>
        <v>39.5306389496718</v>
      </c>
      <c r="J15" s="13">
        <f>I15/G15</f>
        <v>0.35000000000000003</v>
      </c>
      <c r="K15" s="136">
        <f>G15*$D$6</f>
        <v>158.12255579868716</v>
      </c>
      <c r="L15" s="137">
        <f>F15/(1-$D$4)</f>
        <v>60.23716411378559</v>
      </c>
      <c r="M15" s="137">
        <f>L15*$D$6</f>
        <v>84.33202975929981</v>
      </c>
      <c r="N15" s="138">
        <f>G15-F15</f>
        <v>67.76680962800879</v>
      </c>
      <c r="O15" s="139">
        <f>N15-H15</f>
        <v>39.5306389496718</v>
      </c>
      <c r="P15" s="140">
        <f>$F15/(1-$D$4-$P$9)</f>
        <v>100.39527352297598</v>
      </c>
      <c r="Q15" s="141">
        <f>P15*$D$4</f>
        <v>25.098818380743996</v>
      </c>
      <c r="R15" s="142">
        <f>P15-$F15-Q15</f>
        <v>30.118582056892794</v>
      </c>
      <c r="S15" s="44">
        <f>R15/P15</f>
        <v>0.3</v>
      </c>
      <c r="T15" s="140">
        <f>P15*$D$6</f>
        <v>140.55338293216636</v>
      </c>
      <c r="U15" s="140">
        <f>$F15/(1-$D$4-$U$9)</f>
        <v>90.35574617067839</v>
      </c>
      <c r="V15" s="141">
        <f>U15*$D$4</f>
        <v>22.588936542669597</v>
      </c>
      <c r="W15" s="142">
        <f>U15-$F15-V15</f>
        <v>22.588936542669597</v>
      </c>
      <c r="X15" s="44">
        <f>W15/U15</f>
        <v>0.25</v>
      </c>
      <c r="Y15" s="140">
        <f>U15*$D$6</f>
        <v>126.49804463894974</v>
      </c>
      <c r="Z15" s="140">
        <f>$F15/(1-$D$4-$Z$9)</f>
        <v>82.14158742788943</v>
      </c>
      <c r="AA15" s="141">
        <f>Z15*$D$4</f>
        <v>20.53539685697236</v>
      </c>
      <c r="AB15" s="142">
        <f>Z15-$F15-AA15</f>
        <v>16.42831748557788</v>
      </c>
      <c r="AC15" s="44">
        <f>AB15/Z15</f>
        <v>0.19999999999999993</v>
      </c>
      <c r="AD15" s="140">
        <f>Z15*$D$6</f>
        <v>114.9982223990452</v>
      </c>
      <c r="AE15" s="140">
        <f>$F15/(1-$D$4-$AE$9)</f>
        <v>75.29645514223199</v>
      </c>
      <c r="AF15" s="141">
        <f>AE15*$D$4</f>
        <v>18.824113785557998</v>
      </c>
      <c r="AG15" s="142">
        <f>AE15-$F15-AF15</f>
        <v>11.2944682713348</v>
      </c>
      <c r="AH15" s="44">
        <f>AG15/AE15</f>
        <v>0.15000000000000002</v>
      </c>
      <c r="AI15" s="140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1" t="n">
        <v>0.8823803336980306</v>
      </c>
      <c r="F16" s="132">
        <f>IF(AND(ISNUMBER(E16),ISNUMBER($D$8)),E16*$D$3,NA())</f>
        <v>45.17787308533919</v>
      </c>
      <c r="G16" s="133">
        <f>F16/$D$8</f>
        <v>112.94468271334797</v>
      </c>
      <c r="H16" s="134">
        <f>G16*$D$4</f>
        <v>28.236170678336993</v>
      </c>
      <c r="I16" s="135">
        <f>G16-F16-H16</f>
        <v>39.5306389496718</v>
      </c>
      <c r="J16" s="13">
        <f>I16/G16</f>
        <v>0.35000000000000003</v>
      </c>
      <c r="K16" s="136">
        <f>G16*$D$6</f>
        <v>158.12255579868716</v>
      </c>
      <c r="L16" s="137">
        <f>F16/(1-$D$4)</f>
        <v>60.23716411378559</v>
      </c>
      <c r="M16" s="137">
        <f>L16*$D$6</f>
        <v>84.33202975929981</v>
      </c>
      <c r="N16" s="138">
        <f>G16-F16</f>
        <v>67.76680962800879</v>
      </c>
      <c r="O16" s="139">
        <f>N16-H16</f>
        <v>39.5306389496718</v>
      </c>
      <c r="P16" s="140">
        <f>$F16/(1-$D$4-$P$9)</f>
        <v>100.39527352297598</v>
      </c>
      <c r="Q16" s="141">
        <f>P16*$D$4</f>
        <v>25.098818380743996</v>
      </c>
      <c r="R16" s="142">
        <f>P16-$F16-Q16</f>
        <v>30.118582056892794</v>
      </c>
      <c r="S16" s="44">
        <f>R16/P16</f>
        <v>0.3</v>
      </c>
      <c r="T16" s="140">
        <f>P16*$D$6</f>
        <v>140.55338293216636</v>
      </c>
      <c r="U16" s="140">
        <f>$F16/(1-$D$4-$U$9)</f>
        <v>90.35574617067839</v>
      </c>
      <c r="V16" s="141">
        <f>U16*$D$4</f>
        <v>22.588936542669597</v>
      </c>
      <c r="W16" s="142">
        <f>U16-$F16-V16</f>
        <v>22.588936542669597</v>
      </c>
      <c r="X16" s="44">
        <f>W16/U16</f>
        <v>0.25</v>
      </c>
      <c r="Y16" s="140">
        <f>U16*$D$6</f>
        <v>126.49804463894974</v>
      </c>
      <c r="Z16" s="140">
        <f>$F16/(1-$D$4-$Z$9)</f>
        <v>82.14158742788943</v>
      </c>
      <c r="AA16" s="141">
        <f>Z16*$D$4</f>
        <v>20.53539685697236</v>
      </c>
      <c r="AB16" s="142">
        <f>Z16-$F16-AA16</f>
        <v>16.42831748557788</v>
      </c>
      <c r="AC16" s="44">
        <f>AB16/Z16</f>
        <v>0.19999999999999993</v>
      </c>
      <c r="AD16" s="140">
        <f>Z16*$D$6</f>
        <v>114.9982223990452</v>
      </c>
      <c r="AE16" s="140">
        <f>$F16/(1-$D$4-$AE$9)</f>
        <v>75.29645514223199</v>
      </c>
      <c r="AF16" s="141">
        <f>AE16*$D$4</f>
        <v>18.824113785557998</v>
      </c>
      <c r="AG16" s="142">
        <f>AE16-$F16-AF16</f>
        <v>11.2944682713348</v>
      </c>
      <c r="AH16" s="44">
        <f>AG16/AE16</f>
        <v>0.15000000000000002</v>
      </c>
      <c r="AI16" s="140">
        <f>AE16*$D$6</f>
        <v>105.41503719912478</v>
      </c>
    </row>
    <row r="19" ht="28.05" customHeight="1">
      <c r="A19" s="27" t="n"/>
      <c r="B19" s="144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5" t="inlineStr">
        <is>
          <t>Що рахуємо</t>
        </is>
      </c>
      <c r="D21" s="145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6" t="n"/>
      <c r="D22" s="86" t="inlineStr">
        <is>
          <t>Із Self-Cost</t>
        </is>
      </c>
      <c r="E22" s="146" t="n"/>
      <c r="F22" s="147">
        <f>E11</f>
        <v>1.018131154266958</v>
      </c>
      <c r="G22" s="147">
        <f>E12</f>
        <v>1.018131154266958</v>
      </c>
      <c r="H22" s="147">
        <f>E13</f>
        <v>0.882380333698031</v>
      </c>
      <c r="I22" s="147">
        <f>E14</f>
        <v>0.882380333698031</v>
      </c>
      <c r="J22" s="147">
        <f>E15</f>
        <v>0.882380333698031</v>
      </c>
      <c r="K22" s="147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6" t="n"/>
      <c r="D23" s="86" t="inlineStr">
        <is>
          <t>Умова в D3</t>
        </is>
      </c>
      <c r="E23" s="146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6" t="n"/>
      <c r="D24" s="86" t="inlineStr">
        <is>
          <t>Крок 1 × крок 2</t>
        </is>
      </c>
      <c r="E24" s="146" t="n"/>
      <c r="F24" s="148">
        <f>F11</f>
        <v>52.12831509846825</v>
      </c>
      <c r="G24" s="148">
        <f>F12</f>
        <v>52.12831509846825</v>
      </c>
      <c r="H24" s="148">
        <f>F13</f>
        <v>45.17787308533919</v>
      </c>
      <c r="I24" s="148">
        <f>F14</f>
        <v>45.17787308533919</v>
      </c>
      <c r="J24" s="148">
        <f>F15</f>
        <v>45.17787308533919</v>
      </c>
      <c r="K24" s="148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6" t="n"/>
      <c r="D25" s="86" t="inlineStr">
        <is>
          <t>База для всіх відсотків</t>
        </is>
      </c>
      <c r="E25" s="146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6" t="n"/>
      <c r="D26" s="86" t="inlineStr">
        <is>
          <t>Умова в D4</t>
        </is>
      </c>
      <c r="E26" s="146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6" t="n"/>
      <c r="D27" s="86" t="inlineStr">
        <is>
          <t>Крок 4 − крок 5</t>
        </is>
      </c>
      <c r="E27" s="146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6" t="n"/>
      <c r="D28" s="86" t="inlineStr">
        <is>
          <t>Умова в D5</t>
        </is>
      </c>
      <c r="E28" s="146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6" t="n"/>
      <c r="D29" s="86" t="inlineStr">
        <is>
          <t>Крок 6 − крок 7</t>
        </is>
      </c>
      <c r="E29" s="146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6" t="n"/>
      <c r="D30" s="90" t="inlineStr">
        <is>
          <t>Крок 3 ÷ крок 8</t>
        </is>
      </c>
      <c r="E30" s="146" t="n"/>
      <c r="F30" s="149">
        <f>G11</f>
        <v>130.32078774617062</v>
      </c>
      <c r="G30" s="149">
        <f>G12</f>
        <v>130.32078774617062</v>
      </c>
      <c r="H30" s="149">
        <f>G13</f>
        <v>112.94468271334797</v>
      </c>
      <c r="I30" s="149">
        <f>G14</f>
        <v>112.94468271334797</v>
      </c>
      <c r="J30" s="149">
        <f>G15</f>
        <v>112.94468271334797</v>
      </c>
      <c r="K30" s="149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6" t="n"/>
      <c r="D31" s="86" t="inlineStr">
        <is>
          <t>Крок 9 − крок 3</t>
        </is>
      </c>
      <c r="E31" s="146" t="n"/>
      <c r="F31" s="148">
        <f>N11</f>
        <v>78.19247264770237</v>
      </c>
      <c r="G31" s="148">
        <f>N12</f>
        <v>78.19247264770237</v>
      </c>
      <c r="H31" s="148">
        <f>N13</f>
        <v>67.76680962800879</v>
      </c>
      <c r="I31" s="148">
        <f>N14</f>
        <v>67.76680962800879</v>
      </c>
      <c r="J31" s="148">
        <f>N15</f>
        <v>67.76680962800879</v>
      </c>
      <c r="K31" s="148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6" t="n"/>
      <c r="D32" s="86" t="inlineStr">
        <is>
          <t>Крок 9 × крок 5</t>
        </is>
      </c>
      <c r="E32" s="146" t="n"/>
      <c r="F32" s="148">
        <f>H11</f>
        <v>32.580196936542656</v>
      </c>
      <c r="G32" s="148">
        <f>H12</f>
        <v>32.580196936542656</v>
      </c>
      <c r="H32" s="148">
        <f>H13</f>
        <v>28.236170678336993</v>
      </c>
      <c r="I32" s="148">
        <f>H14</f>
        <v>28.236170678336993</v>
      </c>
      <c r="J32" s="148">
        <f>H15</f>
        <v>28.236170678336993</v>
      </c>
      <c r="K32" s="148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6" t="n"/>
      <c r="D33" s="92" t="inlineStr">
        <is>
          <t>Крок 10 − крок 11</t>
        </is>
      </c>
      <c r="E33" s="146" t="n"/>
      <c r="F33" s="150">
        <f>I11</f>
        <v>45.61227571115972</v>
      </c>
      <c r="G33" s="150">
        <f>I12</f>
        <v>45.61227571115972</v>
      </c>
      <c r="H33" s="150">
        <f>I13</f>
        <v>39.5306389496718</v>
      </c>
      <c r="I33" s="150">
        <f>I14</f>
        <v>39.5306389496718</v>
      </c>
      <c r="J33" s="150">
        <f>I15</f>
        <v>39.5306389496718</v>
      </c>
      <c r="K33" s="150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6" t="n"/>
      <c r="D34" s="92" t="inlineStr">
        <is>
          <t>Крок 12 ÷ крок 9</t>
        </is>
      </c>
      <c r="E34" s="146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6" t="n"/>
      <c r="D35" s="86" t="inlineStr">
        <is>
          <t>Множник D6 − 1</t>
        </is>
      </c>
      <c r="E35" s="146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6" t="n"/>
      <c r="D36" s="86" t="inlineStr">
        <is>
          <t>1 + крок 14</t>
        </is>
      </c>
      <c r="E36" s="146" t="n"/>
      <c r="F36" s="151">
        <f>$D$6</f>
        <v>1.4</v>
      </c>
      <c r="G36" s="151">
        <f>$D$6</f>
        <v>1.4</v>
      </c>
      <c r="H36" s="151">
        <f>$D$6</f>
        <v>1.4</v>
      </c>
      <c r="I36" s="151">
        <f>$D$6</f>
        <v>1.4</v>
      </c>
      <c r="J36" s="151">
        <f>$D$6</f>
        <v>1.4</v>
      </c>
      <c r="K36" s="151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6" t="n"/>
      <c r="D37" s="90" t="inlineStr">
        <is>
          <t>Крок 9 × крок 15</t>
        </is>
      </c>
      <c r="E37" s="146" t="n"/>
      <c r="F37" s="149">
        <f>K11</f>
        <v>182.44910284463887</v>
      </c>
      <c r="G37" s="149">
        <f>K12</f>
        <v>182.44910284463887</v>
      </c>
      <c r="H37" s="149">
        <f>K13</f>
        <v>158.12255579868716</v>
      </c>
      <c r="I37" s="149">
        <f>K14</f>
        <v>158.12255579868716</v>
      </c>
      <c r="J37" s="149">
        <f>K15</f>
        <v>158.12255579868716</v>
      </c>
      <c r="K37" s="149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6" t="n"/>
      <c r="D38" s="86" t="inlineStr">
        <is>
          <t>Крок 3 ÷ крок 6</t>
        </is>
      </c>
      <c r="E38" s="146" t="n"/>
      <c r="F38" s="148">
        <f>L11</f>
        <v>69.504420131291</v>
      </c>
      <c r="G38" s="148">
        <f>L12</f>
        <v>69.504420131291</v>
      </c>
      <c r="H38" s="148">
        <f>L13</f>
        <v>60.23716411378559</v>
      </c>
      <c r="I38" s="148">
        <f>L14</f>
        <v>60.23716411378559</v>
      </c>
      <c r="J38" s="148">
        <f>L15</f>
        <v>60.23716411378559</v>
      </c>
      <c r="K38" s="148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6" t="n"/>
      <c r="D39" s="86" t="inlineStr">
        <is>
          <t>Крок 17 × крок 15</t>
        </is>
      </c>
      <c r="E39" s="146" t="n"/>
      <c r="F39" s="148">
        <f>M11</f>
        <v>97.3061881838074</v>
      </c>
      <c r="G39" s="148">
        <f>M12</f>
        <v>97.3061881838074</v>
      </c>
      <c r="H39" s="148">
        <f>M13</f>
        <v>84.33202975929981</v>
      </c>
      <c r="I39" s="148">
        <f>M14</f>
        <v>84.33202975929981</v>
      </c>
      <c r="J39" s="148">
        <f>M15</f>
        <v>84.33202975929981</v>
      </c>
      <c r="K39" s="148">
        <f>M16</f>
        <v>84.33202975929981</v>
      </c>
    </row>
  </sheetData>
  <mergeCells count="63">
    <mergeCell ref="U9:Y9"/>
    <mergeCell ref="Z9:AD9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B21:C21"/>
    <mergeCell ref="B2:C2"/>
    <mergeCell ref="A9:D9"/>
    <mergeCell ref="G9:J9"/>
    <mergeCell ref="D35:E35"/>
    <mergeCell ref="E3:K3"/>
    <mergeCell ref="D27:E27"/>
    <mergeCell ref="B23:C23"/>
    <mergeCell ref="D32:E32"/>
    <mergeCell ref="D26:E26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I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2" customWidth="1" min="10" max="10"/>
  </cols>
  <sheetData>
    <row r="1" ht="8" customHeight="1"/>
    <row r="2" ht="28" customHeight="1">
      <c r="B2" s="152" t="inlineStr">
        <is>
          <t>SIAS · от цены закупки до полки одной линией · 6 паллет</t>
        </is>
      </c>
    </row>
    <row r="3" ht="28" customHeight="1">
      <c r="B3" s="153" t="str">
        <f>"Цена закупки SIAS €"&amp;ROUND(C26,2)&amp;" вместо €"&amp;MIN(C8,C10)&amp;"–€"&amp;MAX(C8,C10)&amp;" (−"&amp;ROUND((1-C26/MIN(C8,C10))*100,0)&amp;"…"&amp;ROUND((1-C26/MAX(C8,C10))*100,0)&amp;"%) → полка "&amp;ROUND(I11,2)&amp;" ₴ при марже "&amp;ROUND(D18*100,0)&amp;"%."</f>
        <v>Цена закупки SIAS €0.32 вместо €0.65–€0.75 (−51…57%) → полка 118.72 ₴ при марже 30%.</v>
      </c>
      <c r="C3" s="154" t="n"/>
      <c r="D3" s="154" t="n"/>
      <c r="E3" s="154" t="n"/>
      <c r="F3" s="154" t="n"/>
      <c r="G3" s="154" t="n"/>
      <c r="H3" s="154" t="n"/>
      <c r="I3" s="154" t="n"/>
    </row>
    <row r="4" ht="38" customHeight="1">
      <c r="B4" s="155" t="inlineStr">
        <is>
          <t>ЗАПРОС ДЛЯ SIAS, €/пачку</t>
        </is>
      </c>
      <c r="C4" s="156">
        <f>C26</f>
        <v>0.32</v>
      </c>
      <c r="D4" s="157" t="n"/>
      <c r="E4" s="158" t="str">
        <f>"сейчас €"&amp;C8&amp;" (4 SKU) / €"&amp;C10&amp;" (2 SKU)"</f>
        <v>сейчас €0.65 (4 SKU) / €0.75 (2 SKU)</v>
      </c>
      <c r="F4" s="159" t="n"/>
      <c r="G4" s="160" t="str">
        <f>"снижение −"&amp;ROUND((1-C26/C8)*100,0)&amp;" % / −"&amp;ROUND((1-C26/C10)*100,0)&amp;" %"</f>
        <v>снижение −51 % / −57 %</v>
      </c>
      <c r="H4" s="159" t="n"/>
      <c r="I4" s="158" t="inlineStr">
        <is>
          <t>одна цена на 6 SKU</t>
        </is>
      </c>
    </row>
    <row r="5" ht="54" customHeight="1">
      <c r="B5" s="161" t="inlineStr">
        <is>
          <t>Вариант</t>
        </is>
      </c>
      <c r="C5" s="161" t="inlineStr">
        <is>
          <t>Закупка SIAS
за пачку</t>
        </is>
      </c>
      <c r="D5" s="161" t="inlineStr">
        <is>
          <t>Себестоимость в Украине
товар + расходы в Украине</t>
        </is>
      </c>
      <c r="E5" s="161" t="inlineStr">
        <is>
          <t>Цена партнёру
СС ÷ (1 − бонус − маржа)</t>
        </is>
      </c>
      <c r="F5" s="161" t="inlineStr">
        <is>
          <t>Бонус сети
25 % цены партнёру</t>
        </is>
      </c>
      <c r="G5" s="161" t="inlineStr">
        <is>
          <t>Наша прибыль
30 % цены партнёру</t>
        </is>
      </c>
      <c r="H5" s="161" t="inlineStr">
        <is>
          <t>Наценка магазина
+40 % к цене партнёру</t>
        </is>
      </c>
      <c r="I5" s="161" t="inlineStr">
        <is>
          <t>ПОЛКА с НДС
цена партнёру × 1,40</t>
        </is>
      </c>
    </row>
    <row r="7" ht="26" customHeight="1">
      <c r="B7" s="162" t="inlineStr">
        <is>
          <t>ДО · Vegetable, Spicy, Beef, Chicken
(4 SKU)</t>
        </is>
      </c>
      <c r="C7" s="163">
        <f>C8*G18</f>
        <v>33.28</v>
      </c>
      <c r="D7" s="163">
        <f>D8*G18</f>
        <v>58.063199999999995</v>
      </c>
      <c r="E7" s="163">
        <f>D7/(1-E18-D18)</f>
        <v>129.0293333333333</v>
      </c>
      <c r="F7" s="164">
        <f>E7*E18</f>
        <v>32.25733333333333</v>
      </c>
      <c r="G7" s="164">
        <f>E7-D7-F7</f>
        <v>38.70879999999999</v>
      </c>
      <c r="H7" s="164">
        <f>E7*(F18-1)</f>
        <v>51.61173333333331</v>
      </c>
      <c r="I7" s="165">
        <f>E7*F18</f>
        <v>180.64106666666663</v>
      </c>
    </row>
    <row r="8" ht="20" customHeight="1">
      <c r="B8" s="166" t="n"/>
      <c r="C8" s="167" t="n">
        <v>0.65</v>
      </c>
      <c r="D8" s="168">
        <f>'Финмодель 6 паллет'!E13</f>
        <v>1.134046875</v>
      </c>
      <c r="E8" s="169">
        <f>E7/G18</f>
        <v>2.520104166666666</v>
      </c>
      <c r="F8" s="169">
        <f>F7/G18</f>
        <v>0.6300260416666665</v>
      </c>
      <c r="G8" s="169">
        <f>G7/G18</f>
        <v>0.7560312499999997</v>
      </c>
      <c r="H8" s="169">
        <f>H7/G18</f>
        <v>1.0080416666666663</v>
      </c>
      <c r="I8" s="169">
        <f>I7/G18</f>
        <v>3.5281458333333324</v>
      </c>
    </row>
    <row r="9" ht="26" customHeight="1">
      <c r="B9" s="170" t="inlineStr">
        <is>
          <t>ДО · Gouda Cheese, Carbonara Spicy
(2 SKU)</t>
        </is>
      </c>
      <c r="C9" s="171">
        <f>C10*G18</f>
        <v>38.400000000000006</v>
      </c>
      <c r="D9" s="171">
        <f>D10*G18</f>
        <v>66.99600000000001</v>
      </c>
      <c r="E9" s="171">
        <f>D9/(1-E18-D18)</f>
        <v>148.88000000000002</v>
      </c>
      <c r="F9" s="172">
        <f>E9*E18</f>
        <v>37.220000000000006</v>
      </c>
      <c r="G9" s="172">
        <f>E9-D9-F9</f>
        <v>44.66400000000001</v>
      </c>
      <c r="H9" s="172">
        <f>E9*(F18-1)</f>
        <v>59.552</v>
      </c>
      <c r="I9" s="173">
        <f>E9*F18</f>
        <v>208.43200000000002</v>
      </c>
    </row>
    <row r="10" ht="20" customHeight="1">
      <c r="B10" s="174" t="n"/>
      <c r="C10" s="167" t="n">
        <v>0.75</v>
      </c>
      <c r="D10" s="168">
        <f>'Финмодель 6 паллет'!E11</f>
        <v>1.308515625</v>
      </c>
      <c r="E10" s="175">
        <f>E9/G18</f>
        <v>2.9078125000000004</v>
      </c>
      <c r="F10" s="175">
        <f>F9/G18</f>
        <v>0.7269531250000001</v>
      </c>
      <c r="G10" s="175">
        <f>G9/G18</f>
        <v>0.8723437500000001</v>
      </c>
      <c r="H10" s="175">
        <f>H9/G18</f>
        <v>1.163125</v>
      </c>
      <c r="I10" s="175">
        <f>I9/G18</f>
        <v>4.0709375</v>
      </c>
    </row>
    <row r="11" ht="26" customHeight="1">
      <c r="B11" s="176" t="inlineStr">
        <is>
          <t>ПОСЛЕ · запрос SIAS
(все 6 SKU)</t>
        </is>
      </c>
      <c r="C11" s="177">
        <f>C12*G18</f>
        <v>16.384</v>
      </c>
      <c r="D11" s="177">
        <f>C28</f>
        <v>38.15951999999999</v>
      </c>
      <c r="E11" s="177">
        <f>D11/(1-E18-D18)</f>
        <v>84.79893333333332</v>
      </c>
      <c r="F11" s="178">
        <f>E11*E18</f>
        <v>21.19973333333333</v>
      </c>
      <c r="G11" s="178">
        <f>E11-D11-F11</f>
        <v>25.43968</v>
      </c>
      <c r="H11" s="178">
        <f>E11*(F18-1)</f>
        <v>33.919573333333325</v>
      </c>
      <c r="I11" s="179">
        <f>E11*F18</f>
        <v>118.71850666666664</v>
      </c>
    </row>
    <row r="12" ht="20" customHeight="1">
      <c r="B12" s="157" t="n"/>
      <c r="C12" s="180">
        <f>C26</f>
        <v>0.32</v>
      </c>
      <c r="D12" s="181">
        <f>D11/G18</f>
        <v>0.7453031249999998</v>
      </c>
      <c r="E12" s="181">
        <f>E11/G18</f>
        <v>1.6562291666666664</v>
      </c>
      <c r="F12" s="181">
        <f>F11/G18</f>
        <v>0.4140572916666666</v>
      </c>
      <c r="G12" s="181">
        <f>G11/G18</f>
        <v>0.49686874999999997</v>
      </c>
      <c r="H12" s="181">
        <f>H11/G18</f>
        <v>0.6624916666666665</v>
      </c>
      <c r="I12" s="181">
        <f>I11/G18</f>
        <v>2.318720833333333</v>
      </c>
    </row>
    <row r="13" ht="24" customHeight="1">
      <c r="B13" s="182" t="inlineStr">
        <is>
          <t>ИЗМЕНЕНИЕ: ПОСЛЕ − ДО (4 SKU)</t>
        </is>
      </c>
      <c r="C13" s="183">
        <f>C11-C7</f>
        <v>-16.896</v>
      </c>
      <c r="D13" s="183">
        <f>D11-D7</f>
        <v>-19.90368</v>
      </c>
      <c r="E13" s="183">
        <f>E11-E7</f>
        <v>-44.23039999999999</v>
      </c>
      <c r="F13" s="183">
        <f>F11-F7</f>
        <v>-11.057599999999997</v>
      </c>
      <c r="G13" s="183">
        <f>G11-G7</f>
        <v>-13.26911999999999</v>
      </c>
      <c r="H13" s="183">
        <f>H11-H7</f>
        <v>-17.692159999999987</v>
      </c>
      <c r="I13" s="183">
        <f>I11-I7</f>
        <v>-61.92255999999999</v>
      </c>
    </row>
    <row r="14" ht="18" customHeight="1">
      <c r="B14" s="159" t="n"/>
      <c r="C14" s="184">
        <f>C12-C8</f>
        <v>-0.33</v>
      </c>
      <c r="D14" s="184">
        <f>D12-D8</f>
        <v>-0.38874375000000005</v>
      </c>
      <c r="E14" s="184">
        <f>E12-E8</f>
        <v>-0.8638749999999997</v>
      </c>
      <c r="F14" s="184">
        <f>F12-F8</f>
        <v>-0.21596874999999993</v>
      </c>
      <c r="G14" s="184">
        <f>G12-G8</f>
        <v>-0.25916249999999974</v>
      </c>
      <c r="H14" s="184">
        <f>H12-H8</f>
        <v>-0.3455499999999998</v>
      </c>
      <c r="I14" s="184">
        <f>I12-I8</f>
        <v>-1.2094249999999995</v>
      </c>
    </row>
    <row r="15" ht="26" customHeight="1">
      <c r="B15" s="185" t="inlineStr">
        <is>
          <t>Каждая линия читается слева направо: цена закупки → себестоимость в Украине → цена партнёру → бонус, наша прибыль, наценка → полка. Верхняя цифра — ₴, нижняя — €.</t>
        </is>
      </c>
    </row>
    <row r="16">
      <c r="B16" s="186" t="inlineStr">
        <is>
          <t>ИСХОДНЫЕ ДАННЫЕ — жёлтое можно менять, зелёное из вкладки «Финмодель 6 паллет»</t>
        </is>
      </c>
      <c r="C16" s="187" t="n"/>
      <c r="D16" s="187" t="n"/>
      <c r="E16" s="187" t="n"/>
      <c r="F16" s="187" t="n"/>
      <c r="G16" s="187" t="n"/>
      <c r="H16" s="187" t="n"/>
      <c r="I16" s="187" t="n"/>
    </row>
    <row r="17" ht="18" customHeight="1">
      <c r="C17" s="188" t="inlineStr">
        <is>
          <t>Полка, ₴</t>
        </is>
      </c>
      <c r="D17" s="188" t="inlineStr">
        <is>
          <t>Наша маржа</t>
        </is>
      </c>
      <c r="E17" s="188" t="inlineStr">
        <is>
          <t>Бонус сети</t>
        </is>
      </c>
      <c r="F17" s="188" t="inlineStr">
        <is>
          <t>Множитель полки</t>
        </is>
      </c>
      <c r="G17" s="188" t="inlineStr">
        <is>
          <t>Курс ₴/€</t>
        </is>
      </c>
    </row>
    <row r="18" ht="22" customHeight="1">
      <c r="B18" s="189" t="inlineStr">
        <is>
          <t>Цель расчёта и условия модели</t>
        </is>
      </c>
      <c r="C18" s="190" t="n">
        <v>120</v>
      </c>
      <c r="D18" s="191" t="n">
        <v>0.3</v>
      </c>
      <c r="E18" s="192">
        <f>'Финмодель 6 паллет'!D4</f>
        <v>0.25</v>
      </c>
      <c r="F18" s="193">
        <f>'Финмодель 6 паллет'!D6</f>
        <v>1.4</v>
      </c>
      <c r="G18" s="194">
        <f>'Финмодель 6 паллет'!D3</f>
        <v>51.2</v>
      </c>
    </row>
    <row r="19" ht="26" customHeight="1">
      <c r="B19" s="195" t="inlineStr">
        <is>
          <t>Допущения: бонус и множитель — по модели (не подтверждены сетями); без листинг-фи, промо и отсрочки; согласие SIAS не получено — это цена для переговоров.</t>
        </is>
      </c>
    </row>
    <row r="21" hidden="1">
      <c r="C21" s="188" t="inlineStr">
        <is>
          <t>Импортный ПДВ</t>
        </is>
      </c>
      <c r="D21" s="188" t="inlineStr">
        <is>
          <t>Финансирование</t>
        </is>
      </c>
      <c r="E21" s="188" t="inlineStr">
        <is>
          <t>Пошлина</t>
        </is>
      </c>
      <c r="F21" s="188" t="inlineStr">
        <is>
          <t>Перевозка партии, €</t>
        </is>
      </c>
      <c r="G21" s="188" t="inlineStr">
        <is>
          <t>Брокер, €</t>
        </is>
      </c>
      <c r="H21" s="188" t="inlineStr">
        <is>
          <t>Прочие, €</t>
        </is>
      </c>
    </row>
    <row r="22" hidden="1">
      <c r="C22" s="191" t="n">
        <v>0.2</v>
      </c>
      <c r="D22" s="191" t="n">
        <v>0.025</v>
      </c>
      <c r="E22" s="191" t="n">
        <v>0</v>
      </c>
      <c r="F22" s="196" t="n">
        <v>2600</v>
      </c>
      <c r="G22" s="196" t="n">
        <v>288</v>
      </c>
      <c r="H22" s="196" t="n">
        <v>42</v>
      </c>
    </row>
    <row r="23" hidden="1">
      <c r="C23" s="188" t="inlineStr">
        <is>
          <t>Доля фрахта в таможне</t>
        </is>
      </c>
      <c r="D23" s="188" t="inlineStr">
        <is>
          <t>Паллет в партии</t>
        </is>
      </c>
      <c r="E23" s="188" t="inlineStr">
        <is>
          <t>Пачек на паллете</t>
        </is>
      </c>
    </row>
    <row r="24" hidden="1">
      <c r="C24" s="197" t="n">
        <v>0.7</v>
      </c>
      <c r="D24" s="196" t="n">
        <v>6</v>
      </c>
      <c r="E24" s="196" t="n">
        <v>1600</v>
      </c>
    </row>
    <row r="25" hidden="1"/>
    <row r="26" hidden="1">
      <c r="B26" s="198" t="inlineStr">
        <is>
          <t>Запрос SIAS, €/уп. (вниз до евроцента)</t>
        </is>
      </c>
      <c r="C26" s="199">
        <f>ROUNDDOWN(((C18/F18*(1-E18-D18))/G18/(1+D22)-(F22+G22+H22+F22*C24*(E22+C22*(1+E22)))/(D24*E24))/((1+E22)*(1+C22)),2)</f>
        <v>0.32</v>
      </c>
    </row>
    <row r="27" hidden="1">
      <c r="B27" s="198" t="inlineStr">
        <is>
          <t>Предельная закупка до округления, €/уп.</t>
        </is>
      </c>
      <c r="C27" s="200">
        <f>((C18/F18*(1-E18-D18))/G18/(1+D22)-(F22+G22+H22+F22*C24*(E22+C22*(1+E22)))/(D24*E24))/((1+E22)*(1+C22))</f>
        <v>0.3265407229965157</v>
      </c>
    </row>
    <row r="28" hidden="1">
      <c r="B28" s="198" t="inlineStr">
        <is>
          <t>Себестоимость в Украине при запросе, ₴/уп.</t>
        </is>
      </c>
      <c r="C28" s="201">
        <f>(C26*G18+(F22+G22+H22)/(D24*E24)*G18+(C26+F22*C24/(D24*E24))*E22*G18+(C26+F22*C24/(D24*E24))*(1+E22)*C22*G18)*(1+D22)</f>
        <v>38.15951999999999</v>
      </c>
    </row>
  </sheetData>
  <mergeCells count="12">
    <mergeCell ref="G4:H4"/>
    <mergeCell ref="E4:F4"/>
    <mergeCell ref="B9:B10"/>
    <mergeCell ref="B15:I15"/>
    <mergeCell ref="B13:B14"/>
    <mergeCell ref="B2:I2"/>
    <mergeCell ref="B16:I16"/>
    <mergeCell ref="B7:B8"/>
    <mergeCell ref="B3:I3"/>
    <mergeCell ref="B11:B12"/>
    <mergeCell ref="B19:I19"/>
    <mergeCell ref="C4:D4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I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2" customWidth="1" min="10" max="10"/>
  </cols>
  <sheetData>
    <row r="1" ht="8" customHeight="1"/>
    <row r="2" ht="28" customHeight="1">
      <c r="B2" s="152" t="inlineStr">
        <is>
          <t>SIAS · от цены закупки до полки одной линией · 33 паллеты (Full Truck)</t>
        </is>
      </c>
    </row>
    <row r="3" ht="28" customHeight="1">
      <c r="B3" s="153" t="str">
        <f>"Цена закупки SIAS €"&amp;ROUND(C26,2)&amp;" вместо €"&amp;MIN(C8,C10)&amp;"–€"&amp;MAX(C8,C10)&amp;" (−"&amp;ROUND((1-C26/MIN(C8,C10))*100,0)&amp;"…"&amp;ROUND((1-C26/MAX(C8,C10))*100,0)&amp;"%) → полка "&amp;ROUND(I11,2)&amp;" ₴ при марже "&amp;ROUND(D18*100,0)&amp;"%."</f>
        <v>Цена закупки SIAS €0.54 вместо €0.65–€0.75 (−17…28%) → полка 119.86 ₴ при марже 30%.</v>
      </c>
      <c r="C3" s="154" t="n"/>
      <c r="D3" s="154" t="n"/>
      <c r="E3" s="154" t="n"/>
      <c r="F3" s="154" t="n"/>
      <c r="G3" s="154" t="n"/>
      <c r="H3" s="154" t="n"/>
      <c r="I3" s="154" t="n"/>
    </row>
    <row r="4" ht="38" customHeight="1">
      <c r="B4" s="155" t="inlineStr">
        <is>
          <t>ЗАПРОС ДЛЯ SIAS, €/пачку</t>
        </is>
      </c>
      <c r="C4" s="156">
        <f>C26</f>
        <v>0.54</v>
      </c>
      <c r="D4" s="157" t="n"/>
      <c r="E4" s="158" t="str">
        <f>"сейчас €"&amp;C8&amp;" (4 SKU) / €"&amp;C10&amp;" (2 SKU)"</f>
        <v>сейчас €0.65 (4 SKU) / €0.75 (2 SKU)</v>
      </c>
      <c r="F4" s="159" t="n"/>
      <c r="G4" s="160" t="str">
        <f>"снижение −"&amp;ROUND((1-C26/C8)*100,0)&amp;" % / −"&amp;ROUND((1-C26/C10)*100,0)&amp;" %"</f>
        <v>снижение −17 % / −28 %</v>
      </c>
      <c r="H4" s="159" t="n"/>
      <c r="I4" s="158" t="inlineStr">
        <is>
          <t>одна цена на 6 SKU</t>
        </is>
      </c>
    </row>
    <row r="5" ht="54" customHeight="1">
      <c r="B5" s="161" t="inlineStr">
        <is>
          <t>Вариант</t>
        </is>
      </c>
      <c r="C5" s="161" t="inlineStr">
        <is>
          <t>Закупка SIAS
за пачку</t>
        </is>
      </c>
      <c r="D5" s="161" t="inlineStr">
        <is>
          <t>Себестоимость в Украине
товар + расходы в Украине</t>
        </is>
      </c>
      <c r="E5" s="161" t="inlineStr">
        <is>
          <t>Цена партнёру
СС ÷ (1 − бонус − маржа)</t>
        </is>
      </c>
      <c r="F5" s="161" t="inlineStr">
        <is>
          <t>Бонус сети
25 % цены партнёру</t>
        </is>
      </c>
      <c r="G5" s="161" t="inlineStr">
        <is>
          <t>Наша прибыль
30 % цены партнёру</t>
        </is>
      </c>
      <c r="H5" s="161" t="inlineStr">
        <is>
          <t>Наценка магазина
+40 % к цене партнёру</t>
        </is>
      </c>
      <c r="I5" s="161" t="inlineStr">
        <is>
          <t>ПОЛКА с НДС
цена партнёру × 1,40</t>
        </is>
      </c>
    </row>
    <row r="7" ht="26" customHeight="1">
      <c r="B7" s="162" t="inlineStr">
        <is>
          <t>ДО · Vegetable, Spicy, Beef, Chicken
(4 SKU)</t>
        </is>
      </c>
      <c r="C7" s="163">
        <f>C8*G18</f>
        <v>33.28</v>
      </c>
      <c r="D7" s="163">
        <f>D8*G18</f>
        <v>45.17787308533919</v>
      </c>
      <c r="E7" s="163">
        <f>D7/(1-E18-D18)</f>
        <v>100.39527352297598</v>
      </c>
      <c r="F7" s="164">
        <f>E7*E18</f>
        <v>25.098818380743996</v>
      </c>
      <c r="G7" s="164">
        <f>E7-D7-F7</f>
        <v>30.118582056892794</v>
      </c>
      <c r="H7" s="164">
        <f>E7*(F18-1)</f>
        <v>40.15810940919039</v>
      </c>
      <c r="I7" s="165">
        <f>E7*F18</f>
        <v>140.55338293216636</v>
      </c>
    </row>
    <row r="8" ht="20" customHeight="1">
      <c r="B8" s="166" t="n"/>
      <c r="C8" s="167" t="n">
        <v>0.65</v>
      </c>
      <c r="D8" s="168">
        <f>'Финмодель 33 паллет'!E13</f>
        <v>0.882380333698031</v>
      </c>
      <c r="E8" s="169">
        <f>E7/G18</f>
        <v>1.9608451859956246</v>
      </c>
      <c r="F8" s="169">
        <f>F7/G18</f>
        <v>0.49021129649890616</v>
      </c>
      <c r="G8" s="169">
        <f>G7/G18</f>
        <v>0.5882535557986873</v>
      </c>
      <c r="H8" s="169">
        <f>H7/G18</f>
        <v>0.7843380743982498</v>
      </c>
      <c r="I8" s="169">
        <f>I7/G18</f>
        <v>2.745183260393874</v>
      </c>
    </row>
    <row r="9" ht="26" customHeight="1">
      <c r="B9" s="170" t="inlineStr">
        <is>
          <t>ДО · Gouda Cheese, Carbonara Spicy
(2 SKU)</t>
        </is>
      </c>
      <c r="C9" s="171">
        <f>C10*G18</f>
        <v>38.400000000000006</v>
      </c>
      <c r="D9" s="171">
        <f>D10*G18</f>
        <v>52.12831509846825</v>
      </c>
      <c r="E9" s="171">
        <f>D9/(1-E18-D18)</f>
        <v>115.84070021881833</v>
      </c>
      <c r="F9" s="172">
        <f>E9*E18</f>
        <v>28.96017505470458</v>
      </c>
      <c r="G9" s="172">
        <f>E9-D9-F9</f>
        <v>34.7522100656455</v>
      </c>
      <c r="H9" s="172">
        <f>E9*(F18-1)</f>
        <v>46.33628008752732</v>
      </c>
      <c r="I9" s="173">
        <f>E9*F18</f>
        <v>162.17698030634565</v>
      </c>
    </row>
    <row r="10" ht="20" customHeight="1">
      <c r="B10" s="174" t="n"/>
      <c r="C10" s="167" t="n">
        <v>0.75</v>
      </c>
      <c r="D10" s="168">
        <f>'Финмодель 33 паллет'!E11</f>
        <v>1.018131154266958</v>
      </c>
      <c r="E10" s="175">
        <f>E9/G18</f>
        <v>2.2625136761487954</v>
      </c>
      <c r="F10" s="175">
        <f>F9/G18</f>
        <v>0.5656284190371988</v>
      </c>
      <c r="G10" s="175">
        <f>G9/G18</f>
        <v>0.6787541028446387</v>
      </c>
      <c r="H10" s="175">
        <f>H9/G18</f>
        <v>0.905005470459518</v>
      </c>
      <c r="I10" s="175">
        <f>I9/G18</f>
        <v>3.1675191466083135</v>
      </c>
    </row>
    <row r="11" ht="26" customHeight="1">
      <c r="B11" s="176" t="inlineStr">
        <is>
          <t>ПОСЛЕ · запрос SIAS
(все 6 SKU)</t>
        </is>
      </c>
      <c r="C11" s="177">
        <f>C12*G18</f>
        <v>27.648000000000003</v>
      </c>
      <c r="D11" s="177">
        <f>C28</f>
        <v>38.52747636363637</v>
      </c>
      <c r="E11" s="177">
        <f>D11/(1-E18-D18)</f>
        <v>85.61661414141415</v>
      </c>
      <c r="F11" s="178">
        <f>E11*E18</f>
        <v>21.404153535353537</v>
      </c>
      <c r="G11" s="178">
        <f>E11-D11-F11</f>
        <v>25.684984242424242</v>
      </c>
      <c r="H11" s="178">
        <f>E11*(F18-1)</f>
        <v>34.246645656565654</v>
      </c>
      <c r="I11" s="179">
        <f>E11*F18</f>
        <v>119.8632597979798</v>
      </c>
    </row>
    <row r="12" ht="20" customHeight="1">
      <c r="B12" s="157" t="n"/>
      <c r="C12" s="180">
        <f>C26</f>
        <v>0.54</v>
      </c>
      <c r="D12" s="181">
        <f>D11/G18</f>
        <v>0.7524897727272728</v>
      </c>
      <c r="E12" s="181">
        <f>E11/G18</f>
        <v>1.672199494949495</v>
      </c>
      <c r="F12" s="181">
        <f>F11/G18</f>
        <v>0.41804987373737373</v>
      </c>
      <c r="G12" s="181">
        <f>G11/G18</f>
        <v>0.5016598484848485</v>
      </c>
      <c r="H12" s="181">
        <f>H11/G18</f>
        <v>0.6688797979797979</v>
      </c>
      <c r="I12" s="181">
        <f>I11/G18</f>
        <v>2.3410792929292925</v>
      </c>
    </row>
    <row r="13" ht="24" customHeight="1">
      <c r="B13" s="182" t="inlineStr">
        <is>
          <t>ИЗМЕНЕНИЕ: ПОСЛЕ − ДО (4 SKU)</t>
        </is>
      </c>
      <c r="C13" s="183">
        <f>C11-C7</f>
        <v>-5.631999999999998</v>
      </c>
      <c r="D13" s="183">
        <f>D11-D7</f>
        <v>-6.650396721702826</v>
      </c>
      <c r="E13" s="183">
        <f>E11-E7</f>
        <v>-14.778659381561837</v>
      </c>
      <c r="F13" s="183">
        <f>F11-F7</f>
        <v>-3.6946648453904594</v>
      </c>
      <c r="G13" s="183">
        <f>G11-G7</f>
        <v>-4.433597814468552</v>
      </c>
      <c r="H13" s="183">
        <f>H11-H7</f>
        <v>-5.911463752624734</v>
      </c>
      <c r="I13" s="183">
        <f>I11-I7</f>
        <v>-20.690123134186564</v>
      </c>
    </row>
    <row r="14" ht="18" customHeight="1">
      <c r="B14" s="159" t="n"/>
      <c r="C14" s="184">
        <f>C12-C8</f>
        <v>-0.10999999999999999</v>
      </c>
      <c r="D14" s="184">
        <f>D12-D8</f>
        <v>-0.12989056097075824</v>
      </c>
      <c r="E14" s="184">
        <f>E12-E8</f>
        <v>-0.2886456910461297</v>
      </c>
      <c r="F14" s="184">
        <f>F12-F8</f>
        <v>-0.07216142276153242</v>
      </c>
      <c r="G14" s="184">
        <f>G12-G8</f>
        <v>-0.08659370731383886</v>
      </c>
      <c r="H14" s="184">
        <f>H12-H8</f>
        <v>-0.11545827641845186</v>
      </c>
      <c r="I14" s="184">
        <f>I12-I8</f>
        <v>-0.40410396746458144</v>
      </c>
    </row>
    <row r="15" ht="26" customHeight="1">
      <c r="B15" s="185" t="inlineStr">
        <is>
          <t>Каждая линия читается слева направо: цена закупки → себестоимость в Украине → цена партнёру → бонус, наша прибыль, наценка → полка. Верхняя цифра — ₴, нижняя — €.</t>
        </is>
      </c>
    </row>
    <row r="16">
      <c r="B16" s="186" t="inlineStr">
        <is>
          <t>ИСХОДНЫЕ ДАННЫЕ — жёлтое можно менять, зелёное из вкладки «Финмодель 33 паллет»</t>
        </is>
      </c>
      <c r="C16" s="187" t="n"/>
      <c r="D16" s="187" t="n"/>
      <c r="E16" s="187" t="n"/>
      <c r="F16" s="187" t="n"/>
      <c r="G16" s="187" t="n"/>
      <c r="H16" s="187" t="n"/>
      <c r="I16" s="187" t="n"/>
    </row>
    <row r="17" ht="18" customHeight="1">
      <c r="C17" s="188" t="inlineStr">
        <is>
          <t>Полка, ₴</t>
        </is>
      </c>
      <c r="D17" s="188" t="inlineStr">
        <is>
          <t>Наша маржа</t>
        </is>
      </c>
      <c r="E17" s="188" t="inlineStr">
        <is>
          <t>Бонус сети</t>
        </is>
      </c>
      <c r="F17" s="188" t="inlineStr">
        <is>
          <t>Множитель полки</t>
        </is>
      </c>
      <c r="G17" s="188" t="inlineStr">
        <is>
          <t>Курс ₴/€</t>
        </is>
      </c>
    </row>
    <row r="18" ht="22" customHeight="1">
      <c r="B18" s="189" t="inlineStr">
        <is>
          <t>Цель расчёта и условия модели</t>
        </is>
      </c>
      <c r="C18" s="190" t="n">
        <v>120</v>
      </c>
      <c r="D18" s="191" t="n">
        <v>0.3</v>
      </c>
      <c r="E18" s="192">
        <f>'Финмодель 33 паллет'!D4</f>
        <v>0.25</v>
      </c>
      <c r="F18" s="193">
        <f>'Финмодель 33 паллет'!D6</f>
        <v>1.4</v>
      </c>
      <c r="G18" s="194">
        <f>'Финмодель 33 паллет'!D3</f>
        <v>51.2</v>
      </c>
    </row>
    <row r="19" ht="26" customHeight="1">
      <c r="B19" s="195" t="inlineStr">
        <is>
          <t>Допущения: бонус и множитель — по модели (не подтверждены сетями); без листинг-фи, промо и отсрочки; согласие SIAS не получено — это цена для переговоров.</t>
        </is>
      </c>
    </row>
    <row r="21" hidden="1">
      <c r="C21" s="188" t="inlineStr">
        <is>
          <t>Импортный ПДВ</t>
        </is>
      </c>
      <c r="D21" s="188" t="inlineStr">
        <is>
          <t>Финансирование</t>
        </is>
      </c>
      <c r="E21" s="188" t="inlineStr">
        <is>
          <t>Пошлина</t>
        </is>
      </c>
      <c r="F21" s="188" t="inlineStr">
        <is>
          <t>Перевозка партии, €</t>
        </is>
      </c>
      <c r="G21" s="188" t="inlineStr">
        <is>
          <t>Брокер, €</t>
        </is>
      </c>
      <c r="H21" s="188" t="inlineStr">
        <is>
          <t>Прочие, €</t>
        </is>
      </c>
    </row>
    <row r="22" hidden="1">
      <c r="C22" s="191" t="n">
        <v>0.2</v>
      </c>
      <c r="D22" s="191" t="n">
        <v>0.025</v>
      </c>
      <c r="E22" s="191" t="n">
        <v>0</v>
      </c>
      <c r="F22" s="196" t="n">
        <v>3700</v>
      </c>
      <c r="G22" s="196" t="n">
        <v>288</v>
      </c>
      <c r="H22" s="196" t="n">
        <v>42</v>
      </c>
    </row>
    <row r="23" hidden="1">
      <c r="C23" s="188" t="inlineStr">
        <is>
          <t>Доля фрахта в таможне</t>
        </is>
      </c>
      <c r="D23" s="188" t="inlineStr">
        <is>
          <t>Паллет в партии</t>
        </is>
      </c>
      <c r="E23" s="188" t="inlineStr">
        <is>
          <t>Пачек на паллете</t>
        </is>
      </c>
    </row>
    <row r="24" hidden="1">
      <c r="C24" s="197" t="n">
        <v>0.7</v>
      </c>
      <c r="D24" s="196" t="n">
        <v>33</v>
      </c>
      <c r="E24" s="196" t="n">
        <v>1600</v>
      </c>
    </row>
    <row r="25" hidden="1"/>
    <row r="26" hidden="1">
      <c r="B26" s="198" t="inlineStr">
        <is>
          <t>Запрос SIAS, €/уп. (вниз до евроцента)</t>
        </is>
      </c>
      <c r="C26" s="199">
        <f>ROUNDDOWN(((C18/F18*(1-E18-D18))/G18/(1+D22)-(F22+G22+H22+F22*C24*(E22+C22*(1+E22)))/(D24*E24))/((1+E22)*(1+C22)),2)</f>
        <v>0.54</v>
      </c>
    </row>
    <row r="27" hidden="1">
      <c r="B27" s="198" t="inlineStr">
        <is>
          <t>Предельная закупка до округления, €/уп.</t>
        </is>
      </c>
      <c r="C27" s="200">
        <f>((C18/F18*(1-E18-D18))/G18/(1+D22)-(F22+G22+H22+F22*C24*(E22+C22*(1+E22)))/(D24*E24))/((1+E22)*(1+C22))</f>
        <v>0.5406979199662126</v>
      </c>
    </row>
    <row r="28" hidden="1">
      <c r="B28" s="198" t="inlineStr">
        <is>
          <t>Себестоимость в Украине при запросе, ₴/уп.</t>
        </is>
      </c>
      <c r="C28" s="201">
        <f>(C26*G18+(F22+G22+H22)/(D24*E24)*G18+(C26+F22*C24/(D24*E24))*E22*G18+(C26+F22*C24/(D24*E24))*(1+E22)*C22*G18)*(1+D22)</f>
        <v>38.52747636363637</v>
      </c>
    </row>
  </sheetData>
  <mergeCells count="12">
    <mergeCell ref="G4:H4"/>
    <mergeCell ref="E4:F4"/>
    <mergeCell ref="B9:B10"/>
    <mergeCell ref="B15:I15"/>
    <mergeCell ref="B13:B14"/>
    <mergeCell ref="B2:I2"/>
    <mergeCell ref="B16:I16"/>
    <mergeCell ref="B7:B8"/>
    <mergeCell ref="B3:I3"/>
    <mergeCell ref="B11:B12"/>
    <mergeCell ref="B19:I19"/>
    <mergeCell ref="C4:D4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2026-10-07T10:19:32Z</dcterms:modified>
  <cp:lastModifiedBy>Чаплигін lлля</cp:lastModifiedBy>
</cp:coreProperties>
</file>