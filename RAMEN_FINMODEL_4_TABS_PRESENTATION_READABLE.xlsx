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Финмодель 6 паллет" sheetId="1" state="visible" r:id="rId1"/>
    <sheet xmlns:r="http://schemas.openxmlformats.org/officeDocument/2006/relationships" name="Финмодель 33 паллет" sheetId="2" state="visible" r:id="rId2"/>
    <sheet xmlns:r="http://schemas.openxmlformats.org/officeDocument/2006/relationships" name="Цена 120 грн — 6 паллет" sheetId="3" state="visible" r:id="rId3"/>
    <sheet xmlns:r="http://schemas.openxmlformats.org/officeDocument/2006/relationships" name="Цена 120 грн — 33 паллет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3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&quot;€&quot;0.00"/>
    <numFmt numFmtId="173" formatCode="0.0%"/>
    <numFmt numFmtId="174" formatCode="&quot;€&quot;#,##0.00"/>
    <numFmt numFmtId="175" formatCode="#,##0.0000"/>
    <numFmt numFmtId="176" formatCode="&quot;МАРЖА &quot;0%"/>
    <numFmt numFmtId="177" formatCode="0.00&quot; грн&quot;"/>
    <numFmt numFmtId="178" formatCode="&quot;€&quot;0.0000"/>
    <numFmt numFmtId="179" formatCode="&quot;Мин. &quot;0.00&quot; грн&quot;"/>
    <numFmt numFmtId="180" formatCode="&quot;Макс. &quot;0.00&quot; грн&quot;"/>
    <numFmt numFmtId="181" formatCode="_(* #,##0.00_);_(* \(#,##0.00\);_(* \-??_);_(@_)"/>
    <numFmt numFmtId="182" formatCode="_(* #,##0_);_(* \(#,##0\);_(* \-_);_(@_)"/>
    <numFmt numFmtId="183" formatCode="_(\$* #,##0.00_);_(\$* \(#,##0.00\);_(\$* \-??_);_(@_)"/>
    <numFmt numFmtId="184" formatCode="_(\$* #,##0_);_(\$* \(#,##0\);_(\$* \-_);_(@_)"/>
    <numFmt numFmtId="185" formatCode="#,##0.00&quot; грн&quot;"/>
    <numFmt numFmtId="186" formatCode="+#,##0.00;-#,##0.00"/>
  </numFmts>
  <fonts count="56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color rgb="FF454545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color rgb="FF172B46"/>
      <sz val="11"/>
    </font>
    <font>
      <name val="Arial"/>
      <color rgb="FF172B46"/>
      <sz val="18"/>
    </font>
    <font>
      <name val="Arial"/>
      <b val="1"/>
      <color rgb="FF172B46"/>
      <sz val="18"/>
    </font>
    <font>
      <name val="Arial"/>
      <color rgb="FF5E6D7E"/>
      <sz val="11"/>
    </font>
    <font>
      <name val="Arial"/>
      <b val="1"/>
      <color rgb="FF223A5E"/>
      <sz val="20"/>
    </font>
    <font>
      <name val="Arial"/>
      <b val="1"/>
      <color rgb="FFFFFFFF"/>
      <sz val="11"/>
    </font>
    <font>
      <name val="Arial"/>
      <b val="1"/>
      <color rgb="FF172B46"/>
      <sz val="11"/>
    </font>
    <font>
      <name val="Arial"/>
      <b val="1"/>
      <color rgb="FF172B46"/>
      <sz val="16"/>
    </font>
    <font>
      <name val="Arial"/>
      <color rgb="FF172B46"/>
      <sz val="13"/>
    </font>
    <font>
      <name val="Arial"/>
      <color rgb="FF172B46"/>
      <sz val="16"/>
    </font>
    <font>
      <name val="Arial"/>
      <color rgb="FF172B46"/>
      <sz val="15"/>
    </font>
    <font>
      <name val="Arial"/>
      <b val="1"/>
      <color rgb="FF172B46"/>
      <sz val="15"/>
    </font>
    <font>
      <name val="Arial"/>
      <color rgb="FF172B46"/>
      <sz val="10"/>
    </font>
    <font>
      <name val="Arial"/>
      <b val="1"/>
      <color rgb="00172B46"/>
      <sz val="17"/>
    </font>
    <font>
      <name val="Arial"/>
      <color rgb="005E6D7E"/>
      <sz val="10"/>
    </font>
    <font>
      <name val="Arial"/>
      <b val="1"/>
      <color rgb="00FFFFFF"/>
      <sz val="12"/>
    </font>
    <font>
      <name val="Arial"/>
      <color rgb="00172B46"/>
      <sz val="11"/>
    </font>
    <font>
      <name val="Arial"/>
      <b val="1"/>
      <color rgb="00172B46"/>
      <sz val="11"/>
    </font>
    <font>
      <name val="Arial"/>
      <b val="1"/>
      <color rgb="00172B46"/>
      <sz val="18"/>
    </font>
    <font>
      <name val="Arial"/>
      <b val="1"/>
      <color rgb="000000FF"/>
      <sz val="12"/>
    </font>
    <font>
      <name val="Arial"/>
      <i val="1"/>
      <color rgb="005E6D7E"/>
      <sz val="9"/>
    </font>
    <font>
      <name val="Arial"/>
      <color rgb="00172B46"/>
      <sz val="10"/>
    </font>
    <font>
      <name val="Arial"/>
      <color rgb="005E6D7E"/>
      <sz val="9"/>
    </font>
    <font>
      <name val="Arial"/>
      <b val="1"/>
      <color rgb="000000FF"/>
      <sz val="11"/>
    </font>
    <font>
      <name val="Arial"/>
      <b val="1"/>
      <color rgb="00008000"/>
      <sz val="11"/>
    </font>
    <font>
      <name val="Arial"/>
      <b val="1"/>
      <color rgb="00FFFFFF"/>
      <sz val="10"/>
    </font>
    <font>
      <name val="Arial"/>
      <b val="1"/>
      <color rgb="005E6D7E"/>
      <sz val="10"/>
    </font>
    <font>
      <name val="Arial"/>
      <color rgb="00172B46"/>
      <sz val="9"/>
    </font>
    <font>
      <name val="Arial"/>
      <b val="1"/>
      <color rgb="00172B46"/>
      <sz val="12"/>
    </font>
    <font>
      <name val="Arial"/>
      <color rgb="003E8E96"/>
      <sz val="9"/>
    </font>
    <font>
      <name val="Arial"/>
      <color rgb="0046538A"/>
      <sz val="9"/>
    </font>
    <font>
      <name val="Arial"/>
      <color rgb="00223A5E"/>
      <sz val="9"/>
    </font>
    <font>
      <name val="Arial"/>
      <color rgb="00C4820A"/>
      <sz val="9"/>
    </font>
    <font>
      <name val="Arial"/>
      <color rgb="00F9A50B"/>
      <sz val="9"/>
    </font>
    <font>
      <name val="Arial"/>
      <color rgb="00A9B0C8"/>
      <sz val="9"/>
    </font>
    <font>
      <name val="Arial"/>
      <color rgb="00008000"/>
      <sz val="11"/>
    </font>
    <font>
      <name val="Arial"/>
      <b val="1"/>
      <color rgb="00FFFFFF"/>
      <sz val="11"/>
    </font>
    <font>
      <name val="Arial"/>
      <b val="1"/>
      <color rgb="00223A5E"/>
      <sz val="10"/>
    </font>
    <font>
      <name val="Arial"/>
      <b val="1"/>
      <color rgb="00223A5E"/>
      <sz val="11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DF2F8"/>
      </patternFill>
    </fill>
    <fill>
      <patternFill patternType="solid">
        <fgColor rgb="FFFFF4D2"/>
      </patternFill>
    </fill>
    <fill>
      <patternFill patternType="solid">
        <fgColor rgb="FF223A5E"/>
      </patternFill>
    </fill>
    <fill>
      <patternFill patternType="solid">
        <fgColor rgb="FFF2F5F9"/>
      </patternFill>
    </fill>
    <fill>
      <patternFill patternType="solid">
        <fgColor rgb="FFE7EDF5"/>
      </patternFill>
    </fill>
    <fill>
      <patternFill patternType="solid">
        <fgColor rgb="00223A5E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</borders>
  <cellStyleXfs count="7">
    <xf numFmtId="0" fontId="12" fillId="19" borderId="11"/>
    <xf numFmtId="181" fontId="1" fillId="19" borderId="11"/>
    <xf numFmtId="182" fontId="1" fillId="19" borderId="11"/>
    <xf numFmtId="183" fontId="1" fillId="19" borderId="11"/>
    <xf numFmtId="184" fontId="1" fillId="19" borderId="11"/>
    <xf numFmtId="0" fontId="12" fillId="19" borderId="11"/>
    <xf numFmtId="9" fontId="1" fillId="19" borderId="11"/>
  </cellStyleXfs>
  <cellXfs count="239">
    <xf numFmtId="0" fontId="0" fillId="0" borderId="0" pivotButton="0" quotePrefix="0" xfId="0"/>
    <xf numFmtId="0" fontId="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7" borderId="1" applyAlignment="1" pivotButton="0" quotePrefix="0" xfId="5">
      <alignment horizontal="center" vertical="center" wrapText="1"/>
    </xf>
    <xf numFmtId="0" fontId="10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0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6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8" applyAlignment="1" pivotButton="0" quotePrefix="0" xfId="5">
      <alignment horizontal="center" vertical="center" wrapText="1"/>
    </xf>
    <xf numFmtId="9" fontId="6" fillId="3" borderId="0" applyAlignment="1" pivotButton="0" quotePrefix="0" xfId="5">
      <alignment horizontal="center" vertical="center"/>
    </xf>
    <xf numFmtId="166" fontId="11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5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168" fontId="15" fillId="0" borderId="9" applyAlignment="1" pivotButton="0" quotePrefix="0" xfId="0">
      <alignment vertical="center"/>
    </xf>
    <xf numFmtId="2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0" fontId="15" fillId="0" borderId="9" applyAlignment="1" pivotButton="0" quotePrefix="0" xfId="0">
      <alignment vertical="center"/>
    </xf>
    <xf numFmtId="0" fontId="6" fillId="13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0" fontId="6" fillId="14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0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9" fillId="15" borderId="10" applyAlignment="1" pivotButton="0" quotePrefix="0" xfId="0">
      <alignment horizontal="center" vertical="center" wrapText="1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0" fontId="15" fillId="0" borderId="10" applyAlignment="1" pivotButton="0" quotePrefix="0" xfId="0">
      <alignment vertical="center"/>
    </xf>
    <xf numFmtId="0" fontId="9" fillId="18" borderId="10" applyAlignment="1" pivotButton="0" quotePrefix="0" xfId="0">
      <alignment horizontal="center" vertical="center" wrapText="1"/>
    </xf>
    <xf numFmtId="0" fontId="17" fillId="19" borderId="11" applyAlignment="1" pivotButton="0" quotePrefix="0" xfId="7">
      <alignment vertical="center"/>
    </xf>
    <xf numFmtId="0" fontId="17" fillId="19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0" fontId="17" fillId="23" borderId="11" applyAlignment="1" pivotButton="0" quotePrefix="0" xfId="7">
      <alignment vertical="center" wrapText="1"/>
    </xf>
    <xf numFmtId="3" fontId="17" fillId="23" borderId="11" applyAlignment="1" pivotButton="0" quotePrefix="0" xfId="7">
      <alignment vertical="center"/>
    </xf>
    <xf numFmtId="3" fontId="17" fillId="19" borderId="11" applyAlignment="1" pivotButton="0" quotePrefix="0" xfId="7">
      <alignment vertical="center"/>
    </xf>
    <xf numFmtId="172" fontId="17" fillId="23" borderId="11" applyAlignment="1" pivotButton="0" quotePrefix="0" xfId="7">
      <alignment vertical="center"/>
    </xf>
    <xf numFmtId="172" fontId="17" fillId="19" borderId="11" applyAlignment="1" pivotButton="0" quotePrefix="0" xfId="7">
      <alignment vertical="center"/>
    </xf>
    <xf numFmtId="173" fontId="17" fillId="23" borderId="11" applyAlignment="1" pivotButton="0" quotePrefix="0" xfId="7">
      <alignment vertical="center"/>
    </xf>
    <xf numFmtId="173" fontId="17" fillId="19" borderId="11" applyAlignment="1" pivotButton="0" quotePrefix="0" xfId="7">
      <alignment vertical="center"/>
    </xf>
    <xf numFmtId="174" fontId="17" fillId="23" borderId="11" applyAlignment="1" pivotButton="0" quotePrefix="0" xfId="7">
      <alignment vertical="center"/>
    </xf>
    <xf numFmtId="174" fontId="17" fillId="19" borderId="11" applyAlignment="1" pivotButton="0" quotePrefix="0" xfId="7">
      <alignment vertical="center"/>
    </xf>
    <xf numFmtId="172" fontId="23" fillId="23" borderId="11" applyAlignment="1" pivotButton="0" quotePrefix="0" xfId="7">
      <alignment vertical="center"/>
    </xf>
    <xf numFmtId="172" fontId="23" fillId="19" borderId="11" applyAlignment="1" pivotButton="0" quotePrefix="0" xfId="7">
      <alignment vertical="center"/>
    </xf>
    <xf numFmtId="0" fontId="23" fillId="24" borderId="11" applyAlignment="1" pivotButton="0" quotePrefix="0" xfId="7">
      <alignment vertical="center"/>
    </xf>
    <xf numFmtId="3" fontId="23" fillId="24" borderId="11" applyAlignment="1" pivotButton="0" quotePrefix="0" xfId="7">
      <alignment vertical="center"/>
    </xf>
    <xf numFmtId="174" fontId="23" fillId="24" borderId="11" applyAlignment="1" pivotButton="0" quotePrefix="0" xfId="7">
      <alignment vertical="center"/>
    </xf>
    <xf numFmtId="2" fontId="17" fillId="21" borderId="11" applyAlignment="1" pivotButton="0" quotePrefix="0" xfId="7">
      <alignment vertical="center"/>
    </xf>
    <xf numFmtId="4" fontId="17" fillId="21" borderId="11" applyAlignment="1" pivotButton="0" quotePrefix="0" xfId="7">
      <alignment vertical="center"/>
    </xf>
    <xf numFmtId="173" fontId="17" fillId="21" borderId="11" applyAlignment="1" pivotButton="0" quotePrefix="0" xfId="7">
      <alignment vertical="center"/>
    </xf>
    <xf numFmtId="3" fontId="17" fillId="21" borderId="11" applyAlignment="1" pivotButton="0" quotePrefix="0" xfId="7">
      <alignment vertical="center"/>
    </xf>
    <xf numFmtId="175" fontId="17" fillId="19" borderId="11" applyAlignment="1" pivotButton="0" quotePrefix="0" xfId="7">
      <alignment vertical="center"/>
    </xf>
    <xf numFmtId="10" fontId="17" fillId="19" borderId="11" applyAlignment="1" pivotButton="0" quotePrefix="0" xfId="7">
      <alignment vertical="center"/>
    </xf>
    <xf numFmtId="0" fontId="1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4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14" fillId="0" borderId="1" applyAlignment="1" pivotButton="0" quotePrefix="0" xfId="5">
      <alignment horizontal="center"/>
    </xf>
    <xf numFmtId="0" fontId="2" fillId="0" borderId="1" applyAlignment="1" pivotButton="0" quotePrefix="0" xfId="5">
      <alignment horizontal="center"/>
    </xf>
    <xf numFmtId="0" fontId="13" fillId="0" borderId="4" applyAlignment="1" pivotButton="0" quotePrefix="0" xfId="5">
      <alignment horizontal="left" vertical="center"/>
    </xf>
    <xf numFmtId="0" fontId="13" fillId="0" borderId="5" applyAlignment="1" pivotButton="0" quotePrefix="0" xfId="5">
      <alignment horizontal="left" vertical="center"/>
    </xf>
    <xf numFmtId="0" fontId="13" fillId="0" borderId="6" applyAlignment="1" pivotButton="0" quotePrefix="0" xfId="5">
      <alignment horizontal="left" vertical="center"/>
    </xf>
    <xf numFmtId="0" fontId="7" fillId="0" borderId="2" applyAlignment="1" pivotButton="0" quotePrefix="0" xfId="5">
      <alignment vertical="center"/>
    </xf>
    <xf numFmtId="0" fontId="3" fillId="0" borderId="7" applyAlignment="1" pivotButton="0" quotePrefix="0" xfId="5">
      <alignment horizontal="left" vertical="center" wrapText="1"/>
    </xf>
    <xf numFmtId="0" fontId="13" fillId="0" borderId="7" applyAlignment="1" pivotButton="0" quotePrefix="0" xfId="5">
      <alignment horizontal="left" vertical="center" wrapText="1"/>
    </xf>
    <xf numFmtId="0" fontId="16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0" fontId="15" fillId="0" borderId="9" applyAlignment="1" pivotButton="0" quotePrefix="0" xfId="0">
      <alignment vertical="center" wrapText="1"/>
    </xf>
    <xf numFmtId="176" fontId="9" fillId="15" borderId="10" applyAlignment="1" pivotButton="0" quotePrefix="0" xfId="0">
      <alignment horizontal="center" vertical="center" wrapText="1"/>
    </xf>
    <xf numFmtId="0" fontId="9" fillId="15" borderId="10" applyAlignment="1" pivotButton="0" quotePrefix="0" xfId="0">
      <alignment horizontal="center" vertical="center" wrapText="1"/>
    </xf>
    <xf numFmtId="0" fontId="6" fillId="13" borderId="9" applyAlignment="1" pivotButton="0" quotePrefix="0" xfId="0">
      <alignment vertical="center"/>
    </xf>
    <xf numFmtId="0" fontId="6" fillId="13" borderId="9" applyAlignment="1" pivotButton="0" quotePrefix="0" xfId="0">
      <alignment vertical="center" wrapText="1"/>
    </xf>
    <xf numFmtId="0" fontId="6" fillId="14" borderId="9" applyAlignment="1" pivotButton="0" quotePrefix="0" xfId="0">
      <alignment vertical="center"/>
    </xf>
    <xf numFmtId="0" fontId="6" fillId="14" borderId="9" applyAlignment="1" pivotButton="0" quotePrefix="0" xfId="0">
      <alignment vertical="center" wrapText="1"/>
    </xf>
    <xf numFmtId="176" fontId="9" fillId="18" borderId="10" applyAlignment="1" pivotButton="0" quotePrefix="0" xfId="0">
      <alignment horizontal="center" vertical="center" wrapText="1"/>
    </xf>
    <xf numFmtId="0" fontId="9" fillId="18" borderId="10" applyAlignment="1" pivotButton="0" quotePrefix="0" xfId="0">
      <alignment horizontal="center" vertical="center" wrapText="1"/>
    </xf>
    <xf numFmtId="0" fontId="19" fillId="19" borderId="11" applyAlignment="1" pivotButton="0" quotePrefix="0" xfId="7">
      <alignment vertical="center" wrapText="1"/>
    </xf>
    <xf numFmtId="0" fontId="18" fillId="19" borderId="11" applyAlignment="1" pivotButton="0" quotePrefix="0" xfId="7">
      <alignment vertical="center" wrapText="1"/>
    </xf>
    <xf numFmtId="0" fontId="17" fillId="19" borderId="11" applyAlignment="1" pivotButton="0" quotePrefix="0" xfId="7">
      <alignment vertical="center" wrapText="1"/>
    </xf>
    <xf numFmtId="0" fontId="20" fillId="19" borderId="11" applyAlignment="1" pivotButton="0" quotePrefix="0" xfId="7">
      <alignment vertical="center" wrapText="1"/>
    </xf>
    <xf numFmtId="172" fontId="21" fillId="21" borderId="11" applyAlignment="1" pivotButton="0" quotePrefix="0" xfId="7">
      <alignment vertical="center"/>
    </xf>
    <xf numFmtId="3" fontId="21" fillId="20" borderId="11" applyAlignment="1" pivotButton="0" quotePrefix="0" xfId="7">
      <alignment vertical="center"/>
    </xf>
    <xf numFmtId="174" fontId="21" fillId="20" borderId="11" applyAlignment="1" pivotButton="0" quotePrefix="0" xfId="7">
      <alignment vertical="center"/>
    </xf>
    <xf numFmtId="177" fontId="19" fillId="20" borderId="11" applyAlignment="1" pivotButton="0" quotePrefix="0" xfId="7">
      <alignment vertical="center" wrapText="1"/>
    </xf>
    <xf numFmtId="9" fontId="19" fillId="20" borderId="11" applyAlignment="1" pivotButton="0" quotePrefix="0" xfId="7">
      <alignment vertical="center" wrapText="1"/>
    </xf>
    <xf numFmtId="178" fontId="19" fillId="20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177" fontId="17" fillId="19" borderId="11" applyAlignment="1" pivotButton="0" quotePrefix="0" xfId="7">
      <alignment vertical="center" wrapText="1"/>
    </xf>
    <xf numFmtId="0" fontId="23" fillId="24" borderId="11" applyAlignment="1" pivotButton="0" quotePrefix="0" xfId="7">
      <alignment vertical="center" wrapText="1"/>
    </xf>
    <xf numFmtId="177" fontId="23" fillId="24" borderId="11" applyAlignment="1" pivotButton="0" quotePrefix="0" xfId="7">
      <alignment vertical="center" wrapText="1"/>
    </xf>
    <xf numFmtId="0" fontId="24" fillId="24" borderId="11" applyAlignment="1" pivotButton="0" quotePrefix="0" xfId="7">
      <alignment vertical="center" wrapText="1"/>
    </xf>
    <xf numFmtId="177" fontId="24" fillId="24" borderId="11" applyAlignment="1" pivotButton="0" quotePrefix="0" xfId="7">
      <alignment vertical="center" wrapText="1"/>
    </xf>
    <xf numFmtId="179" fontId="25" fillId="19" borderId="11" applyAlignment="1" pivotButton="0" quotePrefix="0" xfId="7">
      <alignment vertical="center" wrapText="1"/>
    </xf>
    <xf numFmtId="180" fontId="25" fillId="19" borderId="11" applyAlignment="1" pivotButton="0" quotePrefix="0" xfId="7">
      <alignment vertical="center" wrapText="1"/>
    </xf>
    <xf numFmtId="177" fontId="24" fillId="19" borderId="11" applyAlignment="1" pivotButton="0" quotePrefix="0" xfId="7">
      <alignment vertical="center" wrapText="1"/>
    </xf>
    <xf numFmtId="177" fontId="26" fillId="19" borderId="11" applyAlignment="1" pivotButton="0" quotePrefix="0" xfId="7">
      <alignment vertical="center" wrapText="1"/>
    </xf>
    <xf numFmtId="10" fontId="24" fillId="19" borderId="11" applyAlignment="1" pivotButton="0" quotePrefix="0" xfId="7">
      <alignment vertical="center" wrapText="1"/>
    </xf>
    <xf numFmtId="10" fontId="26" fillId="19" borderId="11" applyAlignment="1" pivotButton="0" quotePrefix="0" xfId="7">
      <alignment vertical="center" wrapText="1"/>
    </xf>
    <xf numFmtId="0" fontId="28" fillId="19" borderId="11" applyAlignment="1" pivotButton="0" quotePrefix="0" xfId="7">
      <alignment vertical="center" wrapText="1"/>
    </xf>
    <xf numFmtId="0" fontId="27" fillId="19" borderId="11" applyAlignment="1" pivotButton="0" quotePrefix="0" xfId="7">
      <alignment vertical="center" wrapText="1"/>
    </xf>
    <xf numFmtId="0" fontId="29" fillId="19" borderId="11" applyAlignment="1" pivotButton="0" quotePrefix="0" xfId="7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0" pivotButton="0" quotePrefix="0" xfId="0"/>
    <xf numFmtId="0" fontId="13" fillId="0" borderId="1" applyAlignment="1" pivotButton="0" quotePrefix="0" xfId="5">
      <alignment horizontal="left" vertical="center"/>
    </xf>
    <xf numFmtId="176" fontId="9" fillId="15" borderId="10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76" fontId="9" fillId="18" borderId="10" applyAlignment="1" pivotButton="0" quotePrefix="0" xfId="0">
      <alignment horizontal="center" vertical="center" wrapText="1"/>
    </xf>
    <xf numFmtId="166" fontId="11" fillId="3" borderId="1" applyAlignment="1" pivotButton="0" quotePrefix="0" xfId="5">
      <alignment horizontal="center" vertical="center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67" fontId="1" fillId="0" borderId="1" applyAlignment="1" pivotButton="0" quotePrefix="0" xfId="5">
      <alignment horizontal="center" vertical="center" wrapText="1"/>
    </xf>
    <xf numFmtId="0" fontId="16" fillId="0" borderId="11" applyAlignment="1" pivotButton="0" quotePrefix="0" xfId="0">
      <alignment vertical="center"/>
    </xf>
    <xf numFmtId="0" fontId="9" fillId="12" borderId="11" applyAlignment="1" pivotButton="0" quotePrefix="0" xfId="0">
      <alignment horizontal="center" vertical="center" wrapText="1"/>
    </xf>
    <xf numFmtId="0" fontId="0" fillId="0" borderId="18" pivotButton="0" quotePrefix="0" xfId="0"/>
    <xf numFmtId="168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 wrapText="1"/>
    </xf>
    <xf numFmtId="0" fontId="32" fillId="25" borderId="0" applyAlignment="1" pivotButton="0" quotePrefix="0" xfId="0">
      <alignment vertical="center"/>
    </xf>
    <xf numFmtId="0" fontId="0" fillId="25" borderId="0" pivotButton="0" quotePrefix="0" xfId="0"/>
    <xf numFmtId="0" fontId="33" fillId="0" borderId="0" applyAlignment="1" pivotButton="0" quotePrefix="0" xfId="0">
      <alignment vertical="center" wrapText="1"/>
    </xf>
    <xf numFmtId="178" fontId="34" fillId="0" borderId="0" applyAlignment="1" pivotButton="0" quotePrefix="0" xfId="0">
      <alignment horizontal="right" vertical="center"/>
    </xf>
    <xf numFmtId="0" fontId="34" fillId="26" borderId="0" applyAlignment="1" pivotButton="0" quotePrefix="0" xfId="0">
      <alignment vertical="center" wrapText="1"/>
    </xf>
    <xf numFmtId="0" fontId="0" fillId="26" borderId="0" pivotButton="0" quotePrefix="0" xfId="0"/>
    <xf numFmtId="172" fontId="35" fillId="26" borderId="24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72" fontId="36" fillId="27" borderId="24" applyAlignment="1" pivotButton="0" quotePrefix="0" xfId="0">
      <alignment horizontal="right" vertical="center"/>
    </xf>
    <xf numFmtId="172" fontId="34" fillId="0" borderId="0" applyAlignment="1" pivotButton="0" quotePrefix="0" xfId="0">
      <alignment horizontal="right" vertical="center"/>
    </xf>
    <xf numFmtId="185" fontId="34" fillId="0" borderId="0" applyAlignment="1" pivotButton="0" quotePrefix="0" xfId="0">
      <alignment horizontal="right" vertical="center"/>
    </xf>
    <xf numFmtId="173" fontId="34" fillId="0" borderId="0" applyAlignment="1" pivotButton="0" quotePrefix="0" xfId="0">
      <alignment horizontal="right" vertical="center"/>
    </xf>
    <xf numFmtId="0" fontId="38" fillId="26" borderId="0" applyAlignment="1" pivotButton="0" quotePrefix="0" xfId="0">
      <alignment vertical="center" wrapText="1"/>
    </xf>
    <xf numFmtId="0" fontId="34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 wrapText="1"/>
    </xf>
    <xf numFmtId="2" fontId="40" fillId="27" borderId="24" applyAlignment="1" pivotButton="0" quotePrefix="0" xfId="0">
      <alignment horizontal="right" vertical="center"/>
    </xf>
    <xf numFmtId="0" fontId="31" fillId="0" borderId="0" applyAlignment="1" pivotButton="0" quotePrefix="0" xfId="0">
      <alignment vertical="center"/>
    </xf>
    <xf numFmtId="173" fontId="40" fillId="27" borderId="24" applyAlignment="1" pivotButton="0" quotePrefix="0" xfId="0">
      <alignment horizontal="right" vertical="center"/>
    </xf>
    <xf numFmtId="173" fontId="41" fillId="28" borderId="24" applyAlignment="1" pivotButton="0" quotePrefix="0" xfId="0">
      <alignment horizontal="right" vertical="center"/>
    </xf>
    <xf numFmtId="2" fontId="41" fillId="28" borderId="24" applyAlignment="1" pivotButton="0" quotePrefix="0" xfId="0">
      <alignment horizontal="right" vertical="center"/>
    </xf>
    <xf numFmtId="4" fontId="40" fillId="27" borderId="24" applyAlignment="1" pivotButton="0" quotePrefix="0" xfId="0">
      <alignment horizontal="right" vertical="center"/>
    </xf>
    <xf numFmtId="3" fontId="40" fillId="27" borderId="24" applyAlignment="1" pivotButton="0" quotePrefix="0" xfId="0">
      <alignment horizontal="right" vertical="center"/>
    </xf>
    <xf numFmtId="0" fontId="42" fillId="29" borderId="0" applyAlignment="1" pivotButton="0" quotePrefix="0" xfId="0">
      <alignment horizontal="center" vertical="center" wrapText="1"/>
    </xf>
    <xf numFmtId="0" fontId="0" fillId="29" borderId="0" pivotButton="0" quotePrefix="0" xfId="0"/>
    <xf numFmtId="0" fontId="43" fillId="28" borderId="0" applyAlignment="1" pivotButton="0" quotePrefix="0" xfId="0">
      <alignment horizontal="center" vertical="center" wrapText="1"/>
    </xf>
    <xf numFmtId="0" fontId="34" fillId="28" borderId="0" applyAlignment="1" pivotButton="0" quotePrefix="0" xfId="0">
      <alignment vertical="center" wrapText="1"/>
    </xf>
    <xf numFmtId="0" fontId="31" fillId="28" borderId="0" applyAlignment="1" pivotButton="0" quotePrefix="0" xfId="0">
      <alignment vertical="center" wrapText="1"/>
    </xf>
    <xf numFmtId="0" fontId="0" fillId="28" borderId="0" pivotButton="0" quotePrefix="0" xfId="0"/>
    <xf numFmtId="2" fontId="34" fillId="28" borderId="0" applyAlignment="1" pivotButton="0" quotePrefix="0" xfId="0">
      <alignment horizontal="right" vertical="center"/>
    </xf>
    <xf numFmtId="0" fontId="31" fillId="28" borderId="0" applyAlignment="1" pivotButton="0" quotePrefix="0" xfId="0">
      <alignment vertical="center"/>
    </xf>
    <xf numFmtId="0" fontId="44" fillId="28" borderId="0" applyAlignment="1" pivotButton="0" quotePrefix="0" xfId="0">
      <alignment vertical="center" wrapText="1"/>
    </xf>
    <xf numFmtId="0" fontId="43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vertical="center" wrapText="1"/>
    </xf>
    <xf numFmtId="2" fontId="34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vertical="center" wrapText="1"/>
    </xf>
    <xf numFmtId="173" fontId="34" fillId="28" borderId="0" applyAlignment="1" pivotButton="0" quotePrefix="0" xfId="0">
      <alignment horizontal="right" vertical="center"/>
    </xf>
    <xf numFmtId="178" fontId="34" fillId="28" borderId="0" applyAlignment="1" pivotButton="0" quotePrefix="0" xfId="0">
      <alignment horizontal="right" vertical="center"/>
    </xf>
    <xf numFmtId="4" fontId="34" fillId="28" borderId="0" applyAlignment="1" pivotButton="0" quotePrefix="0" xfId="0">
      <alignment horizontal="right" vertical="center"/>
    </xf>
    <xf numFmtId="3" fontId="34" fillId="0" borderId="0" applyAlignment="1" pivotButton="0" quotePrefix="0" xfId="0">
      <alignment horizontal="right" vertical="center"/>
    </xf>
    <xf numFmtId="0" fontId="43" fillId="26" borderId="0" applyAlignment="1" pivotButton="0" quotePrefix="0" xfId="0">
      <alignment horizontal="center" vertical="center" wrapText="1"/>
    </xf>
    <xf numFmtId="0" fontId="31" fillId="26" borderId="0" applyAlignment="1" pivotButton="0" quotePrefix="0" xfId="0">
      <alignment vertical="center" wrapText="1"/>
    </xf>
    <xf numFmtId="172" fontId="45" fillId="26" borderId="0" applyAlignment="1" pivotButton="0" quotePrefix="0" xfId="0">
      <alignment horizontal="right" vertical="center"/>
    </xf>
    <xf numFmtId="0" fontId="31" fillId="26" borderId="0" applyAlignment="1" pivotButton="0" quotePrefix="0" xfId="0">
      <alignment vertical="center"/>
    </xf>
    <xf numFmtId="0" fontId="44" fillId="26" borderId="0" applyAlignment="1" pivotButton="0" quotePrefix="0" xfId="0">
      <alignment vertical="center" wrapText="1"/>
    </xf>
    <xf numFmtId="0" fontId="33" fillId="28" borderId="0" applyAlignment="1" pivotButton="0" quotePrefix="0" xfId="0">
      <alignment vertical="center"/>
    </xf>
    <xf numFmtId="0" fontId="39" fillId="28" borderId="0" applyAlignment="1" pivotButton="0" quotePrefix="0" xfId="0">
      <alignment vertical="center" wrapText="1"/>
    </xf>
    <xf numFmtId="185" fontId="33" fillId="28" borderId="0" applyAlignment="1" pivotButton="0" quotePrefix="0" xfId="0">
      <alignment horizontal="right" vertical="center"/>
    </xf>
    <xf numFmtId="173" fontId="31" fillId="28" borderId="0" applyAlignment="1" pivotButton="0" quotePrefix="0" xfId="0">
      <alignment horizontal="right" vertical="center"/>
    </xf>
    <xf numFmtId="0" fontId="46" fillId="28" borderId="0" applyAlignment="1" pivotButton="0" quotePrefix="0" xfId="0">
      <alignment vertical="center"/>
    </xf>
    <xf numFmtId="0" fontId="33" fillId="0" borderId="0" applyAlignment="1" pivotButton="0" quotePrefix="0" xfId="0">
      <alignment vertical="center"/>
    </xf>
    <xf numFmtId="185" fontId="33" fillId="0" borderId="0" applyAlignment="1" pivotButton="0" quotePrefix="0" xfId="0">
      <alignment horizontal="right" vertical="center"/>
    </xf>
    <xf numFmtId="173" fontId="31" fillId="0" borderId="0" applyAlignment="1" pivotButton="0" quotePrefix="0" xfId="0">
      <alignment horizontal="right" vertical="center"/>
    </xf>
    <xf numFmtId="0" fontId="47" fillId="0" borderId="0" applyAlignment="1" pivotButton="0" quotePrefix="0" xfId="0">
      <alignment vertical="center"/>
    </xf>
    <xf numFmtId="0" fontId="47" fillId="28" borderId="0" applyAlignment="1" pivotButton="0" quotePrefix="0" xfId="0">
      <alignment vertical="center"/>
    </xf>
    <xf numFmtId="0" fontId="34" fillId="26" borderId="0" applyAlignment="1" pivotButton="0" quotePrefix="0" xfId="0">
      <alignment vertical="center"/>
    </xf>
    <xf numFmtId="0" fontId="39" fillId="26" borderId="0" applyAlignment="1" pivotButton="0" quotePrefix="0" xfId="0">
      <alignment vertical="center" wrapText="1"/>
    </xf>
    <xf numFmtId="185" fontId="34" fillId="26" borderId="0" applyAlignment="1" pivotButton="0" quotePrefix="0" xfId="0">
      <alignment horizontal="right" vertical="center"/>
    </xf>
    <xf numFmtId="173" fontId="43" fillId="26" borderId="0" applyAlignment="1" pivotButton="0" quotePrefix="0" xfId="0">
      <alignment horizontal="right" vertical="center"/>
    </xf>
    <xf numFmtId="0" fontId="48" fillId="26" borderId="0" applyAlignment="1" pivotButton="0" quotePrefix="0" xfId="0">
      <alignment vertical="center"/>
    </xf>
    <xf numFmtId="0" fontId="49" fillId="28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 wrapText="1"/>
    </xf>
    <xf numFmtId="0" fontId="52" fillId="28" borderId="0" applyAlignment="1" pivotButton="0" quotePrefix="0" xfId="0">
      <alignment vertical="center"/>
    </xf>
    <xf numFmtId="3" fontId="40" fillId="27" borderId="24" applyAlignment="1" pivotButton="0" quotePrefix="0" xfId="0">
      <alignment horizontal="center" vertical="center" wrapText="1"/>
    </xf>
    <xf numFmtId="3" fontId="33" fillId="28" borderId="0" applyAlignment="1" pivotButton="0" quotePrefix="0" xfId="0">
      <alignment horizontal="right" vertical="center"/>
    </xf>
    <xf numFmtId="172" fontId="40" fillId="27" borderId="24" applyAlignment="1" pivotButton="0" quotePrefix="0" xfId="0">
      <alignment horizontal="right" vertical="center"/>
    </xf>
    <xf numFmtId="172" fontId="33" fillId="28" borderId="0" applyAlignment="1" pivotButton="0" quotePrefix="0" xfId="0">
      <alignment horizontal="right" vertical="center"/>
    </xf>
    <xf numFmtId="185" fontId="52" fillId="28" borderId="0" applyAlignment="1" pivotButton="0" quotePrefix="0" xfId="0">
      <alignment horizontal="right" vertical="center"/>
    </xf>
    <xf numFmtId="186" fontId="33" fillId="28" borderId="0" applyAlignment="1" pivotButton="0" quotePrefix="0" xfId="0">
      <alignment horizontal="right" vertical="center"/>
    </xf>
    <xf numFmtId="0" fontId="52" fillId="0" borderId="0" applyAlignment="1" pivotButton="0" quotePrefix="0" xfId="0">
      <alignment vertical="center"/>
    </xf>
    <xf numFmtId="3" fontId="33" fillId="0" borderId="0" applyAlignment="1" pivotButton="0" quotePrefix="0" xfId="0">
      <alignment horizontal="right" vertical="center"/>
    </xf>
    <xf numFmtId="172" fontId="33" fillId="0" borderId="0" applyAlignment="1" pivotButton="0" quotePrefix="0" xfId="0">
      <alignment horizontal="right" vertical="center"/>
    </xf>
    <xf numFmtId="185" fontId="52" fillId="0" borderId="0" applyAlignment="1" pivotButton="0" quotePrefix="0" xfId="0">
      <alignment horizontal="right" vertical="center"/>
    </xf>
    <xf numFmtId="186" fontId="33" fillId="0" borderId="0" applyAlignment="1" pivotButton="0" quotePrefix="0" xfId="0">
      <alignment horizontal="right" vertical="center"/>
    </xf>
    <xf numFmtId="3" fontId="34" fillId="26" borderId="0" applyAlignment="1" pivotButton="0" quotePrefix="0" xfId="0">
      <alignment horizontal="center" vertical="center" wrapText="1"/>
    </xf>
    <xf numFmtId="3" fontId="34" fillId="26" borderId="0" applyAlignment="1" pivotButton="0" quotePrefix="0" xfId="0">
      <alignment horizontal="right" vertical="center"/>
    </xf>
    <xf numFmtId="173" fontId="34" fillId="26" borderId="0" applyAlignment="1" pivotButton="0" quotePrefix="0" xfId="0">
      <alignment horizontal="right" vertical="center"/>
    </xf>
    <xf numFmtId="3" fontId="53" fillId="29" borderId="24" applyAlignment="1" pivotButton="0" quotePrefix="0" xfId="0">
      <alignment horizontal="center" vertical="center" wrapText="1"/>
    </xf>
    <xf numFmtId="0" fontId="54" fillId="0" borderId="0" applyAlignment="1" pivotButton="0" quotePrefix="0" xfId="0">
      <alignment vertical="center"/>
    </xf>
    <xf numFmtId="9" fontId="40" fillId="27" borderId="24" applyAlignment="1" pivotButton="0" quotePrefix="0" xfId="0">
      <alignment horizontal="center" vertical="center" wrapText="1"/>
    </xf>
    <xf numFmtId="172" fontId="45" fillId="0" borderId="24" applyAlignment="1" pivotButton="0" quotePrefix="0" xfId="0">
      <alignment horizontal="center" vertical="center" wrapText="1"/>
    </xf>
    <xf numFmtId="0" fontId="38" fillId="0" borderId="0" applyAlignment="1" pivotButton="0" quotePrefix="0" xfId="0">
      <alignment vertical="center" wrapText="1"/>
    </xf>
    <xf numFmtId="0" fontId="55" fillId="28" borderId="0" applyAlignment="1" pivotButton="0" quotePrefix="0" xfId="0">
      <alignment vertical="center" wrapText="1"/>
    </xf>
    <xf numFmtId="172" fontId="45" fillId="28" borderId="24" applyAlignment="1" pivotButton="0" quotePrefix="0" xfId="0">
      <alignment horizontal="right" vertical="center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10"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 patternType="solid">
          <fgColor rgb="009FD8D6"/>
        </patternFill>
      </fill>
    </dxf>
    <dxf>
      <fill>
        <patternFill patternType="solid">
          <fgColor rgb="00D3EEEC"/>
        </patternFill>
      </fill>
    </dxf>
    <dxf>
      <fill>
        <patternFill patternType="solid">
          <fgColor rgb="00FCE3A6"/>
        </patternFill>
      </fill>
    </dxf>
    <dxf>
      <fill>
        <patternFill patternType="solid">
          <fgColor rgb="00EBBDB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L11" activePane="bottomRight" state="frozen"/>
      <selection activeCell="P4" sqref="P3:P4"/>
      <selection pane="topRight" activeCell="P4" sqref="P3:P4"/>
      <selection pane="bottomLeft" activeCell="P4" sqref="P3:P4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6 палет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6 палет</t>
        </is>
      </c>
      <c r="E2" s="82" t="inlineStr">
        <is>
          <t>Готова СС із Self-Cost_Sias: AJ6:AJ11. Склад СС збережено.</t>
        </is>
      </c>
      <c r="F2" s="123" t="n"/>
      <c r="G2" s="123" t="n"/>
      <c r="H2" s="123" t="n"/>
      <c r="I2" s="123" t="n"/>
      <c r="J2" s="123" t="n"/>
      <c r="K2" s="122" t="n"/>
      <c r="L2" s="7" t="n"/>
      <c r="M2" s="121" t="n"/>
      <c r="N2" s="7" t="n"/>
      <c r="O2" s="121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7" t="n"/>
      <c r="M3" s="121" t="n"/>
      <c r="N3" s="7" t="n"/>
      <c r="O3" s="121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7" t="n"/>
      <c r="M4" s="121" t="n"/>
      <c r="N4" s="7" t="n"/>
      <c r="O4" s="121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7" t="n"/>
      <c r="M5" s="121" t="n"/>
      <c r="N5" s="7" t="n"/>
      <c r="O5" s="121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7" t="n"/>
      <c r="M6" s="121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7" t="n"/>
      <c r="M7" s="121" t="n"/>
    </row>
    <row r="8" ht="30" customFormat="1" customHeight="1" s="21">
      <c r="B8" s="80" t="inlineStr">
        <is>
          <t>Частка ціни для собівартості</t>
        </is>
      </c>
      <c r="C8" s="124" t="n"/>
      <c r="D8" s="24">
        <f>IF(AND(COUNT(D3:D6)=4,D3&gt;0,D4&gt;=0,D5&gt;=0,D4+D5&lt;1,D6&gt;0),1-D4-D5,NA())</f>
        <v>0.4</v>
      </c>
      <c r="E8" s="125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6" t="n">
        <v>0.3</v>
      </c>
      <c r="Q9" s="127" t="n"/>
      <c r="R9" s="127" t="n"/>
      <c r="S9" s="127" t="n"/>
      <c r="T9" s="128" t="n"/>
      <c r="U9" s="129" t="n">
        <v>0.25</v>
      </c>
      <c r="V9" s="127" t="n"/>
      <c r="W9" s="127" t="n"/>
      <c r="X9" s="127" t="n"/>
      <c r="Y9" s="128" t="n"/>
      <c r="Z9" s="126" t="n">
        <v>0.2</v>
      </c>
      <c r="AA9" s="127" t="n"/>
      <c r="AB9" s="127" t="n"/>
      <c r="AC9" s="127" t="n"/>
      <c r="AD9" s="128" t="n"/>
      <c r="AE9" s="129" t="n">
        <v>0.15</v>
      </c>
      <c r="AF9" s="127" t="n"/>
      <c r="AG9" s="127" t="n"/>
      <c r="AH9" s="127" t="n"/>
      <c r="AI9" s="128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0" t="n">
        <v>1.308515625</v>
      </c>
      <c r="F11" s="131">
        <f>IF(AND(ISNUMBER(E11),ISNUMBER($D$8)),E11*$D$3,NA())</f>
        <v>66.99600000000001</v>
      </c>
      <c r="G11" s="132">
        <f>F11/$D$8</f>
        <v>167.49</v>
      </c>
      <c r="H11" s="133">
        <f>G11*$D$4</f>
        <v>41.8725</v>
      </c>
      <c r="I11" s="134">
        <f>G11-F11-H11</f>
        <v>58.6215</v>
      </c>
      <c r="J11" s="13">
        <f>I11/G11</f>
        <v>0.35</v>
      </c>
      <c r="K11" s="135">
        <f>G11*$D$6</f>
        <v>234.486</v>
      </c>
      <c r="L11" s="136">
        <f>F11/(1-$D$4)</f>
        <v>89.32800000000002</v>
      </c>
      <c r="M11" s="136">
        <f>L11*$D$6</f>
        <v>125.05920000000002</v>
      </c>
      <c r="N11" s="137">
        <f>G11-F11</f>
        <v>100.494</v>
      </c>
      <c r="O11" s="138">
        <f>N11-H11</f>
        <v>58.6215</v>
      </c>
      <c r="P11" s="139">
        <f>$F11/(1-$D$4-$P$9)</f>
        <v>148.88000000000002</v>
      </c>
      <c r="Q11" s="140">
        <f>P11*$D$4</f>
        <v>37.220000000000006</v>
      </c>
      <c r="R11" s="141">
        <f>P11-$F11-Q11</f>
        <v>44.66400000000001</v>
      </c>
      <c r="S11" s="44">
        <f>R11/P11</f>
        <v>0.3</v>
      </c>
      <c r="T11" s="139">
        <f>P11*$D$6</f>
        <v>208.43200000000002</v>
      </c>
      <c r="U11" s="139">
        <f>$F11/(1-$D$4-$U$9)</f>
        <v>133.99200000000002</v>
      </c>
      <c r="V11" s="140">
        <f>U11*$D$4</f>
        <v>33.498000000000005</v>
      </c>
      <c r="W11" s="141">
        <f>U11-$F11-V11</f>
        <v>33.498000000000005</v>
      </c>
      <c r="X11" s="44">
        <f>W11/U11</f>
        <v>0.25</v>
      </c>
      <c r="Y11" s="139">
        <f>U11*$D$6</f>
        <v>187.58880000000002</v>
      </c>
      <c r="Z11" s="139">
        <f>$F11/(1-$D$4-$Z$9)</f>
        <v>121.81090909090909</v>
      </c>
      <c r="AA11" s="140">
        <f>Z11*$D$4</f>
        <v>30.452727272727273</v>
      </c>
      <c r="AB11" s="141">
        <f>Z11-$F11-AA11</f>
        <v>24.36218181818181</v>
      </c>
      <c r="AC11" s="44">
        <f>AB11/Z11</f>
        <v>0.19999999999999993</v>
      </c>
      <c r="AD11" s="139">
        <f>Z11*$D$6</f>
        <v>170.5352727272727</v>
      </c>
      <c r="AE11" s="139">
        <f>$F11/(1-$D$4-$AE$9)</f>
        <v>111.66000000000003</v>
      </c>
      <c r="AF11" s="140">
        <f>AE11*$D$4</f>
        <v>27.915000000000006</v>
      </c>
      <c r="AG11" s="141">
        <f>AE11-$F11-AF11</f>
        <v>16.74900000000001</v>
      </c>
      <c r="AH11" s="44">
        <f>AG11/AE11</f>
        <v>0.15000000000000005</v>
      </c>
      <c r="AI11" s="139">
        <f>AE11*$D$6</f>
        <v>156.324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0" t="n">
        <v>1.308515625</v>
      </c>
      <c r="F12" s="131">
        <f>IF(AND(ISNUMBER(E12),ISNUMBER($D$8)),E12*$D$3,NA())</f>
        <v>66.99600000000001</v>
      </c>
      <c r="G12" s="132">
        <f>F12/$D$8</f>
        <v>167.49</v>
      </c>
      <c r="H12" s="133">
        <f>G12*$D$4</f>
        <v>41.8725</v>
      </c>
      <c r="I12" s="134">
        <f>G12-F12-H12</f>
        <v>58.6215</v>
      </c>
      <c r="J12" s="13">
        <f>I12/G12</f>
        <v>0.35</v>
      </c>
      <c r="K12" s="135">
        <f>G12*$D$6</f>
        <v>234.486</v>
      </c>
      <c r="L12" s="136">
        <f>F12/(1-$D$4)</f>
        <v>89.32800000000002</v>
      </c>
      <c r="M12" s="136">
        <f>L12*$D$6</f>
        <v>125.05920000000002</v>
      </c>
      <c r="N12" s="137">
        <f>G12-F12</f>
        <v>100.494</v>
      </c>
      <c r="O12" s="138">
        <f>N12-H12</f>
        <v>58.6215</v>
      </c>
      <c r="P12" s="139">
        <f>$F12/(1-$D$4-$P$9)</f>
        <v>148.88000000000002</v>
      </c>
      <c r="Q12" s="140">
        <f>P12*$D$4</f>
        <v>37.220000000000006</v>
      </c>
      <c r="R12" s="141">
        <f>P12-$F12-Q12</f>
        <v>44.66400000000001</v>
      </c>
      <c r="S12" s="44">
        <f>R12/P12</f>
        <v>0.3</v>
      </c>
      <c r="T12" s="139">
        <f>P12*$D$6</f>
        <v>208.43200000000002</v>
      </c>
      <c r="U12" s="139">
        <f>$F12/(1-$D$4-$U$9)</f>
        <v>133.99200000000002</v>
      </c>
      <c r="V12" s="140">
        <f>U12*$D$4</f>
        <v>33.498000000000005</v>
      </c>
      <c r="W12" s="141">
        <f>U12-$F12-V12</f>
        <v>33.498000000000005</v>
      </c>
      <c r="X12" s="44">
        <f>W12/U12</f>
        <v>0.25</v>
      </c>
      <c r="Y12" s="139">
        <f>U12*$D$6</f>
        <v>187.58880000000002</v>
      </c>
      <c r="Z12" s="139">
        <f>$F12/(1-$D$4-$Z$9)</f>
        <v>121.81090909090909</v>
      </c>
      <c r="AA12" s="140">
        <f>Z12*$D$4</f>
        <v>30.452727272727273</v>
      </c>
      <c r="AB12" s="141">
        <f>Z12-$F12-AA12</f>
        <v>24.36218181818181</v>
      </c>
      <c r="AC12" s="44">
        <f>AB12/Z12</f>
        <v>0.19999999999999993</v>
      </c>
      <c r="AD12" s="139">
        <f>Z12*$D$6</f>
        <v>170.5352727272727</v>
      </c>
      <c r="AE12" s="139">
        <f>$F12/(1-$D$4-$AE$9)</f>
        <v>111.66000000000003</v>
      </c>
      <c r="AF12" s="140">
        <f>AE12*$D$4</f>
        <v>27.915000000000006</v>
      </c>
      <c r="AG12" s="141">
        <f>AE12-$F12-AF12</f>
        <v>16.74900000000001</v>
      </c>
      <c r="AH12" s="44">
        <f>AG12/AE12</f>
        <v>0.15000000000000005</v>
      </c>
      <c r="AI12" s="139">
        <f>AE12*$D$6</f>
        <v>156.324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0" t="n">
        <v>1.134046875</v>
      </c>
      <c r="F13" s="131">
        <f>IF(AND(ISNUMBER(E13),ISNUMBER($D$8)),E13*$D$3,NA())</f>
        <v>58.063199999999995</v>
      </c>
      <c r="G13" s="132">
        <f>F13/$D$8</f>
        <v>145.158</v>
      </c>
      <c r="H13" s="133">
        <f>G13*$D$4</f>
        <v>36.2895</v>
      </c>
      <c r="I13" s="134">
        <f>G13-F13-H13</f>
        <v>50.805299999999995</v>
      </c>
      <c r="J13" s="13">
        <f>I13/G13</f>
        <v>0.35</v>
      </c>
      <c r="K13" s="135">
        <f>G13*$D$6</f>
        <v>203.22119999999998</v>
      </c>
      <c r="L13" s="136">
        <f>F13/(1-$D$4)</f>
        <v>77.4176</v>
      </c>
      <c r="M13" s="136">
        <f>L13*$D$6</f>
        <v>108.38463999999999</v>
      </c>
      <c r="N13" s="137">
        <f>G13-F13</f>
        <v>87.09479999999999</v>
      </c>
      <c r="O13" s="138">
        <f>N13-H13</f>
        <v>50.805299999999995</v>
      </c>
      <c r="P13" s="139">
        <f>$F13/(1-$D$4-$P$9)</f>
        <v>129.0293333333333</v>
      </c>
      <c r="Q13" s="140">
        <f>P13*$D$4</f>
        <v>32.25733333333333</v>
      </c>
      <c r="R13" s="141">
        <f>P13-$F13-Q13</f>
        <v>38.70879999999999</v>
      </c>
      <c r="S13" s="44">
        <f>R13/P13</f>
        <v>0.3</v>
      </c>
      <c r="T13" s="139">
        <f>P13*$D$6</f>
        <v>180.64106666666663</v>
      </c>
      <c r="U13" s="139">
        <f>$F13/(1-$D$4-$U$9)</f>
        <v>116.12639999999999</v>
      </c>
      <c r="V13" s="140">
        <f>U13*$D$4</f>
        <v>29.031599999999997</v>
      </c>
      <c r="W13" s="141">
        <f>U13-$F13-V13</f>
        <v>29.031599999999997</v>
      </c>
      <c r="X13" s="44">
        <f>W13/U13</f>
        <v>0.25</v>
      </c>
      <c r="Y13" s="139">
        <f>U13*$D$6</f>
        <v>162.57695999999999</v>
      </c>
      <c r="Z13" s="139">
        <f>$F13/(1-$D$4-$Z$9)</f>
        <v>105.56945454545453</v>
      </c>
      <c r="AA13" s="140">
        <f>Z13*$D$4</f>
        <v>26.392363636363633</v>
      </c>
      <c r="AB13" s="141">
        <f>Z13-$F13-AA13</f>
        <v>21.113890909090905</v>
      </c>
      <c r="AC13" s="44">
        <f>AB13/Z13</f>
        <v>0.19999999999999998</v>
      </c>
      <c r="AD13" s="139">
        <f>Z13*$D$6</f>
        <v>147.79723636363633</v>
      </c>
      <c r="AE13" s="139">
        <f>$F13/(1-$D$4-$AE$9)</f>
        <v>96.77199999999999</v>
      </c>
      <c r="AF13" s="140">
        <f>AE13*$D$4</f>
        <v>24.192999999999998</v>
      </c>
      <c r="AG13" s="141">
        <f>AE13-$F13-AF13</f>
        <v>14.515799999999999</v>
      </c>
      <c r="AH13" s="44">
        <f>AG13/AE13</f>
        <v>0.15</v>
      </c>
      <c r="AI13" s="139">
        <f>AE13*$D$6</f>
        <v>135.4808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2" t="n">
        <v>112.5</v>
      </c>
      <c r="E14" s="130" t="n">
        <v>1.134046875</v>
      </c>
      <c r="F14" s="131">
        <f>IF(AND(ISNUMBER(E14),ISNUMBER($D$8)),E14*$D$3,NA())</f>
        <v>58.063199999999995</v>
      </c>
      <c r="G14" s="132">
        <f>F14/$D$8</f>
        <v>145.158</v>
      </c>
      <c r="H14" s="133">
        <f>G14*$D$4</f>
        <v>36.2895</v>
      </c>
      <c r="I14" s="134">
        <f>G14-F14-H14</f>
        <v>50.805299999999995</v>
      </c>
      <c r="J14" s="13">
        <f>I14/G14</f>
        <v>0.35</v>
      </c>
      <c r="K14" s="135">
        <f>G14*$D$6</f>
        <v>203.22119999999998</v>
      </c>
      <c r="L14" s="136">
        <f>F14/(1-$D$4)</f>
        <v>77.4176</v>
      </c>
      <c r="M14" s="136">
        <f>L14*$D$6</f>
        <v>108.38463999999999</v>
      </c>
      <c r="N14" s="137">
        <f>G14-F14</f>
        <v>87.09479999999999</v>
      </c>
      <c r="O14" s="138">
        <f>N14-H14</f>
        <v>50.805299999999995</v>
      </c>
      <c r="P14" s="139">
        <f>$F14/(1-$D$4-$P$9)</f>
        <v>129.0293333333333</v>
      </c>
      <c r="Q14" s="140">
        <f>P14*$D$4</f>
        <v>32.25733333333333</v>
      </c>
      <c r="R14" s="141">
        <f>P14-$F14-Q14</f>
        <v>38.70879999999999</v>
      </c>
      <c r="S14" s="44">
        <f>R14/P14</f>
        <v>0.3</v>
      </c>
      <c r="T14" s="139">
        <f>P14*$D$6</f>
        <v>180.64106666666663</v>
      </c>
      <c r="U14" s="139">
        <f>$F14/(1-$D$4-$U$9)</f>
        <v>116.12639999999999</v>
      </c>
      <c r="V14" s="140">
        <f>U14*$D$4</f>
        <v>29.031599999999997</v>
      </c>
      <c r="W14" s="141">
        <f>U14-$F14-V14</f>
        <v>29.031599999999997</v>
      </c>
      <c r="X14" s="44">
        <f>W14/U14</f>
        <v>0.25</v>
      </c>
      <c r="Y14" s="139">
        <f>U14*$D$6</f>
        <v>162.57695999999999</v>
      </c>
      <c r="Z14" s="139">
        <f>$F14/(1-$D$4-$Z$9)</f>
        <v>105.56945454545453</v>
      </c>
      <c r="AA14" s="140">
        <f>Z14*$D$4</f>
        <v>26.392363636363633</v>
      </c>
      <c r="AB14" s="141">
        <f>Z14-$F14-AA14</f>
        <v>21.113890909090905</v>
      </c>
      <c r="AC14" s="44">
        <f>AB14/Z14</f>
        <v>0.19999999999999998</v>
      </c>
      <c r="AD14" s="139">
        <f>Z14*$D$6</f>
        <v>147.79723636363633</v>
      </c>
      <c r="AE14" s="139">
        <f>$F14/(1-$D$4-$AE$9)</f>
        <v>96.77199999999999</v>
      </c>
      <c r="AF14" s="140">
        <f>AE14*$D$4</f>
        <v>24.192999999999998</v>
      </c>
      <c r="AG14" s="141">
        <f>AE14-$F14-AF14</f>
        <v>14.515799999999999</v>
      </c>
      <c r="AH14" s="44">
        <f>AG14/AE14</f>
        <v>0.15</v>
      </c>
      <c r="AI14" s="139">
        <f>AE14*$D$6</f>
        <v>135.4808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0" t="n">
        <v>1.134046875</v>
      </c>
      <c r="F15" s="131">
        <f>IF(AND(ISNUMBER(E15),ISNUMBER($D$8)),E15*$D$3,NA())</f>
        <v>58.063199999999995</v>
      </c>
      <c r="G15" s="132">
        <f>F15/$D$8</f>
        <v>145.158</v>
      </c>
      <c r="H15" s="133">
        <f>G15*$D$4</f>
        <v>36.2895</v>
      </c>
      <c r="I15" s="134">
        <f>G15-F15-H15</f>
        <v>50.805299999999995</v>
      </c>
      <c r="J15" s="13">
        <f>I15/G15</f>
        <v>0.35</v>
      </c>
      <c r="K15" s="135">
        <f>G15*$D$6</f>
        <v>203.22119999999998</v>
      </c>
      <c r="L15" s="136">
        <f>F15/(1-$D$4)</f>
        <v>77.4176</v>
      </c>
      <c r="M15" s="136">
        <f>L15*$D$6</f>
        <v>108.38463999999999</v>
      </c>
      <c r="N15" s="137">
        <f>G15-F15</f>
        <v>87.09479999999999</v>
      </c>
      <c r="O15" s="138">
        <f>N15-H15</f>
        <v>50.805299999999995</v>
      </c>
      <c r="P15" s="139">
        <f>$F15/(1-$D$4-$P$9)</f>
        <v>129.0293333333333</v>
      </c>
      <c r="Q15" s="140">
        <f>P15*$D$4</f>
        <v>32.25733333333333</v>
      </c>
      <c r="R15" s="141">
        <f>P15-$F15-Q15</f>
        <v>38.70879999999999</v>
      </c>
      <c r="S15" s="44">
        <f>R15/P15</f>
        <v>0.3</v>
      </c>
      <c r="T15" s="139">
        <f>P15*$D$6</f>
        <v>180.64106666666663</v>
      </c>
      <c r="U15" s="139">
        <f>$F15/(1-$D$4-$U$9)</f>
        <v>116.12639999999999</v>
      </c>
      <c r="V15" s="140">
        <f>U15*$D$4</f>
        <v>29.031599999999997</v>
      </c>
      <c r="W15" s="141">
        <f>U15-$F15-V15</f>
        <v>29.031599999999997</v>
      </c>
      <c r="X15" s="44">
        <f>W15/U15</f>
        <v>0.25</v>
      </c>
      <c r="Y15" s="139">
        <f>U15*$D$6</f>
        <v>162.57695999999999</v>
      </c>
      <c r="Z15" s="139">
        <f>$F15/(1-$D$4-$Z$9)</f>
        <v>105.56945454545453</v>
      </c>
      <c r="AA15" s="140">
        <f>Z15*$D$4</f>
        <v>26.392363636363633</v>
      </c>
      <c r="AB15" s="141">
        <f>Z15-$F15-AA15</f>
        <v>21.113890909090905</v>
      </c>
      <c r="AC15" s="44">
        <f>AB15/Z15</f>
        <v>0.19999999999999998</v>
      </c>
      <c r="AD15" s="139">
        <f>Z15*$D$6</f>
        <v>147.79723636363633</v>
      </c>
      <c r="AE15" s="139">
        <f>$F15/(1-$D$4-$AE$9)</f>
        <v>96.77199999999999</v>
      </c>
      <c r="AF15" s="140">
        <f>AE15*$D$4</f>
        <v>24.192999999999998</v>
      </c>
      <c r="AG15" s="141">
        <f>AE15-$F15-AF15</f>
        <v>14.515799999999999</v>
      </c>
      <c r="AH15" s="44">
        <f>AG15/AE15</f>
        <v>0.15</v>
      </c>
      <c r="AI15" s="139">
        <f>AE15*$D$6</f>
        <v>135.4808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0" t="n">
        <v>1.134046875</v>
      </c>
      <c r="F16" s="131">
        <f>IF(AND(ISNUMBER(E16),ISNUMBER($D$8)),E16*$D$3,NA())</f>
        <v>58.063199999999995</v>
      </c>
      <c r="G16" s="132">
        <f>F16/$D$8</f>
        <v>145.158</v>
      </c>
      <c r="H16" s="133">
        <f>G16*$D$4</f>
        <v>36.2895</v>
      </c>
      <c r="I16" s="134">
        <f>G16-F16-H16</f>
        <v>50.805299999999995</v>
      </c>
      <c r="J16" s="13">
        <f>I16/G16</f>
        <v>0.35</v>
      </c>
      <c r="K16" s="135">
        <f>G16*$D$6</f>
        <v>203.22119999999998</v>
      </c>
      <c r="L16" s="136">
        <f>F16/(1-$D$4)</f>
        <v>77.4176</v>
      </c>
      <c r="M16" s="136">
        <f>L16*$D$6</f>
        <v>108.38463999999999</v>
      </c>
      <c r="N16" s="137">
        <f>G16-F16</f>
        <v>87.09479999999999</v>
      </c>
      <c r="O16" s="138">
        <f>N16-H16</f>
        <v>50.805299999999995</v>
      </c>
      <c r="P16" s="139">
        <f>$F16/(1-$D$4-$P$9)</f>
        <v>129.0293333333333</v>
      </c>
      <c r="Q16" s="140">
        <f>P16*$D$4</f>
        <v>32.25733333333333</v>
      </c>
      <c r="R16" s="141">
        <f>P16-$F16-Q16</f>
        <v>38.70879999999999</v>
      </c>
      <c r="S16" s="44">
        <f>R16/P16</f>
        <v>0.3</v>
      </c>
      <c r="T16" s="139">
        <f>P16*$D$6</f>
        <v>180.64106666666663</v>
      </c>
      <c r="U16" s="139">
        <f>$F16/(1-$D$4-$U$9)</f>
        <v>116.12639999999999</v>
      </c>
      <c r="V16" s="140">
        <f>U16*$D$4</f>
        <v>29.031599999999997</v>
      </c>
      <c r="W16" s="141">
        <f>U16-$F16-V16</f>
        <v>29.031599999999997</v>
      </c>
      <c r="X16" s="44">
        <f>W16/U16</f>
        <v>0.25</v>
      </c>
      <c r="Y16" s="139">
        <f>U16*$D$6</f>
        <v>162.57695999999999</v>
      </c>
      <c r="Z16" s="139">
        <f>$F16/(1-$D$4-$Z$9)</f>
        <v>105.56945454545453</v>
      </c>
      <c r="AA16" s="140">
        <f>Z16*$D$4</f>
        <v>26.392363636363633</v>
      </c>
      <c r="AB16" s="141">
        <f>Z16-$F16-AA16</f>
        <v>21.113890909090905</v>
      </c>
      <c r="AC16" s="44">
        <f>AB16/Z16</f>
        <v>0.19999999999999998</v>
      </c>
      <c r="AD16" s="139">
        <f>Z16*$D$6</f>
        <v>147.79723636363633</v>
      </c>
      <c r="AE16" s="139">
        <f>$F16/(1-$D$4-$AE$9)</f>
        <v>96.77199999999999</v>
      </c>
      <c r="AF16" s="140">
        <f>AE16*$D$4</f>
        <v>24.192999999999998</v>
      </c>
      <c r="AG16" s="141">
        <f>AE16-$F16-AF16</f>
        <v>14.515799999999999</v>
      </c>
      <c r="AH16" s="44">
        <f>AG16/AE16</f>
        <v>0.15</v>
      </c>
      <c r="AI16" s="139">
        <f>AE16*$D$6</f>
        <v>135.4808</v>
      </c>
    </row>
    <row r="19" ht="28.05" customHeight="1">
      <c r="A19" s="27" t="n"/>
      <c r="B19" s="143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4" t="inlineStr">
        <is>
          <t>Що рахуємо</t>
        </is>
      </c>
      <c r="D21" s="144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5" t="n"/>
      <c r="D22" s="86" t="inlineStr">
        <is>
          <t>Із Self-Cost</t>
        </is>
      </c>
      <c r="E22" s="145" t="n"/>
      <c r="F22" s="146">
        <f>E11</f>
        <v>1.308515625</v>
      </c>
      <c r="G22" s="146">
        <f>E12</f>
        <v>1.308515625</v>
      </c>
      <c r="H22" s="146">
        <f>E13</f>
        <v>1.134046875</v>
      </c>
      <c r="I22" s="146">
        <f>E14</f>
        <v>1.134046875</v>
      </c>
      <c r="J22" s="146">
        <f>E15</f>
        <v>1.134046875</v>
      </c>
      <c r="K22" s="146">
        <f>E16</f>
        <v>1.134046875</v>
      </c>
    </row>
    <row r="23" ht="31.05" customHeight="1">
      <c r="A23" s="85" t="n">
        <v>2</v>
      </c>
      <c r="B23" s="85" t="inlineStr">
        <is>
          <t>Курс, грн/EUR</t>
        </is>
      </c>
      <c r="C23" s="145" t="n"/>
      <c r="D23" s="86" t="inlineStr">
        <is>
          <t>Умова в D3</t>
        </is>
      </c>
      <c r="E23" s="145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5" t="n"/>
      <c r="D24" s="86" t="inlineStr">
        <is>
          <t>Крок 1 × крок 2</t>
        </is>
      </c>
      <c r="E24" s="145" t="n"/>
      <c r="F24" s="147">
        <f>F11</f>
        <v>66.99600000000001</v>
      </c>
      <c r="G24" s="147">
        <f>F12</f>
        <v>66.99600000000001</v>
      </c>
      <c r="H24" s="147">
        <f>F13</f>
        <v>58.063199999999995</v>
      </c>
      <c r="I24" s="147">
        <f>F14</f>
        <v>58.063199999999995</v>
      </c>
      <c r="J24" s="147">
        <f>F15</f>
        <v>58.063199999999995</v>
      </c>
      <c r="K24" s="147">
        <f>F16</f>
        <v>58.063199999999995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5" t="n"/>
      <c r="D25" s="86" t="inlineStr">
        <is>
          <t>База для всіх відсотків</t>
        </is>
      </c>
      <c r="E25" s="145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5" t="n"/>
      <c r="D26" s="86" t="inlineStr">
        <is>
          <t>Умова в D4</t>
        </is>
      </c>
      <c r="E26" s="145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5" t="n"/>
      <c r="D27" s="86" t="inlineStr">
        <is>
          <t>Крок 4 − крок 5</t>
        </is>
      </c>
      <c r="E27" s="145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5" t="n"/>
      <c r="D28" s="86" t="inlineStr">
        <is>
          <t>Умова в D5</t>
        </is>
      </c>
      <c r="E28" s="145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5" t="n"/>
      <c r="D29" s="86" t="inlineStr">
        <is>
          <t>Крок 6 − крок 7</t>
        </is>
      </c>
      <c r="E29" s="145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5" t="n"/>
      <c r="D30" s="90" t="inlineStr">
        <is>
          <t>Крок 3 ÷ крок 8</t>
        </is>
      </c>
      <c r="E30" s="145" t="n"/>
      <c r="F30" s="148">
        <f>G11</f>
        <v>167.49</v>
      </c>
      <c r="G30" s="148">
        <f>G12</f>
        <v>167.49</v>
      </c>
      <c r="H30" s="148">
        <f>G13</f>
        <v>145.158</v>
      </c>
      <c r="I30" s="148">
        <f>G14</f>
        <v>145.158</v>
      </c>
      <c r="J30" s="148">
        <f>G15</f>
        <v>145.158</v>
      </c>
      <c r="K30" s="148">
        <f>G16</f>
        <v>145.158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5" t="n"/>
      <c r="D31" s="86" t="inlineStr">
        <is>
          <t>Крок 9 − крок 3</t>
        </is>
      </c>
      <c r="E31" s="145" t="n"/>
      <c r="F31" s="147">
        <f>N11</f>
        <v>100.494</v>
      </c>
      <c r="G31" s="147">
        <f>N12</f>
        <v>100.494</v>
      </c>
      <c r="H31" s="147">
        <f>N13</f>
        <v>87.09479999999999</v>
      </c>
      <c r="I31" s="147">
        <f>N14</f>
        <v>87.09479999999999</v>
      </c>
      <c r="J31" s="147">
        <f>N15</f>
        <v>87.09479999999999</v>
      </c>
      <c r="K31" s="147">
        <f>N16</f>
        <v>87.09479999999999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5" t="n"/>
      <c r="D32" s="86" t="inlineStr">
        <is>
          <t>Крок 9 × крок 5</t>
        </is>
      </c>
      <c r="E32" s="145" t="n"/>
      <c r="F32" s="147">
        <f>H11</f>
        <v>41.8725</v>
      </c>
      <c r="G32" s="147">
        <f>H12</f>
        <v>41.8725</v>
      </c>
      <c r="H32" s="147">
        <f>H13</f>
        <v>36.2895</v>
      </c>
      <c r="I32" s="147">
        <f>H14</f>
        <v>36.2895</v>
      </c>
      <c r="J32" s="147">
        <f>H15</f>
        <v>36.2895</v>
      </c>
      <c r="K32" s="147">
        <f>H16</f>
        <v>36.2895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5" t="n"/>
      <c r="D33" s="92" t="inlineStr">
        <is>
          <t>Крок 10 − крок 11</t>
        </is>
      </c>
      <c r="E33" s="145" t="n"/>
      <c r="F33" s="149">
        <f>I11</f>
        <v>58.6215</v>
      </c>
      <c r="G33" s="149">
        <f>I12</f>
        <v>58.6215</v>
      </c>
      <c r="H33" s="149">
        <f>I13</f>
        <v>50.805299999999995</v>
      </c>
      <c r="I33" s="149">
        <f>I14</f>
        <v>50.805299999999995</v>
      </c>
      <c r="J33" s="149">
        <f>I15</f>
        <v>50.805299999999995</v>
      </c>
      <c r="K33" s="149">
        <f>I16</f>
        <v>50.805299999999995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5" t="n"/>
      <c r="D34" s="92" t="inlineStr">
        <is>
          <t>Крок 12 ÷ крок 9</t>
        </is>
      </c>
      <c r="E34" s="145" t="n"/>
      <c r="F34" s="38">
        <f>J11</f>
        <v>0.35</v>
      </c>
      <c r="G34" s="38">
        <f>J12</f>
        <v>0.35</v>
      </c>
      <c r="H34" s="38">
        <f>J13</f>
        <v>0.35</v>
      </c>
      <c r="I34" s="38">
        <f>J14</f>
        <v>0.35</v>
      </c>
      <c r="J34" s="38">
        <f>J15</f>
        <v>0.35</v>
      </c>
      <c r="K34" s="38">
        <f>J16</f>
        <v>0.35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5" t="n"/>
      <c r="D35" s="86" t="inlineStr">
        <is>
          <t>Множник D6 − 1</t>
        </is>
      </c>
      <c r="E35" s="145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5" t="n"/>
      <c r="D36" s="86" t="inlineStr">
        <is>
          <t>1 + крок 14</t>
        </is>
      </c>
      <c r="E36" s="145" t="n"/>
      <c r="F36" s="150">
        <f>$D$6</f>
        <v>1.4</v>
      </c>
      <c r="G36" s="150">
        <f>$D$6</f>
        <v>1.4</v>
      </c>
      <c r="H36" s="150">
        <f>$D$6</f>
        <v>1.4</v>
      </c>
      <c r="I36" s="150">
        <f>$D$6</f>
        <v>1.4</v>
      </c>
      <c r="J36" s="150">
        <f>$D$6</f>
        <v>1.4</v>
      </c>
      <c r="K36" s="150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5" t="n"/>
      <c r="D37" s="90" t="inlineStr">
        <is>
          <t>Крок 9 × крок 15</t>
        </is>
      </c>
      <c r="E37" s="145" t="n"/>
      <c r="F37" s="148">
        <f>K11</f>
        <v>234.486</v>
      </c>
      <c r="G37" s="148">
        <f>K12</f>
        <v>234.486</v>
      </c>
      <c r="H37" s="148">
        <f>K13</f>
        <v>203.22119999999998</v>
      </c>
      <c r="I37" s="148">
        <f>K14</f>
        <v>203.22119999999998</v>
      </c>
      <c r="J37" s="148">
        <f>K15</f>
        <v>203.22119999999998</v>
      </c>
      <c r="K37" s="148">
        <f>K16</f>
        <v>203.22119999999998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5" t="n"/>
      <c r="D38" s="86" t="inlineStr">
        <is>
          <t>Крок 3 ÷ крок 6</t>
        </is>
      </c>
      <c r="E38" s="145" t="n"/>
      <c r="F38" s="147">
        <f>L11</f>
        <v>89.32800000000002</v>
      </c>
      <c r="G38" s="147">
        <f>L12</f>
        <v>89.32800000000002</v>
      </c>
      <c r="H38" s="147">
        <f>L13</f>
        <v>77.4176</v>
      </c>
      <c r="I38" s="147">
        <f>L14</f>
        <v>77.4176</v>
      </c>
      <c r="J38" s="147">
        <f>L15</f>
        <v>77.4176</v>
      </c>
      <c r="K38" s="147">
        <f>L16</f>
        <v>77.4176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5" t="n"/>
      <c r="D39" s="86" t="inlineStr">
        <is>
          <t>Крок 17 × крок 15</t>
        </is>
      </c>
      <c r="E39" s="145" t="n"/>
      <c r="F39" s="147">
        <f>M11</f>
        <v>125.05920000000002</v>
      </c>
      <c r="G39" s="147">
        <f>M12</f>
        <v>125.05920000000002</v>
      </c>
      <c r="H39" s="147">
        <f>M13</f>
        <v>108.38463999999999</v>
      </c>
      <c r="I39" s="147">
        <f>M14</f>
        <v>108.38463999999999</v>
      </c>
      <c r="J39" s="147">
        <f>M15</f>
        <v>108.38463999999999</v>
      </c>
      <c r="K39" s="147">
        <f>M16</f>
        <v>108.38463999999999</v>
      </c>
    </row>
  </sheetData>
  <mergeCells count="73">
    <mergeCell ref="L2:M2"/>
    <mergeCell ref="U9:Y9"/>
    <mergeCell ref="Z9:AD9"/>
    <mergeCell ref="L7:M7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L3:M3"/>
    <mergeCell ref="B21:C21"/>
    <mergeCell ref="B2:C2"/>
    <mergeCell ref="A9:D9"/>
    <mergeCell ref="G9:J9"/>
    <mergeCell ref="N3:O3"/>
    <mergeCell ref="D35:E35"/>
    <mergeCell ref="E3:K3"/>
    <mergeCell ref="D27:E27"/>
    <mergeCell ref="N2:O2"/>
    <mergeCell ref="B23:C23"/>
    <mergeCell ref="D32:E32"/>
    <mergeCell ref="L5:M5"/>
    <mergeCell ref="D26:E26"/>
    <mergeCell ref="N5:O5"/>
    <mergeCell ref="B8:C8"/>
    <mergeCell ref="E9:F9"/>
    <mergeCell ref="E5:K5"/>
    <mergeCell ref="B38:C38"/>
    <mergeCell ref="E8:K8"/>
    <mergeCell ref="B29:C29"/>
    <mergeCell ref="L4:M4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L6:M6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  <mergeCell ref="N4:O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J11" activePane="bottomRight" state="frozen"/>
      <selection activeCell="T11" sqref="T11"/>
      <selection pane="topRight" activeCell="T11" sqref="T11"/>
      <selection pane="bottomLeft" activeCell="T11" sqref="T11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33 палет / Full Truck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33 палети</t>
        </is>
      </c>
      <c r="E2" s="82" t="inlineStr">
        <is>
          <t>Готова СС із Self-Cost_Sias: AJ30:AJ35. Склад СС збережено.</t>
        </is>
      </c>
      <c r="F2" s="123" t="n"/>
      <c r="G2" s="123" t="n"/>
      <c r="H2" s="123" t="n"/>
      <c r="I2" s="123" t="n"/>
      <c r="J2" s="123" t="n"/>
      <c r="K2" s="122" t="n"/>
      <c r="L2" s="7" t="n"/>
      <c r="M2" s="121" t="n"/>
      <c r="N2" s="7" t="n"/>
      <c r="O2" s="121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7" t="n"/>
      <c r="M3" s="121" t="n"/>
      <c r="N3" s="7" t="n"/>
      <c r="O3" s="121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7" t="n"/>
      <c r="M4" s="121" t="n"/>
      <c r="N4" s="7" t="n"/>
      <c r="O4" s="121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7" t="n"/>
      <c r="M5" s="121" t="n"/>
      <c r="N5" s="7" t="n"/>
      <c r="O5" s="121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7" t="n"/>
      <c r="M6" s="121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7" t="n"/>
      <c r="M7" s="121" t="n"/>
    </row>
    <row r="8" ht="30" customFormat="1" customHeight="1" s="21">
      <c r="B8" s="80" t="inlineStr">
        <is>
          <t>Частка ціни для собівартості</t>
        </is>
      </c>
      <c r="C8" s="124" t="n"/>
      <c r="D8" s="24">
        <f>IF(AND(COUNT(D3:D6)=4,D3&gt;0,D4&gt;=0,D5&gt;=0,D4+D5&lt;1,D6&gt;0),1-D4-D5,NA())</f>
        <v>0.4</v>
      </c>
      <c r="E8" s="125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6" t="n">
        <v>0.3</v>
      </c>
      <c r="Q9" s="127" t="n"/>
      <c r="R9" s="127" t="n"/>
      <c r="S9" s="127" t="n"/>
      <c r="T9" s="128" t="n"/>
      <c r="U9" s="129" t="n">
        <v>0.25</v>
      </c>
      <c r="V9" s="127" t="n"/>
      <c r="W9" s="127" t="n"/>
      <c r="X9" s="127" t="n"/>
      <c r="Y9" s="128" t="n"/>
      <c r="Z9" s="126" t="n">
        <v>0.2</v>
      </c>
      <c r="AA9" s="127" t="n"/>
      <c r="AB9" s="127" t="n"/>
      <c r="AC9" s="127" t="n"/>
      <c r="AD9" s="128" t="n"/>
      <c r="AE9" s="129" t="n">
        <v>0.15</v>
      </c>
      <c r="AF9" s="127" t="n"/>
      <c r="AG9" s="127" t="n"/>
      <c r="AH9" s="127" t="n"/>
      <c r="AI9" s="128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0" t="n">
        <v>1.018131154266958</v>
      </c>
      <c r="F11" s="131">
        <f>IF(AND(ISNUMBER(E11),ISNUMBER($D$8)),E11*$D$3,NA())</f>
        <v>52.12831509846825</v>
      </c>
      <c r="G11" s="132">
        <f>F11/$D$8</f>
        <v>130.32078774617062</v>
      </c>
      <c r="H11" s="133">
        <f>G11*$D$4</f>
        <v>32.580196936542656</v>
      </c>
      <c r="I11" s="134">
        <f>G11-F11-H11</f>
        <v>45.61227571115972</v>
      </c>
      <c r="J11" s="13">
        <f>I11/G11</f>
        <v>0.35</v>
      </c>
      <c r="K11" s="135">
        <f>G11*$D$6</f>
        <v>182.44910284463887</v>
      </c>
      <c r="L11" s="136">
        <f>F11/(1-$D$4)</f>
        <v>69.504420131291</v>
      </c>
      <c r="M11" s="136">
        <f>L11*$D$6</f>
        <v>97.3061881838074</v>
      </c>
      <c r="N11" s="137">
        <f>G11-F11</f>
        <v>78.19247264770237</v>
      </c>
      <c r="O11" s="138">
        <f>N11-H11</f>
        <v>45.61227571115972</v>
      </c>
      <c r="P11" s="139">
        <f>$F11/(1-$D$4-$P$9)</f>
        <v>115.84070021881833</v>
      </c>
      <c r="Q11" s="140">
        <f>P11*$D$4</f>
        <v>28.96017505470458</v>
      </c>
      <c r="R11" s="141">
        <f>P11-$F11-Q11</f>
        <v>34.7522100656455</v>
      </c>
      <c r="S11" s="44">
        <f>R11/P11</f>
        <v>0.3</v>
      </c>
      <c r="T11" s="139">
        <f>P11*$D$6</f>
        <v>162.17698030634565</v>
      </c>
      <c r="U11" s="139">
        <f>$F11/(1-$D$4-$U$9)</f>
        <v>104.2566301969365</v>
      </c>
      <c r="V11" s="140">
        <f>U11*$D$4</f>
        <v>26.064157549234125</v>
      </c>
      <c r="W11" s="141">
        <f>U11-$F11-V11</f>
        <v>26.064157549234125</v>
      </c>
      <c r="X11" s="44">
        <f>W11/U11</f>
        <v>0.25</v>
      </c>
      <c r="Y11" s="139">
        <f>U11*$D$6</f>
        <v>145.95928227571108</v>
      </c>
      <c r="Z11" s="139">
        <f>$F11/(1-$D$4-$Z$9)</f>
        <v>94.77875472448771</v>
      </c>
      <c r="AA11" s="140">
        <f>Z11*$D$4</f>
        <v>23.694688681121928</v>
      </c>
      <c r="AB11" s="141">
        <f>Z11-$F11-AA11</f>
        <v>18.955750944897535</v>
      </c>
      <c r="AC11" s="44">
        <f>AB11/Z11</f>
        <v>0.19999999999999993</v>
      </c>
      <c r="AD11" s="139">
        <f>Z11*$D$6</f>
        <v>132.6902566142828</v>
      </c>
      <c r="AE11" s="139">
        <f>$F11/(1-$D$4-$AE$9)</f>
        <v>86.88052516411375</v>
      </c>
      <c r="AF11" s="140">
        <f>AE11*$D$4</f>
        <v>21.720131291028437</v>
      </c>
      <c r="AG11" s="141">
        <f>AE11-$F11-AF11</f>
        <v>13.032078774617062</v>
      </c>
      <c r="AH11" s="44">
        <f>AG11/AE11</f>
        <v>0.15</v>
      </c>
      <c r="AI11" s="139">
        <f>AE11*$D$6</f>
        <v>121.63273522975923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0" t="n">
        <v>1.018131154266958</v>
      </c>
      <c r="F12" s="131">
        <f>IF(AND(ISNUMBER(E12),ISNUMBER($D$8)),E12*$D$3,NA())</f>
        <v>52.12831509846825</v>
      </c>
      <c r="G12" s="132">
        <f>F12/$D$8</f>
        <v>130.32078774617062</v>
      </c>
      <c r="H12" s="133">
        <f>G12*$D$4</f>
        <v>32.580196936542656</v>
      </c>
      <c r="I12" s="134">
        <f>G12-F12-H12</f>
        <v>45.61227571115972</v>
      </c>
      <c r="J12" s="13">
        <f>I12/G12</f>
        <v>0.35</v>
      </c>
      <c r="K12" s="135">
        <f>G12*$D$6</f>
        <v>182.44910284463887</v>
      </c>
      <c r="L12" s="136">
        <f>F12/(1-$D$4)</f>
        <v>69.504420131291</v>
      </c>
      <c r="M12" s="136">
        <f>L12*$D$6</f>
        <v>97.3061881838074</v>
      </c>
      <c r="N12" s="137">
        <f>G12-F12</f>
        <v>78.19247264770237</v>
      </c>
      <c r="O12" s="138">
        <f>N12-H12</f>
        <v>45.61227571115972</v>
      </c>
      <c r="P12" s="139">
        <f>$F12/(1-$D$4-$P$9)</f>
        <v>115.84070021881833</v>
      </c>
      <c r="Q12" s="140">
        <f>P12*$D$4</f>
        <v>28.96017505470458</v>
      </c>
      <c r="R12" s="141">
        <f>P12-$F12-Q12</f>
        <v>34.7522100656455</v>
      </c>
      <c r="S12" s="44">
        <f>R12/P12</f>
        <v>0.3</v>
      </c>
      <c r="T12" s="139">
        <f>P12*$D$6</f>
        <v>162.17698030634565</v>
      </c>
      <c r="U12" s="139">
        <f>$F12/(1-$D$4-$U$9)</f>
        <v>104.2566301969365</v>
      </c>
      <c r="V12" s="140">
        <f>U12*$D$4</f>
        <v>26.064157549234125</v>
      </c>
      <c r="W12" s="141">
        <f>U12-$F12-V12</f>
        <v>26.064157549234125</v>
      </c>
      <c r="X12" s="44">
        <f>W12/U12</f>
        <v>0.25</v>
      </c>
      <c r="Y12" s="139">
        <f>U12*$D$6</f>
        <v>145.95928227571108</v>
      </c>
      <c r="Z12" s="139">
        <f>$F12/(1-$D$4-$Z$9)</f>
        <v>94.77875472448771</v>
      </c>
      <c r="AA12" s="140">
        <f>Z12*$D$4</f>
        <v>23.694688681121928</v>
      </c>
      <c r="AB12" s="141">
        <f>Z12-$F12-AA12</f>
        <v>18.955750944897535</v>
      </c>
      <c r="AC12" s="44">
        <f>AB12/Z12</f>
        <v>0.19999999999999993</v>
      </c>
      <c r="AD12" s="139">
        <f>Z12*$D$6</f>
        <v>132.6902566142828</v>
      </c>
      <c r="AE12" s="139">
        <f>$F12/(1-$D$4-$AE$9)</f>
        <v>86.88052516411375</v>
      </c>
      <c r="AF12" s="140">
        <f>AE12*$D$4</f>
        <v>21.720131291028437</v>
      </c>
      <c r="AG12" s="141">
        <f>AE12-$F12-AF12</f>
        <v>13.032078774617062</v>
      </c>
      <c r="AH12" s="44">
        <f>AG12/AE12</f>
        <v>0.15</v>
      </c>
      <c r="AI12" s="139">
        <f>AE12*$D$6</f>
        <v>121.63273522975923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0" t="n">
        <v>0.8823803336980306</v>
      </c>
      <c r="F13" s="131">
        <f>IF(AND(ISNUMBER(E13),ISNUMBER($D$8)),E13*$D$3,NA())</f>
        <v>45.17787308533919</v>
      </c>
      <c r="G13" s="132">
        <f>F13/$D$8</f>
        <v>112.94468271334797</v>
      </c>
      <c r="H13" s="133">
        <f>G13*$D$4</f>
        <v>28.236170678336993</v>
      </c>
      <c r="I13" s="134">
        <f>G13-F13-H13</f>
        <v>39.5306389496718</v>
      </c>
      <c r="J13" s="13">
        <f>I13/G13</f>
        <v>0.35000000000000003</v>
      </c>
      <c r="K13" s="135">
        <f>G13*$D$6</f>
        <v>158.12255579868716</v>
      </c>
      <c r="L13" s="136">
        <f>F13/(1-$D$4)</f>
        <v>60.23716411378559</v>
      </c>
      <c r="M13" s="136">
        <f>L13*$D$6</f>
        <v>84.33202975929981</v>
      </c>
      <c r="N13" s="137">
        <f>G13-F13</f>
        <v>67.76680962800879</v>
      </c>
      <c r="O13" s="138">
        <f>N13-H13</f>
        <v>39.5306389496718</v>
      </c>
      <c r="P13" s="139">
        <f>$F13/(1-$D$4-$P$9)</f>
        <v>100.39527352297598</v>
      </c>
      <c r="Q13" s="140">
        <f>P13*$D$4</f>
        <v>25.098818380743996</v>
      </c>
      <c r="R13" s="141">
        <f>P13-$F13-Q13</f>
        <v>30.118582056892794</v>
      </c>
      <c r="S13" s="44">
        <f>R13/P13</f>
        <v>0.3</v>
      </c>
      <c r="T13" s="139">
        <f>P13*$D$6</f>
        <v>140.55338293216636</v>
      </c>
      <c r="U13" s="139">
        <f>$F13/(1-$D$4-$U$9)</f>
        <v>90.35574617067839</v>
      </c>
      <c r="V13" s="140">
        <f>U13*$D$4</f>
        <v>22.588936542669597</v>
      </c>
      <c r="W13" s="141">
        <f>U13-$F13-V13</f>
        <v>22.588936542669597</v>
      </c>
      <c r="X13" s="44">
        <f>W13/U13</f>
        <v>0.25</v>
      </c>
      <c r="Y13" s="139">
        <f>U13*$D$6</f>
        <v>126.49804463894974</v>
      </c>
      <c r="Z13" s="139">
        <f>$F13/(1-$D$4-$Z$9)</f>
        <v>82.14158742788943</v>
      </c>
      <c r="AA13" s="140">
        <f>Z13*$D$4</f>
        <v>20.53539685697236</v>
      </c>
      <c r="AB13" s="141">
        <f>Z13-$F13-AA13</f>
        <v>16.42831748557788</v>
      </c>
      <c r="AC13" s="44">
        <f>AB13/Z13</f>
        <v>0.19999999999999993</v>
      </c>
      <c r="AD13" s="139">
        <f>Z13*$D$6</f>
        <v>114.9982223990452</v>
      </c>
      <c r="AE13" s="139">
        <f>$F13/(1-$D$4-$AE$9)</f>
        <v>75.29645514223199</v>
      </c>
      <c r="AF13" s="140">
        <f>AE13*$D$4</f>
        <v>18.824113785557998</v>
      </c>
      <c r="AG13" s="141">
        <f>AE13-$F13-AF13</f>
        <v>11.2944682713348</v>
      </c>
      <c r="AH13" s="44">
        <f>AG13/AE13</f>
        <v>0.15000000000000002</v>
      </c>
      <c r="AI13" s="139">
        <f>AE13*$D$6</f>
        <v>105.41503719912478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2" t="n">
        <v>112.5</v>
      </c>
      <c r="E14" s="130" t="n">
        <v>0.8823803336980306</v>
      </c>
      <c r="F14" s="131">
        <f>IF(AND(ISNUMBER(E14),ISNUMBER($D$8)),E14*$D$3,NA())</f>
        <v>45.17787308533919</v>
      </c>
      <c r="G14" s="132">
        <f>F14/$D$8</f>
        <v>112.94468271334797</v>
      </c>
      <c r="H14" s="133">
        <f>G14*$D$4</f>
        <v>28.236170678336993</v>
      </c>
      <c r="I14" s="134">
        <f>G14-F14-H14</f>
        <v>39.5306389496718</v>
      </c>
      <c r="J14" s="13">
        <f>I14/G14</f>
        <v>0.35000000000000003</v>
      </c>
      <c r="K14" s="135">
        <f>G14*$D$6</f>
        <v>158.12255579868716</v>
      </c>
      <c r="L14" s="136">
        <f>F14/(1-$D$4)</f>
        <v>60.23716411378559</v>
      </c>
      <c r="M14" s="136">
        <f>L14*$D$6</f>
        <v>84.33202975929981</v>
      </c>
      <c r="N14" s="137">
        <f>G14-F14</f>
        <v>67.76680962800879</v>
      </c>
      <c r="O14" s="138">
        <f>N14-H14</f>
        <v>39.5306389496718</v>
      </c>
      <c r="P14" s="139">
        <f>$F14/(1-$D$4-$P$9)</f>
        <v>100.39527352297598</v>
      </c>
      <c r="Q14" s="140">
        <f>P14*$D$4</f>
        <v>25.098818380743996</v>
      </c>
      <c r="R14" s="141">
        <f>P14-$F14-Q14</f>
        <v>30.118582056892794</v>
      </c>
      <c r="S14" s="44">
        <f>R14/P14</f>
        <v>0.3</v>
      </c>
      <c r="T14" s="139">
        <f>P14*$D$6</f>
        <v>140.55338293216636</v>
      </c>
      <c r="U14" s="139">
        <f>$F14/(1-$D$4-$U$9)</f>
        <v>90.35574617067839</v>
      </c>
      <c r="V14" s="140">
        <f>U14*$D$4</f>
        <v>22.588936542669597</v>
      </c>
      <c r="W14" s="141">
        <f>U14-$F14-V14</f>
        <v>22.588936542669597</v>
      </c>
      <c r="X14" s="44">
        <f>W14/U14</f>
        <v>0.25</v>
      </c>
      <c r="Y14" s="139">
        <f>U14*$D$6</f>
        <v>126.49804463894974</v>
      </c>
      <c r="Z14" s="139">
        <f>$F14/(1-$D$4-$Z$9)</f>
        <v>82.14158742788943</v>
      </c>
      <c r="AA14" s="140">
        <f>Z14*$D$4</f>
        <v>20.53539685697236</v>
      </c>
      <c r="AB14" s="141">
        <f>Z14-$F14-AA14</f>
        <v>16.42831748557788</v>
      </c>
      <c r="AC14" s="44">
        <f>AB14/Z14</f>
        <v>0.19999999999999993</v>
      </c>
      <c r="AD14" s="139">
        <f>Z14*$D$6</f>
        <v>114.9982223990452</v>
      </c>
      <c r="AE14" s="139">
        <f>$F14/(1-$D$4-$AE$9)</f>
        <v>75.29645514223199</v>
      </c>
      <c r="AF14" s="140">
        <f>AE14*$D$4</f>
        <v>18.824113785557998</v>
      </c>
      <c r="AG14" s="141">
        <f>AE14-$F14-AF14</f>
        <v>11.2944682713348</v>
      </c>
      <c r="AH14" s="44">
        <f>AG14/AE14</f>
        <v>0.15000000000000002</v>
      </c>
      <c r="AI14" s="139">
        <f>AE14*$D$6</f>
        <v>105.41503719912478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0" t="n">
        <v>0.8823803336980306</v>
      </c>
      <c r="F15" s="131">
        <f>IF(AND(ISNUMBER(E15),ISNUMBER($D$8)),E15*$D$3,NA())</f>
        <v>45.17787308533919</v>
      </c>
      <c r="G15" s="132">
        <f>F15/$D$8</f>
        <v>112.94468271334797</v>
      </c>
      <c r="H15" s="133">
        <f>G15*$D$4</f>
        <v>28.236170678336993</v>
      </c>
      <c r="I15" s="134">
        <f>G15-F15-H15</f>
        <v>39.5306389496718</v>
      </c>
      <c r="J15" s="13">
        <f>I15/G15</f>
        <v>0.35000000000000003</v>
      </c>
      <c r="K15" s="135">
        <f>G15*$D$6</f>
        <v>158.12255579868716</v>
      </c>
      <c r="L15" s="136">
        <f>F15/(1-$D$4)</f>
        <v>60.23716411378559</v>
      </c>
      <c r="M15" s="136">
        <f>L15*$D$6</f>
        <v>84.33202975929981</v>
      </c>
      <c r="N15" s="137">
        <f>G15-F15</f>
        <v>67.76680962800879</v>
      </c>
      <c r="O15" s="138">
        <f>N15-H15</f>
        <v>39.5306389496718</v>
      </c>
      <c r="P15" s="139">
        <f>$F15/(1-$D$4-$P$9)</f>
        <v>100.39527352297598</v>
      </c>
      <c r="Q15" s="140">
        <f>P15*$D$4</f>
        <v>25.098818380743996</v>
      </c>
      <c r="R15" s="141">
        <f>P15-$F15-Q15</f>
        <v>30.118582056892794</v>
      </c>
      <c r="S15" s="44">
        <f>R15/P15</f>
        <v>0.3</v>
      </c>
      <c r="T15" s="139">
        <f>P15*$D$6</f>
        <v>140.55338293216636</v>
      </c>
      <c r="U15" s="139">
        <f>$F15/(1-$D$4-$U$9)</f>
        <v>90.35574617067839</v>
      </c>
      <c r="V15" s="140">
        <f>U15*$D$4</f>
        <v>22.588936542669597</v>
      </c>
      <c r="W15" s="141">
        <f>U15-$F15-V15</f>
        <v>22.588936542669597</v>
      </c>
      <c r="X15" s="44">
        <f>W15/U15</f>
        <v>0.25</v>
      </c>
      <c r="Y15" s="139">
        <f>U15*$D$6</f>
        <v>126.49804463894974</v>
      </c>
      <c r="Z15" s="139">
        <f>$F15/(1-$D$4-$Z$9)</f>
        <v>82.14158742788943</v>
      </c>
      <c r="AA15" s="140">
        <f>Z15*$D$4</f>
        <v>20.53539685697236</v>
      </c>
      <c r="AB15" s="141">
        <f>Z15-$F15-AA15</f>
        <v>16.42831748557788</v>
      </c>
      <c r="AC15" s="44">
        <f>AB15/Z15</f>
        <v>0.19999999999999993</v>
      </c>
      <c r="AD15" s="139">
        <f>Z15*$D$6</f>
        <v>114.9982223990452</v>
      </c>
      <c r="AE15" s="139">
        <f>$F15/(1-$D$4-$AE$9)</f>
        <v>75.29645514223199</v>
      </c>
      <c r="AF15" s="140">
        <f>AE15*$D$4</f>
        <v>18.824113785557998</v>
      </c>
      <c r="AG15" s="141">
        <f>AE15-$F15-AF15</f>
        <v>11.2944682713348</v>
      </c>
      <c r="AH15" s="44">
        <f>AG15/AE15</f>
        <v>0.15000000000000002</v>
      </c>
      <c r="AI15" s="139">
        <f>AE15*$D$6</f>
        <v>105.41503719912478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0" t="n">
        <v>0.8823803336980306</v>
      </c>
      <c r="F16" s="131">
        <f>IF(AND(ISNUMBER(E16),ISNUMBER($D$8)),E16*$D$3,NA())</f>
        <v>45.17787308533919</v>
      </c>
      <c r="G16" s="132">
        <f>F16/$D$8</f>
        <v>112.94468271334797</v>
      </c>
      <c r="H16" s="133">
        <f>G16*$D$4</f>
        <v>28.236170678336993</v>
      </c>
      <c r="I16" s="134">
        <f>G16-F16-H16</f>
        <v>39.5306389496718</v>
      </c>
      <c r="J16" s="13">
        <f>I16/G16</f>
        <v>0.35000000000000003</v>
      </c>
      <c r="K16" s="135">
        <f>G16*$D$6</f>
        <v>158.12255579868716</v>
      </c>
      <c r="L16" s="136">
        <f>F16/(1-$D$4)</f>
        <v>60.23716411378559</v>
      </c>
      <c r="M16" s="136">
        <f>L16*$D$6</f>
        <v>84.33202975929981</v>
      </c>
      <c r="N16" s="137">
        <f>G16-F16</f>
        <v>67.76680962800879</v>
      </c>
      <c r="O16" s="138">
        <f>N16-H16</f>
        <v>39.5306389496718</v>
      </c>
      <c r="P16" s="139">
        <f>$F16/(1-$D$4-$P$9)</f>
        <v>100.39527352297598</v>
      </c>
      <c r="Q16" s="140">
        <f>P16*$D$4</f>
        <v>25.098818380743996</v>
      </c>
      <c r="R16" s="141">
        <f>P16-$F16-Q16</f>
        <v>30.118582056892794</v>
      </c>
      <c r="S16" s="44">
        <f>R16/P16</f>
        <v>0.3</v>
      </c>
      <c r="T16" s="139">
        <f>P16*$D$6</f>
        <v>140.55338293216636</v>
      </c>
      <c r="U16" s="139">
        <f>$F16/(1-$D$4-$U$9)</f>
        <v>90.35574617067839</v>
      </c>
      <c r="V16" s="140">
        <f>U16*$D$4</f>
        <v>22.588936542669597</v>
      </c>
      <c r="W16" s="141">
        <f>U16-$F16-V16</f>
        <v>22.588936542669597</v>
      </c>
      <c r="X16" s="44">
        <f>W16/U16</f>
        <v>0.25</v>
      </c>
      <c r="Y16" s="139">
        <f>U16*$D$6</f>
        <v>126.49804463894974</v>
      </c>
      <c r="Z16" s="139">
        <f>$F16/(1-$D$4-$Z$9)</f>
        <v>82.14158742788943</v>
      </c>
      <c r="AA16" s="140">
        <f>Z16*$D$4</f>
        <v>20.53539685697236</v>
      </c>
      <c r="AB16" s="141">
        <f>Z16-$F16-AA16</f>
        <v>16.42831748557788</v>
      </c>
      <c r="AC16" s="44">
        <f>AB16/Z16</f>
        <v>0.19999999999999993</v>
      </c>
      <c r="AD16" s="139">
        <f>Z16*$D$6</f>
        <v>114.9982223990452</v>
      </c>
      <c r="AE16" s="139">
        <f>$F16/(1-$D$4-$AE$9)</f>
        <v>75.29645514223199</v>
      </c>
      <c r="AF16" s="140">
        <f>AE16*$D$4</f>
        <v>18.824113785557998</v>
      </c>
      <c r="AG16" s="141">
        <f>AE16-$F16-AF16</f>
        <v>11.2944682713348</v>
      </c>
      <c r="AH16" s="44">
        <f>AG16/AE16</f>
        <v>0.15000000000000002</v>
      </c>
      <c r="AI16" s="139">
        <f>AE16*$D$6</f>
        <v>105.41503719912478</v>
      </c>
    </row>
    <row r="19" ht="28.05" customHeight="1">
      <c r="A19" s="27" t="n"/>
      <c r="B19" s="143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4" t="inlineStr">
        <is>
          <t>Що рахуємо</t>
        </is>
      </c>
      <c r="D21" s="144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5" t="n"/>
      <c r="D22" s="86" t="inlineStr">
        <is>
          <t>Із Self-Cost</t>
        </is>
      </c>
      <c r="E22" s="145" t="n"/>
      <c r="F22" s="146">
        <f>E11</f>
        <v>1.018131154266958</v>
      </c>
      <c r="G22" s="146">
        <f>E12</f>
        <v>1.018131154266958</v>
      </c>
      <c r="H22" s="146">
        <f>E13</f>
        <v>0.882380333698031</v>
      </c>
      <c r="I22" s="146">
        <f>E14</f>
        <v>0.882380333698031</v>
      </c>
      <c r="J22" s="146">
        <f>E15</f>
        <v>0.882380333698031</v>
      </c>
      <c r="K22" s="146">
        <f>E16</f>
        <v>0.882380333698031</v>
      </c>
    </row>
    <row r="23" ht="31.05" customHeight="1">
      <c r="A23" s="85" t="n">
        <v>2</v>
      </c>
      <c r="B23" s="85" t="inlineStr">
        <is>
          <t>Курс, грн/EUR</t>
        </is>
      </c>
      <c r="C23" s="145" t="n"/>
      <c r="D23" s="86" t="inlineStr">
        <is>
          <t>Умова в D3</t>
        </is>
      </c>
      <c r="E23" s="145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5" t="n"/>
      <c r="D24" s="86" t="inlineStr">
        <is>
          <t>Крок 1 × крок 2</t>
        </is>
      </c>
      <c r="E24" s="145" t="n"/>
      <c r="F24" s="147">
        <f>F11</f>
        <v>52.12831509846825</v>
      </c>
      <c r="G24" s="147">
        <f>F12</f>
        <v>52.12831509846825</v>
      </c>
      <c r="H24" s="147">
        <f>F13</f>
        <v>45.17787308533919</v>
      </c>
      <c r="I24" s="147">
        <f>F14</f>
        <v>45.17787308533919</v>
      </c>
      <c r="J24" s="147">
        <f>F15</f>
        <v>45.17787308533919</v>
      </c>
      <c r="K24" s="147">
        <f>F16</f>
        <v>45.17787308533919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5" t="n"/>
      <c r="D25" s="86" t="inlineStr">
        <is>
          <t>База для всіх відсотків</t>
        </is>
      </c>
      <c r="E25" s="145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5" t="n"/>
      <c r="D26" s="86" t="inlineStr">
        <is>
          <t>Умова в D4</t>
        </is>
      </c>
      <c r="E26" s="145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5" t="n"/>
      <c r="D27" s="86" t="inlineStr">
        <is>
          <t>Крок 4 − крок 5</t>
        </is>
      </c>
      <c r="E27" s="145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5" t="n"/>
      <c r="D28" s="86" t="inlineStr">
        <is>
          <t>Умова в D5</t>
        </is>
      </c>
      <c r="E28" s="145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5" t="n"/>
      <c r="D29" s="86" t="inlineStr">
        <is>
          <t>Крок 6 − крок 7</t>
        </is>
      </c>
      <c r="E29" s="145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5" t="n"/>
      <c r="D30" s="90" t="inlineStr">
        <is>
          <t>Крок 3 ÷ крок 8</t>
        </is>
      </c>
      <c r="E30" s="145" t="n"/>
      <c r="F30" s="148">
        <f>G11</f>
        <v>130.32078774617062</v>
      </c>
      <c r="G30" s="148">
        <f>G12</f>
        <v>130.32078774617062</v>
      </c>
      <c r="H30" s="148">
        <f>G13</f>
        <v>112.94468271334797</v>
      </c>
      <c r="I30" s="148">
        <f>G14</f>
        <v>112.94468271334797</v>
      </c>
      <c r="J30" s="148">
        <f>G15</f>
        <v>112.94468271334797</v>
      </c>
      <c r="K30" s="148">
        <f>G16</f>
        <v>112.94468271334797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5" t="n"/>
      <c r="D31" s="86" t="inlineStr">
        <is>
          <t>Крок 9 − крок 3</t>
        </is>
      </c>
      <c r="E31" s="145" t="n"/>
      <c r="F31" s="147">
        <f>N11</f>
        <v>78.19247264770237</v>
      </c>
      <c r="G31" s="147">
        <f>N12</f>
        <v>78.19247264770237</v>
      </c>
      <c r="H31" s="147">
        <f>N13</f>
        <v>67.76680962800879</v>
      </c>
      <c r="I31" s="147">
        <f>N14</f>
        <v>67.76680962800879</v>
      </c>
      <c r="J31" s="147">
        <f>N15</f>
        <v>67.76680962800879</v>
      </c>
      <c r="K31" s="147">
        <f>N16</f>
        <v>67.76680962800879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5" t="n"/>
      <c r="D32" s="86" t="inlineStr">
        <is>
          <t>Крок 9 × крок 5</t>
        </is>
      </c>
      <c r="E32" s="145" t="n"/>
      <c r="F32" s="147">
        <f>H11</f>
        <v>32.580196936542656</v>
      </c>
      <c r="G32" s="147">
        <f>H12</f>
        <v>32.580196936542656</v>
      </c>
      <c r="H32" s="147">
        <f>H13</f>
        <v>28.236170678336993</v>
      </c>
      <c r="I32" s="147">
        <f>H14</f>
        <v>28.236170678336993</v>
      </c>
      <c r="J32" s="147">
        <f>H15</f>
        <v>28.236170678336993</v>
      </c>
      <c r="K32" s="147">
        <f>H16</f>
        <v>28.236170678336993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5" t="n"/>
      <c r="D33" s="92" t="inlineStr">
        <is>
          <t>Крок 10 − крок 11</t>
        </is>
      </c>
      <c r="E33" s="145" t="n"/>
      <c r="F33" s="149">
        <f>I11</f>
        <v>45.61227571115972</v>
      </c>
      <c r="G33" s="149">
        <f>I12</f>
        <v>45.61227571115972</v>
      </c>
      <c r="H33" s="149">
        <f>I13</f>
        <v>39.5306389496718</v>
      </c>
      <c r="I33" s="149">
        <f>I14</f>
        <v>39.5306389496718</v>
      </c>
      <c r="J33" s="149">
        <f>I15</f>
        <v>39.5306389496718</v>
      </c>
      <c r="K33" s="149">
        <f>I16</f>
        <v>39.5306389496718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5" t="n"/>
      <c r="D34" s="92" t="inlineStr">
        <is>
          <t>Крок 12 ÷ крок 9</t>
        </is>
      </c>
      <c r="E34" s="145" t="n"/>
      <c r="F34" s="38">
        <f>J11</f>
        <v>0.35</v>
      </c>
      <c r="G34" s="38">
        <f>J12</f>
        <v>0.35</v>
      </c>
      <c r="H34" s="38">
        <f>J13</f>
        <v>0.35000000000000003</v>
      </c>
      <c r="I34" s="38">
        <f>J14</f>
        <v>0.35000000000000003</v>
      </c>
      <c r="J34" s="38">
        <f>J15</f>
        <v>0.35000000000000003</v>
      </c>
      <c r="K34" s="38">
        <f>J16</f>
        <v>0.35000000000000003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5" t="n"/>
      <c r="D35" s="86" t="inlineStr">
        <is>
          <t>Множник D6 − 1</t>
        </is>
      </c>
      <c r="E35" s="145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5" t="n"/>
      <c r="D36" s="86" t="inlineStr">
        <is>
          <t>1 + крок 14</t>
        </is>
      </c>
      <c r="E36" s="145" t="n"/>
      <c r="F36" s="150">
        <f>$D$6</f>
        <v>1.4</v>
      </c>
      <c r="G36" s="150">
        <f>$D$6</f>
        <v>1.4</v>
      </c>
      <c r="H36" s="150">
        <f>$D$6</f>
        <v>1.4</v>
      </c>
      <c r="I36" s="150">
        <f>$D$6</f>
        <v>1.4</v>
      </c>
      <c r="J36" s="150">
        <f>$D$6</f>
        <v>1.4</v>
      </c>
      <c r="K36" s="150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5" t="n"/>
      <c r="D37" s="90" t="inlineStr">
        <is>
          <t>Крок 9 × крок 15</t>
        </is>
      </c>
      <c r="E37" s="145" t="n"/>
      <c r="F37" s="148">
        <f>K11</f>
        <v>182.44910284463887</v>
      </c>
      <c r="G37" s="148">
        <f>K12</f>
        <v>182.44910284463887</v>
      </c>
      <c r="H37" s="148">
        <f>K13</f>
        <v>158.12255579868716</v>
      </c>
      <c r="I37" s="148">
        <f>K14</f>
        <v>158.12255579868716</v>
      </c>
      <c r="J37" s="148">
        <f>K15</f>
        <v>158.12255579868716</v>
      </c>
      <c r="K37" s="148">
        <f>K16</f>
        <v>158.12255579868716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5" t="n"/>
      <c r="D38" s="86" t="inlineStr">
        <is>
          <t>Крок 3 ÷ крок 6</t>
        </is>
      </c>
      <c r="E38" s="145" t="n"/>
      <c r="F38" s="147">
        <f>L11</f>
        <v>69.504420131291</v>
      </c>
      <c r="G38" s="147">
        <f>L12</f>
        <v>69.504420131291</v>
      </c>
      <c r="H38" s="147">
        <f>L13</f>
        <v>60.23716411378559</v>
      </c>
      <c r="I38" s="147">
        <f>L14</f>
        <v>60.23716411378559</v>
      </c>
      <c r="J38" s="147">
        <f>L15</f>
        <v>60.23716411378559</v>
      </c>
      <c r="K38" s="147">
        <f>L16</f>
        <v>60.23716411378559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5" t="n"/>
      <c r="D39" s="86" t="inlineStr">
        <is>
          <t>Крок 17 × крок 15</t>
        </is>
      </c>
      <c r="E39" s="145" t="n"/>
      <c r="F39" s="147">
        <f>M11</f>
        <v>97.3061881838074</v>
      </c>
      <c r="G39" s="147">
        <f>M12</f>
        <v>97.3061881838074</v>
      </c>
      <c r="H39" s="147">
        <f>M13</f>
        <v>84.33202975929981</v>
      </c>
      <c r="I39" s="147">
        <f>M14</f>
        <v>84.33202975929981</v>
      </c>
      <c r="J39" s="147">
        <f>M15</f>
        <v>84.33202975929981</v>
      </c>
      <c r="K39" s="147">
        <f>M16</f>
        <v>84.33202975929981</v>
      </c>
    </row>
  </sheetData>
  <mergeCells count="73">
    <mergeCell ref="L2:M2"/>
    <mergeCell ref="U9:Y9"/>
    <mergeCell ref="Z9:AD9"/>
    <mergeCell ref="L7:M7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L3:M3"/>
    <mergeCell ref="B21:C21"/>
    <mergeCell ref="B2:C2"/>
    <mergeCell ref="A9:D9"/>
    <mergeCell ref="G9:J9"/>
    <mergeCell ref="N3:O3"/>
    <mergeCell ref="D35:E35"/>
    <mergeCell ref="E3:K3"/>
    <mergeCell ref="D27:E27"/>
    <mergeCell ref="N2:O2"/>
    <mergeCell ref="B23:C23"/>
    <mergeCell ref="D32:E32"/>
    <mergeCell ref="L5:M5"/>
    <mergeCell ref="D26:E26"/>
    <mergeCell ref="N5:O5"/>
    <mergeCell ref="B8:C8"/>
    <mergeCell ref="E9:F9"/>
    <mergeCell ref="E5:K5"/>
    <mergeCell ref="B38:C38"/>
    <mergeCell ref="E8:K8"/>
    <mergeCell ref="B29:C29"/>
    <mergeCell ref="L4:M4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L6:M6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  <mergeCell ref="N4:O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A2:K8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7" customWidth="1" min="10" max="10"/>
    <col width="15" customWidth="1" min="11" max="11"/>
  </cols>
  <sheetData>
    <row r="1" ht="8" customHeight="1"/>
    <row r="2" ht="30" customHeight="1">
      <c r="A2" s="151" t="inlineStr">
        <is>
          <t>SIAS: какую закупочную цену запросить, чтобы встать на полку за 120 грн — 6 паллет</t>
        </is>
      </c>
    </row>
    <row r="3" ht="30" customHeight="1">
      <c r="A3" s="152" t="inlineStr">
        <is>
          <t>Читайте сверху вниз: 1 — результат · 2 — исходные данные · 3 — расчёт по шагам от полки к закупке · 4 — куда идёт каждая гривна · 5 — сравнение с ценой сейчас · 6 — чувствительность · 7 — допущения.</t>
        </is>
      </c>
    </row>
    <row r="5" ht="24" customHeight="1">
      <c r="A5" s="153" t="inlineStr">
        <is>
          <t>1. РЕЗУЛЬТАТ — что просить у SIAS</t>
        </is>
      </c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4" t="n"/>
    </row>
    <row r="6" ht="20" customHeight="1">
      <c r="B6" s="155" t="inlineStr">
        <is>
          <t>Предельная закупка (математический максимум), €/уп.</t>
        </is>
      </c>
      <c r="F6" s="156">
        <f>F44</f>
        <v>0.3265407229965157</v>
      </c>
    </row>
    <row r="7" ht="34" customHeight="1">
      <c r="B7" s="157" t="inlineStr">
        <is>
          <t>ЦЕНА ДЛЯ ЗАПРОСА SIAS, €/уп. (вниз до евроцента)</t>
        </is>
      </c>
      <c r="C7" s="158" t="n"/>
      <c r="D7" s="158" t="n"/>
      <c r="E7" s="158" t="n"/>
      <c r="F7" s="159">
        <f>F45</f>
        <v>0.32</v>
      </c>
      <c r="G7" s="160" t="inlineStr">
        <is>
          <t>одна цена для всех шести SKU</t>
        </is>
      </c>
    </row>
    <row r="8" ht="30" customHeight="1">
      <c r="B8" s="155" t="inlineStr">
        <is>
          <t>Своя цена для проверки, €/уп. — необязательно: впишите, и разделы 4–5 пересчитаются</t>
        </is>
      </c>
      <c r="F8" s="161" t="n"/>
      <c r="G8" s="160" t="inlineStr">
        <is>
          <t>жёлтая ячейка — можно менять</t>
        </is>
      </c>
    </row>
    <row r="9" ht="20" customHeight="1">
      <c r="B9" s="155" t="inlineStr">
        <is>
          <t>Цена, по которой считаются разделы 4 и 5, €/уп.</t>
        </is>
      </c>
      <c r="F9" s="162">
        <f>IF(ISNUMBER(F8),F8,F7)</f>
        <v>0.32</v>
      </c>
    </row>
    <row r="10" ht="20" customHeight="1">
      <c r="B10" s="155" t="inlineStr">
        <is>
          <t>Полка при этой цене, грн</t>
        </is>
      </c>
      <c r="F10" s="163">
        <f>F59</f>
        <v>118.71850666666667</v>
      </c>
    </row>
    <row r="11" ht="20" customHeight="1">
      <c r="B11" s="155" t="inlineStr">
        <is>
          <t>Наша маржа при этой цене</t>
        </is>
      </c>
      <c r="F11" s="164">
        <f>F60</f>
        <v>0.30000000000000004</v>
      </c>
    </row>
    <row r="12" ht="20" customHeight="1">
      <c r="B12" s="155" t="inlineStr">
        <is>
          <t>Запас до целевой полки, грн</t>
        </is>
      </c>
      <c r="F12" s="163">
        <f>F17-F59</f>
        <v>1.28149333333333</v>
      </c>
    </row>
    <row r="13" ht="44" customHeight="1">
      <c r="B13" s="165" t="str">
        <f>"Почему такая цена: чтобы полка была "&amp;ROUND(F17,0)&amp;" грн при бонусе сети "&amp;ROUND(F19*100,0)&amp;"% и нашей марже "&amp;ROUND(F18*100,0)&amp;"%, себестоимость пачки в Украине не может быть выше "&amp;ROUND(F37,2)&amp;" грн (≈ €"&amp;ROUND(F38,3)&amp;"). После вычета финансирования, расходов партии и импортных налогов на сам товар остаётся €"&amp;ROUND(F44,4)&amp;" за пачку → запрос €"&amp;ROUND(F45,2)&amp;"."</f>
        <v>Почему такая цена: чтобы полка была 120 грн при бонусе сети 25% и нашей марже 30%, себестоимость пачки в Украине не может быть выше 38.57 грн (≈ €0.753). После вычета финансирования, расходов партии и импортных налогов на сам товар остаётся €0.3265 за пачку → запрос €0.32.</v>
      </c>
      <c r="C13" s="158" t="n"/>
      <c r="D13" s="158" t="n"/>
      <c r="E13" s="158" t="n"/>
      <c r="F13" s="158" t="n"/>
      <c r="G13" s="158" t="n"/>
      <c r="H13" s="158" t="n"/>
      <c r="I13" s="158" t="n"/>
      <c r="J13" s="158" t="n"/>
      <c r="K13" s="158" t="n"/>
    </row>
    <row r="15" ht="24" customHeight="1">
      <c r="A15" s="153" t="inlineStr">
        <is>
          <t>2. ИСХОДНЫЕ ДАННЫЕ</t>
        </is>
      </c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>
      <c r="B16" s="160" t="inlineStr">
        <is>
          <t>Жёлтая ячейка с синим шрифтом — исходное число (можно менять) · зелёный шрифт — ссылка на вкладку «Финмодель 6 паллет» · чёрный — формула.</t>
        </is>
      </c>
    </row>
    <row r="17" ht="26" customHeight="1">
      <c r="B17" s="166" t="inlineStr">
        <is>
          <t>Целевая цена на полке</t>
        </is>
      </c>
      <c r="C17" s="167" t="inlineStr">
        <is>
          <t>С НДС, за одну пачку. Это цель всего расчёта.</t>
        </is>
      </c>
      <c r="F17" s="168" t="n">
        <v>120</v>
      </c>
      <c r="G17" s="169" t="inlineStr">
        <is>
          <t>грн</t>
        </is>
      </c>
      <c r="H17" s="167" t="inlineStr">
        <is>
          <t>Задано вами</t>
        </is>
      </c>
    </row>
    <row r="18" ht="26" customHeight="1">
      <c r="B18" s="166" t="inlineStr">
        <is>
          <t>Наша целевая маржа</t>
        </is>
      </c>
      <c r="C18" s="167" t="inlineStr">
        <is>
          <t>Доля цены партнёру, которая остаётся нам после себестоимости и бонуса.</t>
        </is>
      </c>
      <c r="F18" s="170" t="n">
        <v>0.3</v>
      </c>
      <c r="G18" s="169" t="inlineStr">
        <is>
          <t>%</t>
        </is>
      </c>
      <c r="H18" s="167" t="inlineStr">
        <is>
          <t>Задано вами (вкладка «Финмодель 6 паллет», колонка маржи 30 %)</t>
        </is>
      </c>
    </row>
    <row r="19" ht="26" customHeight="1">
      <c r="B19" s="166" t="inlineStr">
        <is>
          <t>Бонус торговой сети</t>
        </is>
      </c>
      <c r="C19" s="167" t="inlineStr">
        <is>
          <t>Доля цены партнёру, которую отдаём сети.</t>
        </is>
      </c>
      <c r="F19" s="171">
        <f>'Финмодель 6 паллет'!D4</f>
        <v>0.25</v>
      </c>
      <c r="G19" s="169" t="inlineStr">
        <is>
          <t>%</t>
        </is>
      </c>
      <c r="H19" s="167" t="inlineStr">
        <is>
          <t>Вкладка «Финмодель 6 паллет», ячейка D4</t>
        </is>
      </c>
    </row>
    <row r="20" ht="26" customHeight="1">
      <c r="B20" s="166" t="inlineStr">
        <is>
          <t>Множитель полки</t>
        </is>
      </c>
      <c r="C20" s="167" t="inlineStr">
        <is>
          <t>Во сколько раз полка дороже цены партнёру (наценка магазина).</t>
        </is>
      </c>
      <c r="F20" s="172">
        <f>'Финмодель 6 паллет'!D6</f>
        <v>1.4</v>
      </c>
      <c r="G20" s="169" t="inlineStr">
        <is>
          <t>×</t>
        </is>
      </c>
      <c r="H20" s="167" t="inlineStr">
        <is>
          <t>Вкладка «Финмодель 6 паллет», ячейка D6</t>
        </is>
      </c>
    </row>
    <row r="21" ht="26" customHeight="1">
      <c r="B21" s="166" t="inlineStr">
        <is>
          <t>Курс</t>
        </is>
      </c>
      <c r="C21" s="167" t="inlineStr">
        <is>
          <t>Пересчёт EUR → грн.</t>
        </is>
      </c>
      <c r="F21" s="172">
        <f>'Финмодель 6 паллет'!D3</f>
        <v>51.2</v>
      </c>
      <c r="G21" s="169" t="inlineStr">
        <is>
          <t>грн/€</t>
        </is>
      </c>
      <c r="H21" s="167" t="inlineStr">
        <is>
          <t>Вкладка «Финмодель 6 паллет», ячейка D3</t>
        </is>
      </c>
    </row>
    <row r="22" ht="26" customHeight="1">
      <c r="B22" s="166" t="inlineStr">
        <is>
          <t>Финансирование себестоимости</t>
        </is>
      </c>
      <c r="C22" s="167" t="inlineStr">
        <is>
          <t>Процент на кредитные деньги от суммы расходов.</t>
        </is>
      </c>
      <c r="F22" s="170" t="n">
        <v>0.025</v>
      </c>
      <c r="G22" s="169" t="inlineStr">
        <is>
          <t>%</t>
        </is>
      </c>
      <c r="H22" s="167" t="inlineStr">
        <is>
          <t>Self-Cost_Sias, ячейка AJ2</t>
        </is>
      </c>
    </row>
    <row r="23" ht="26" customHeight="1">
      <c r="B23" s="166" t="inlineStr">
        <is>
          <t>Импортный НДС</t>
        </is>
      </c>
      <c r="C23" s="167" t="inlineStr">
        <is>
          <t>Входит в себестоимость, как в Self-Cost.</t>
        </is>
      </c>
      <c r="F23" s="170" t="n">
        <v>0.2</v>
      </c>
      <c r="G23" s="169" t="inlineStr">
        <is>
          <t>%</t>
        </is>
      </c>
      <c r="H23" s="167" t="inlineStr">
        <is>
          <t>Self-Cost_Sias, ячейка U1</t>
        </is>
      </c>
    </row>
    <row r="24" ht="26" customHeight="1">
      <c r="B24" s="166" t="inlineStr">
        <is>
          <t>Пошлина</t>
        </is>
      </c>
      <c r="C24" s="167" t="inlineStr">
        <is>
          <t>Для этого товара 0 % (EUR.1).</t>
        </is>
      </c>
      <c r="F24" s="170" t="n">
        <v>0</v>
      </c>
      <c r="G24" s="169" t="inlineStr">
        <is>
          <t>%</t>
        </is>
      </c>
      <c r="H24" s="167" t="inlineStr">
        <is>
          <t>Self-Cost_Sias</t>
        </is>
      </c>
    </row>
    <row r="25" ht="26" customHeight="1">
      <c r="B25" s="166" t="inlineStr">
        <is>
          <t>Перевозка партии</t>
        </is>
      </c>
      <c r="C25" s="167" t="inlineStr">
        <is>
          <t>Фрахт за всю партию.</t>
        </is>
      </c>
      <c r="F25" s="173" t="n">
        <v>2600</v>
      </c>
      <c r="G25" s="169" t="inlineStr">
        <is>
          <t>€</t>
        </is>
      </c>
      <c r="H25" s="167" t="inlineStr">
        <is>
          <t>Self-Cost_Sias, итоговая строка блока, колонка V</t>
        </is>
      </c>
    </row>
    <row r="26" ht="26" customHeight="1">
      <c r="B26" s="166" t="inlineStr">
        <is>
          <t>Брокер партии</t>
        </is>
      </c>
      <c r="C26" s="167" t="inlineStr">
        <is>
          <t>Услуги брокера за партию.</t>
        </is>
      </c>
      <c r="F26" s="173" t="n">
        <v>288</v>
      </c>
      <c r="G26" s="169" t="inlineStr">
        <is>
          <t>€</t>
        </is>
      </c>
      <c r="H26" s="167" t="inlineStr">
        <is>
          <t>Self-Cost_Sias, итоговая строка блока, колонка X</t>
        </is>
      </c>
    </row>
    <row r="27" ht="26" customHeight="1">
      <c r="B27" s="166" t="inlineStr">
        <is>
          <t>Прочие расходы партии</t>
        </is>
      </c>
      <c r="C27" s="167" t="inlineStr">
        <is>
          <t>Решения, терминал, карантин и т. п.</t>
        </is>
      </c>
      <c r="F27" s="173" t="n">
        <v>42</v>
      </c>
      <c r="G27" s="169" t="inlineStr">
        <is>
          <t>€</t>
        </is>
      </c>
      <c r="H27" s="167" t="inlineStr">
        <is>
          <t>Self-Cost_Sias, итоговая строка блока, колонка AB</t>
        </is>
      </c>
    </row>
    <row r="28" ht="26" customHeight="1">
      <c r="B28" s="166" t="inlineStr">
        <is>
          <t>Доля фрахта в таможенной базе</t>
        </is>
      </c>
      <c r="C28" s="167" t="inlineStr">
        <is>
          <t>Часть фрахта, на которую начисляется импортный НДС.</t>
        </is>
      </c>
      <c r="F28" s="168" t="n">
        <v>0.7</v>
      </c>
      <c r="G28" s="169" t="inlineStr">
        <is>
          <t>доля</t>
        </is>
      </c>
      <c r="H28" s="167" t="inlineStr">
        <is>
          <t>Параметр таможенной базы в Self-Cost</t>
        </is>
      </c>
    </row>
    <row r="29" ht="26" customHeight="1">
      <c r="B29" s="166" t="inlineStr">
        <is>
          <t>Пачек на паллете</t>
        </is>
      </c>
      <c r="C29" s="167" t="inlineStr">
        <is>
          <t>Из спецификации SIAS.</t>
        </is>
      </c>
      <c r="F29" s="174" t="n">
        <v>1600</v>
      </c>
      <c r="G29" s="169" t="inlineStr">
        <is>
          <t>шт</t>
        </is>
      </c>
      <c r="H29" s="167" t="inlineStr">
        <is>
          <t>Self-Cost_Sias (20 пачек × 80 коробов)</t>
        </is>
      </c>
    </row>
    <row r="30" ht="26" customHeight="1">
      <c r="B30" s="166" t="inlineStr">
        <is>
          <t>Пачек в коробе</t>
        </is>
      </c>
      <c r="C30" s="167" t="inlineStr">
        <is>
          <t>Нужно для цены короба.</t>
        </is>
      </c>
      <c r="F30" s="174" t="n">
        <v>20</v>
      </c>
      <c r="G30" s="169" t="inlineStr">
        <is>
          <t>шт</t>
        </is>
      </c>
      <c r="H30" s="167" t="inlineStr">
        <is>
          <t>Self-Cost_Sias</t>
        </is>
      </c>
    </row>
    <row r="32" ht="24" customHeight="1">
      <c r="A32" s="153" t="inlineStr">
        <is>
          <t>3. РАСЧЁТ ПО ШАГАМ — от полки 120 грн к закупочной цене (идём от конца к началу)</t>
        </is>
      </c>
      <c r="B32" s="154" t="n"/>
      <c r="C32" s="154" t="n"/>
      <c r="D32" s="154" t="n"/>
      <c r="E32" s="154" t="n"/>
      <c r="F32" s="154" t="n"/>
      <c r="G32" s="154" t="n"/>
      <c r="H32" s="154" t="n"/>
      <c r="I32" s="154" t="n"/>
      <c r="J32" s="154" t="n"/>
      <c r="K32" s="154" t="n"/>
    </row>
    <row r="33" ht="30" customHeight="1">
      <c r="A33" s="175" t="inlineStr">
        <is>
          <t>№</t>
        </is>
      </c>
      <c r="B33" s="175" t="inlineStr">
        <is>
          <t>Что считаем</t>
        </is>
      </c>
      <c r="C33" s="175" t="inlineStr">
        <is>
          <t>Как считаем</t>
        </is>
      </c>
      <c r="D33" s="176" t="n"/>
      <c r="E33" s="176" t="n"/>
      <c r="F33" s="175" t="inlineStr">
        <is>
          <t>Результат</t>
        </is>
      </c>
      <c r="G33" s="175" t="inlineStr">
        <is>
          <t>Ед.</t>
        </is>
      </c>
      <c r="H33" s="175" t="inlineStr">
        <is>
          <t>Почему так</t>
        </is>
      </c>
      <c r="I33" s="176" t="n"/>
      <c r="J33" s="176" t="n"/>
      <c r="K33" s="176" t="n"/>
    </row>
    <row r="34" ht="46" customHeight="1">
      <c r="A34" s="177" t="n">
        <v>1</v>
      </c>
      <c r="B34" s="178" t="inlineStr">
        <is>
          <t>Целевая полка</t>
        </is>
      </c>
      <c r="C34" s="179" t="inlineStr">
        <is>
          <t>заданная цель</t>
        </is>
      </c>
      <c r="D34" s="180" t="n"/>
      <c r="E34" s="180" t="n"/>
      <c r="F34" s="181">
        <f>F17</f>
        <v>120</v>
      </c>
      <c r="G34" s="182" t="inlineStr">
        <is>
          <t>грн</t>
        </is>
      </c>
      <c r="H34" s="183" t="inlineStr">
        <is>
          <t>Это цель: цена, по которой пачка должна стоять на полке магазина (с НДС).</t>
        </is>
      </c>
      <c r="I34" s="180" t="n"/>
      <c r="J34" s="180" t="n"/>
      <c r="K34" s="180" t="n"/>
    </row>
    <row r="35" ht="46" customHeight="1">
      <c r="A35" s="184" t="n">
        <v>2</v>
      </c>
      <c r="B35" s="185" t="inlineStr">
        <is>
          <t>Цена, по которой продаём партнёру (магазину)</t>
        </is>
      </c>
      <c r="C35" s="152" t="inlineStr">
        <is>
          <t>полка ÷ множитель полки</t>
        </is>
      </c>
      <c r="F35" s="186">
        <f>F34/F20</f>
        <v>85.71428571428572</v>
      </c>
      <c r="G35" s="169" t="inlineStr">
        <is>
          <t>грн</t>
        </is>
      </c>
      <c r="H35" s="187" t="inlineStr">
        <is>
          <t>Магазин добавляет к цене закупки у нас наценку (множитель). Значит, нам можно продавать ему не дороже, чем полка ÷ множитель.</t>
        </is>
      </c>
    </row>
    <row r="36" ht="46" customHeight="1">
      <c r="A36" s="177" t="n">
        <v>3</v>
      </c>
      <c r="B36" s="178" t="inlineStr">
        <is>
          <t>Доля цены партнёру на себестоимость</t>
        </is>
      </c>
      <c r="C36" s="179" t="inlineStr">
        <is>
          <t>100 % − бонус сети − наша маржа</t>
        </is>
      </c>
      <c r="D36" s="180" t="n"/>
      <c r="E36" s="180" t="n"/>
      <c r="F36" s="188">
        <f>1-F19-F18</f>
        <v>0.45</v>
      </c>
      <c r="G36" s="182" t="inlineStr">
        <is>
          <t>%</t>
        </is>
      </c>
      <c r="H36" s="183" t="inlineStr">
        <is>
          <t>Из цены партнёру часть уходит сети бонусом, часть — наша целевая маржа. Остаток — то, что можно потратить на себестоимость.</t>
        </is>
      </c>
      <c r="I36" s="180" t="n"/>
      <c r="J36" s="180" t="n"/>
      <c r="K36" s="180" t="n"/>
    </row>
    <row r="37" ht="46" customHeight="1">
      <c r="A37" s="184" t="n">
        <v>4</v>
      </c>
      <c r="B37" s="185" t="inlineStr">
        <is>
          <t>Максимальная себестоимость пачки в Украине</t>
        </is>
      </c>
      <c r="C37" s="152" t="inlineStr">
        <is>
          <t>цена партнёру × доля на себестоимость</t>
        </is>
      </c>
      <c r="F37" s="186">
        <f>F35*F36</f>
        <v>38.57142857142858</v>
      </c>
      <c r="G37" s="169" t="inlineStr">
        <is>
          <t>грн</t>
        </is>
      </c>
      <c r="H37" s="187" t="inlineStr">
        <is>
          <t>Товар + логистика + налоги + финансирование вместе не должны быть дороже. Иначе маржа или полка не сойдутся.</t>
        </is>
      </c>
    </row>
    <row r="38" ht="46" customHeight="1">
      <c r="A38" s="177" t="n">
        <v>5</v>
      </c>
      <c r="B38" s="178" t="inlineStr">
        <is>
          <t>То же в евро</t>
        </is>
      </c>
      <c r="C38" s="179" t="inlineStr">
        <is>
          <t>макс. себестоимость ÷ курс</t>
        </is>
      </c>
      <c r="D38" s="180" t="n"/>
      <c r="E38" s="180" t="n"/>
      <c r="F38" s="189">
        <f>F37/F21</f>
        <v>0.7533482142857143</v>
      </c>
      <c r="G38" s="182" t="inlineStr">
        <is>
          <t>€</t>
        </is>
      </c>
      <c r="H38" s="183" t="inlineStr">
        <is>
          <t>Расходы партии у нас считаются в EUR.</t>
        </is>
      </c>
      <c r="I38" s="180" t="n"/>
      <c r="J38" s="180" t="n"/>
      <c r="K38" s="180" t="n"/>
    </row>
    <row r="39" ht="46" customHeight="1">
      <c r="A39" s="184" t="n">
        <v>6</v>
      </c>
      <c r="B39" s="185" t="inlineStr">
        <is>
          <t>Без процента за финансирование</t>
        </is>
      </c>
      <c r="C39" s="152" t="inlineStr">
        <is>
          <t>€ ÷ (1 + финансирование)</t>
        </is>
      </c>
      <c r="F39" s="156">
        <f>F38/(1+F22)</f>
        <v>0.7349738675958188</v>
      </c>
      <c r="G39" s="169" t="inlineStr">
        <is>
          <t>€</t>
        </is>
      </c>
      <c r="H39" s="187" t="inlineStr">
        <is>
          <t>В себестоимость входит процент за кредитные деньги от суммы расходов; убираем его, чтобы получить сумму расходов без процента.</t>
        </is>
      </c>
    </row>
    <row r="40" ht="46" customHeight="1">
      <c r="A40" s="177" t="n">
        <v>7</v>
      </c>
      <c r="B40" s="178" t="inlineStr">
        <is>
          <t>Расходы на всю партию, не зависящие от цены товара</t>
        </is>
      </c>
      <c r="C40" s="179" t="inlineStr">
        <is>
          <t>перевозка + брокер + прочие + НДС на фрахт</t>
        </is>
      </c>
      <c r="D40" s="180" t="n"/>
      <c r="E40" s="180" t="n"/>
      <c r="F40" s="190">
        <f>F25+F26+F27+F25*F28*(F24+F23*(1+F24))</f>
        <v>3294</v>
      </c>
      <c r="G40" s="182" t="inlineStr">
        <is>
          <t>€</t>
        </is>
      </c>
      <c r="H40" s="183" t="inlineStr">
        <is>
          <t>Эти расходы нужно оплатить за партию независимо от цены товара. Налог на фрахт считается по доле фрахта в таможенной базе.</t>
        </is>
      </c>
      <c r="I40" s="180" t="n"/>
      <c r="J40" s="180" t="n"/>
      <c r="K40" s="180" t="n"/>
    </row>
    <row r="41" ht="46" customHeight="1">
      <c r="A41" s="184" t="n">
        <v>8</v>
      </c>
      <c r="B41" s="185" t="inlineStr">
        <is>
          <t>Пачек в партии</t>
        </is>
      </c>
      <c r="C41" s="152" t="inlineStr">
        <is>
          <t>из раздела 5</t>
        </is>
      </c>
      <c r="F41" s="191">
        <f>D71</f>
        <v>9600</v>
      </c>
      <c r="G41" s="169" t="inlineStr">
        <is>
          <t>шт</t>
        </is>
      </c>
      <c r="H41" s="187" t="inlineStr">
        <is>
          <t>Сумма пачек по всем шести SKU: паллеты × пачек на паллете.</t>
        </is>
      </c>
    </row>
    <row r="42" ht="46" customHeight="1">
      <c r="A42" s="177" t="n">
        <v>9</v>
      </c>
      <c r="B42" s="178" t="inlineStr">
        <is>
          <t>Расходы партии на одну пачку</t>
        </is>
      </c>
      <c r="C42" s="179" t="inlineStr">
        <is>
          <t>расходы партии ÷ пачек</t>
        </is>
      </c>
      <c r="D42" s="180" t="n"/>
      <c r="E42" s="180" t="n"/>
      <c r="F42" s="189">
        <f>F40/F41</f>
        <v>0.343125</v>
      </c>
      <c r="G42" s="182" t="inlineStr">
        <is>
          <t>€</t>
        </is>
      </c>
      <c r="H42" s="183" t="inlineStr">
        <is>
          <t>Делим расходы партии на пачки поровну — так принято в модели.</t>
        </is>
      </c>
      <c r="I42" s="180" t="n"/>
      <c r="J42" s="180" t="n"/>
      <c r="K42" s="180" t="n"/>
    </row>
    <row r="43" ht="46" customHeight="1">
      <c r="A43" s="184" t="n">
        <v>10</v>
      </c>
      <c r="B43" s="185" t="inlineStr">
        <is>
          <t>Остаётся на товар вместе с импортными налогами</t>
        </is>
      </c>
      <c r="C43" s="152" t="inlineStr">
        <is>
          <t>€ без финансирования − расходы на пачку</t>
        </is>
      </c>
      <c r="F43" s="156">
        <f>F39-F42</f>
        <v>0.39184886759581883</v>
      </c>
      <c r="G43" s="169" t="inlineStr">
        <is>
          <t>€</t>
        </is>
      </c>
      <c r="H43" s="187" t="inlineStr">
        <is>
          <t>Это деньги, которые можно отдать за товар и налоги, начисляемые на цену товара.</t>
        </is>
      </c>
    </row>
    <row r="44" ht="46" customHeight="1">
      <c r="A44" s="177" t="n">
        <v>11</v>
      </c>
      <c r="B44" s="178" t="inlineStr">
        <is>
          <t>Предельная закупка (максимум)</t>
        </is>
      </c>
      <c r="C44" s="179" t="inlineStr">
        <is>
          <t>остаток ÷ (1 + пошлина) ÷ (1 + НДС)</t>
        </is>
      </c>
      <c r="D44" s="180" t="n"/>
      <c r="E44" s="180" t="n"/>
      <c r="F44" s="189">
        <f>F43/((1+F24)*(1+F23))</f>
        <v>0.3265407229965157</v>
      </c>
      <c r="G44" s="182" t="inlineStr">
        <is>
          <t>€</t>
        </is>
      </c>
      <c r="H44" s="183" t="inlineStr">
        <is>
          <t>Импортный НДС и пошлина начисляются на цену товара, поэтому делим на (1+пошлина)×(1+НДС) и получаем чистую цену товара — это математический максимум.</t>
        </is>
      </c>
      <c r="I44" s="180" t="n"/>
      <c r="J44" s="180" t="n"/>
      <c r="K44" s="180" t="n"/>
    </row>
    <row r="45" ht="46" customHeight="1">
      <c r="A45" s="192" t="n">
        <v>12</v>
      </c>
      <c r="B45" s="157" t="inlineStr">
        <is>
          <t>ЦЕНА ДЛЯ ЗАПРОСА SIAS</t>
        </is>
      </c>
      <c r="C45" s="193" t="inlineStr">
        <is>
          <t>предельная закупка, округление вниз до евроцента</t>
        </is>
      </c>
      <c r="D45" s="158" t="n"/>
      <c r="E45" s="158" t="n"/>
      <c r="F45" s="194">
        <f>ROUNDDOWN(F44,2)</f>
        <v>0.32</v>
      </c>
      <c r="G45" s="195" t="inlineStr">
        <is>
          <t>€</t>
        </is>
      </c>
      <c r="H45" s="196" t="inlineStr">
        <is>
          <t>Округляем вниз, чтобы не превысить предел. Это цена для переговоров — одна для всех шести SKU.</t>
        </is>
      </c>
      <c r="I45" s="158" t="n"/>
      <c r="J45" s="158" t="n"/>
      <c r="K45" s="158" t="n"/>
    </row>
    <row r="47" ht="24" customHeight="1">
      <c r="A47" s="153" t="inlineStr">
        <is>
          <t>4. ПРОВЕРКА — куда идёт каждая гривна при цене из ячейки F9 (расчёт вперёд, от закупки к полке)</t>
        </is>
      </c>
      <c r="B47" s="154" t="n"/>
      <c r="C47" s="154" t="n"/>
      <c r="D47" s="154" t="n"/>
      <c r="E47" s="154" t="n"/>
      <c r="F47" s="154" t="n"/>
      <c r="G47" s="154" t="n"/>
      <c r="H47" s="154" t="n"/>
      <c r="I47" s="154" t="n"/>
      <c r="J47" s="154" t="n"/>
      <c r="K47" s="154" t="n"/>
    </row>
    <row r="48" ht="30" customHeight="1">
      <c r="A48" s="175" t="inlineStr">
        <is>
          <t>№</t>
        </is>
      </c>
      <c r="B48" s="175" t="inlineStr">
        <is>
          <t>Статья</t>
        </is>
      </c>
      <c r="C48" s="175" t="inlineStr">
        <is>
          <t>Как считаем</t>
        </is>
      </c>
      <c r="D48" s="176" t="n"/>
      <c r="E48" s="176" t="n"/>
      <c r="F48" s="175" t="inlineStr">
        <is>
          <t>грн / пачку</t>
        </is>
      </c>
      <c r="G48" s="175" t="inlineStr">
        <is>
          <t>% полки</t>
        </is>
      </c>
      <c r="H48" s="175" t="inlineStr">
        <is>
          <t>Доля полки</t>
        </is>
      </c>
      <c r="I48" s="176" t="n"/>
      <c r="J48" s="176" t="n"/>
      <c r="K48" s="176" t="n"/>
    </row>
    <row r="49" ht="24" customHeight="1">
      <c r="A49" s="177" t="n">
        <v>1</v>
      </c>
      <c r="B49" s="197" t="inlineStr">
        <is>
          <t>Товар от поставщика</t>
        </is>
      </c>
      <c r="C49" s="198" t="inlineStr">
        <is>
          <t>цена закупки € × курс</t>
        </is>
      </c>
      <c r="D49" s="180" t="n"/>
      <c r="E49" s="180" t="n"/>
      <c r="F49" s="199">
        <f>F9*F21</f>
        <v>16.384</v>
      </c>
      <c r="G49" s="200">
        <f>F49/$F$59</f>
        <v>0.13800712677428106</v>
      </c>
      <c r="H49" s="201" t="str">
        <f>REPT("█",ROUND(G49*38,0))</f>
        <v>█████</v>
      </c>
      <c r="I49" s="180" t="n"/>
      <c r="J49" s="180" t="n"/>
      <c r="K49" s="180" t="n"/>
    </row>
    <row r="50" ht="24" customHeight="1">
      <c r="A50" s="184" t="n">
        <v>2</v>
      </c>
      <c r="B50" s="202" t="inlineStr">
        <is>
          <t>Логистика, брокер, прочие</t>
        </is>
      </c>
      <c r="C50" s="167" t="inlineStr">
        <is>
          <t>(перевозка + брокер + прочие) ÷ пачек × курс</t>
        </is>
      </c>
      <c r="F50" s="203">
        <f>(F25+F26+F27)/F41*F21</f>
        <v>15.626666666666669</v>
      </c>
      <c r="G50" s="204">
        <f>F50/$F$59</f>
        <v>0.13162789109656367</v>
      </c>
      <c r="H50" s="205" t="str">
        <f>REPT("█",ROUND(G50*38,0))</f>
        <v>█████</v>
      </c>
    </row>
    <row r="51" ht="24" customHeight="1">
      <c r="A51" s="177" t="n">
        <v>3</v>
      </c>
      <c r="B51" s="197" t="inlineStr">
        <is>
          <t>Пошлина</t>
        </is>
      </c>
      <c r="C51" s="198" t="inlineStr">
        <is>
          <t>(цена + фрахт таможни на пачку) × пошлина × курс</t>
        </is>
      </c>
      <c r="D51" s="180" t="n"/>
      <c r="E51" s="180" t="n"/>
      <c r="F51" s="199">
        <f>(F9+F25*F28/F41)*F24*F21</f>
        <v>0</v>
      </c>
      <c r="G51" s="200">
        <f>F51/$F$59</f>
        <v>0</v>
      </c>
      <c r="H51" s="206" t="str">
        <f>REPT("█",ROUND(G51*38,0))</f>
        <v/>
      </c>
      <c r="I51" s="180" t="n"/>
      <c r="J51" s="180" t="n"/>
      <c r="K51" s="180" t="n"/>
    </row>
    <row r="52" ht="30" customHeight="1">
      <c r="A52" s="184" t="n">
        <v>4</v>
      </c>
      <c r="B52" s="202" t="inlineStr">
        <is>
          <t>Импортный НДС</t>
        </is>
      </c>
      <c r="C52" s="167" t="inlineStr">
        <is>
          <t>(цена + фрахт таможни на пачку) × (1+пошлина) × НДС × курс</t>
        </is>
      </c>
      <c r="F52" s="203">
        <f>(F9+F25*F28/F41)*(1+F24)*F23*F21</f>
        <v>5.218133333333333</v>
      </c>
      <c r="G52" s="204">
        <f>F52/$F$59</f>
        <v>0.04395383230337129</v>
      </c>
      <c r="H52" s="205" t="str">
        <f>REPT("█",ROUND(G52*38,0))</f>
        <v>██</v>
      </c>
    </row>
    <row r="53" ht="24" customHeight="1">
      <c r="A53" s="177" t="n">
        <v>5</v>
      </c>
      <c r="B53" s="197" t="inlineStr">
        <is>
          <t>Финансирование</t>
        </is>
      </c>
      <c r="C53" s="198" t="inlineStr">
        <is>
          <t>сумма четырёх статей выше × % финансирования</t>
        </is>
      </c>
      <c r="D53" s="180" t="n"/>
      <c r="E53" s="180" t="n"/>
      <c r="F53" s="199">
        <f>SUM(F49:F52)*F22</f>
        <v>0.93072</v>
      </c>
      <c r="G53" s="200">
        <f>F53/$F$59</f>
        <v>0.0078397212543554</v>
      </c>
      <c r="H53" s="206" t="str">
        <f>REPT("█",ROUND(G53*38,0))</f>
        <v/>
      </c>
      <c r="I53" s="180" t="n"/>
      <c r="J53" s="180" t="n"/>
      <c r="K53" s="180" t="n"/>
    </row>
    <row r="54" ht="24" customHeight="1">
      <c r="A54" s="192" t="n">
        <v>6</v>
      </c>
      <c r="B54" s="207" t="inlineStr">
        <is>
          <t>ИТОГО · ПОЛНАЯ СЕБЕСТОИМОСТЬ (СС)</t>
        </is>
      </c>
      <c r="C54" s="208" t="inlineStr">
        <is>
          <t>сумма статей выше</t>
        </is>
      </c>
      <c r="D54" s="158" t="n"/>
      <c r="E54" s="158" t="n"/>
      <c r="F54" s="209">
        <f>SUM(F49:F53)</f>
        <v>38.15952</v>
      </c>
      <c r="G54" s="210">
        <f>F54/$F$59</f>
        <v>0.3214285714285714</v>
      </c>
      <c r="H54" s="211" t="str">
        <f>REPT("█",ROUND(G54*38,0))</f>
        <v>████████████</v>
      </c>
      <c r="I54" s="158" t="n"/>
      <c r="J54" s="158" t="n"/>
      <c r="K54" s="158" t="n"/>
    </row>
    <row r="55" ht="24" customHeight="1">
      <c r="A55" s="177" t="n">
        <v>7</v>
      </c>
      <c r="B55" s="197" t="inlineStr">
        <is>
          <t>Бонус торговой сети</t>
        </is>
      </c>
      <c r="C55" s="198" t="inlineStr">
        <is>
          <t>цена партнёру × % бонуса</t>
        </is>
      </c>
      <c r="D55" s="180" t="n"/>
      <c r="E55" s="180" t="n"/>
      <c r="F55" s="199">
        <f>F57*F19</f>
        <v>21.199733333333334</v>
      </c>
      <c r="G55" s="200">
        <f>F55/$F$59</f>
        <v>0.17857142857142858</v>
      </c>
      <c r="H55" s="212" t="str">
        <f>REPT("█",ROUND(G55*38,0))</f>
        <v>███████</v>
      </c>
      <c r="I55" s="180" t="n"/>
      <c r="J55" s="180" t="n"/>
      <c r="K55" s="180" t="n"/>
    </row>
    <row r="56" ht="24" customHeight="1">
      <c r="A56" s="184" t="n">
        <v>8</v>
      </c>
      <c r="B56" s="202" t="inlineStr">
        <is>
          <t>Наша прибыль после бонуса</t>
        </is>
      </c>
      <c r="C56" s="167" t="inlineStr">
        <is>
          <t>цена партнёру − СС − бонус</t>
        </is>
      </c>
      <c r="F56" s="203">
        <f>F57-F54-F55</f>
        <v>25.439680000000003</v>
      </c>
      <c r="G56" s="204">
        <f>F56/$F$59</f>
        <v>0.2142857142857143</v>
      </c>
      <c r="H56" s="213" t="str">
        <f>REPT("█",ROUND(G56*38,0))</f>
        <v>████████</v>
      </c>
    </row>
    <row r="57" ht="24" customHeight="1">
      <c r="A57" s="192" t="n">
        <v>9</v>
      </c>
      <c r="B57" s="207" t="inlineStr">
        <is>
          <t>ИТОГО · ЦЕНА ПАРТНЁРУ (с НДС)</t>
        </is>
      </c>
      <c r="C57" s="208" t="inlineStr">
        <is>
          <t>СС ÷ (1 − бонус − маржа)</t>
        </is>
      </c>
      <c r="D57" s="158" t="n"/>
      <c r="E57" s="158" t="n"/>
      <c r="F57" s="209">
        <f>F54/(1-F19-F18)</f>
        <v>84.79893333333334</v>
      </c>
      <c r="G57" s="210">
        <f>F57/$F$59</f>
        <v>0.7142857142857143</v>
      </c>
      <c r="H57" s="211" t="str">
        <f>REPT("█",ROUND(G57*38,0))</f>
        <v>███████████████████████████</v>
      </c>
      <c r="I57" s="158" t="n"/>
      <c r="J57" s="158" t="n"/>
      <c r="K57" s="158" t="n"/>
    </row>
    <row r="58" ht="24" customHeight="1">
      <c r="A58" s="184" t="n">
        <v>10</v>
      </c>
      <c r="B58" s="202" t="inlineStr">
        <is>
          <t>Наценка магазина</t>
        </is>
      </c>
      <c r="C58" s="167" t="inlineStr">
        <is>
          <t>цена партнёру × (множитель − 1)</t>
        </is>
      </c>
      <c r="F58" s="203">
        <f>F57*(F20-1)</f>
        <v>33.919573333333325</v>
      </c>
      <c r="G58" s="204">
        <f>F58/$F$59</f>
        <v>0.28571428571428564</v>
      </c>
      <c r="H58" s="214" t="str">
        <f>REPT("█",ROUND(G58*38,0))</f>
        <v>███████████</v>
      </c>
    </row>
    <row r="59" ht="24" customHeight="1">
      <c r="A59" s="192" t="n">
        <v>11</v>
      </c>
      <c r="B59" s="207" t="inlineStr">
        <is>
          <t>ИТОГО · ПОЛКА (с НДС)</t>
        </is>
      </c>
      <c r="C59" s="208" t="inlineStr">
        <is>
          <t>цена партнёру × множитель</t>
        </is>
      </c>
      <c r="D59" s="158" t="n"/>
      <c r="E59" s="158" t="n"/>
      <c r="F59" s="209">
        <f>F57*F20</f>
        <v>118.71850666666667</v>
      </c>
      <c r="G59" s="210">
        <f>F59/$F$59</f>
        <v>1</v>
      </c>
      <c r="H59" s="211" t="str">
        <f>REPT("█",ROUND(G59*38,0))</f>
        <v>██████████████████████████████████████</v>
      </c>
      <c r="I59" s="158" t="n"/>
      <c r="J59" s="158" t="n"/>
      <c r="K59" s="158" t="n"/>
    </row>
    <row r="60">
      <c r="B60" s="166" t="inlineStr">
        <is>
          <t>Проверка: наша маржа при этой цене</t>
        </is>
      </c>
      <c r="C60" s="215" t="inlineStr">
        <is>
          <t>прибыль ÷ цена партнёру (должна совпасть с целевой)</t>
        </is>
      </c>
      <c r="F60" s="164">
        <f>F56/F57</f>
        <v>0.30000000000000004</v>
      </c>
      <c r="H60" s="216" t="inlineStr">
        <is>
          <t>Запрос округлён вниз → полка чуть ниже цели, маржа чуть выше 30 %.</t>
        </is>
      </c>
    </row>
    <row r="61">
      <c r="B61" s="166" t="inlineStr">
        <is>
          <t>Маржа, если полка ровно как цель</t>
        </is>
      </c>
      <c r="C61" s="215" t="inlineStr">
        <is>
          <t>(цена партнёру для цели − СС − бонус) ÷ цена партнёру</t>
        </is>
      </c>
      <c r="F61" s="164">
        <f>(F35-F54-F35*F19)/F35</f>
        <v>0.3048056</v>
      </c>
    </row>
    <row r="63" ht="24" customHeight="1">
      <c r="A63" s="153" t="inlineStr">
        <is>
          <t>5. СРАВНЕНИЕ С ЦЕНОЙ СЕЙЧАС — по каждому SKU</t>
        </is>
      </c>
      <c r="B63" s="154" t="n"/>
      <c r="C63" s="154" t="n"/>
      <c r="D63" s="154" t="n"/>
      <c r="E63" s="154" t="n"/>
      <c r="F63" s="154" t="n"/>
      <c r="G63" s="154" t="n"/>
      <c r="H63" s="154" t="n"/>
      <c r="I63" s="154" t="n"/>
      <c r="J63" s="154" t="n"/>
      <c r="K63" s="154" t="n"/>
    </row>
    <row r="64" ht="44" customHeight="1">
      <c r="A64" s="175" t="inlineStr">
        <is>
          <t>№</t>
        </is>
      </c>
      <c r="B64" s="175" t="inlineStr">
        <is>
          <t>Продукт SIAS</t>
        </is>
      </c>
      <c r="C64" s="175" t="inlineStr">
        <is>
          <t>Паллет</t>
        </is>
      </c>
      <c r="D64" s="175" t="inlineStr">
        <is>
          <t>Пачек</t>
        </is>
      </c>
      <c r="E64" s="175" t="inlineStr">
        <is>
          <t>Цена сейчас, €/уп.</t>
        </is>
      </c>
      <c r="F64" s="175" t="inlineStr">
        <is>
          <t>Цена в расчёте, €/уп.</t>
        </is>
      </c>
      <c r="G64" s="175" t="inlineStr">
        <is>
          <t>Снижение</t>
        </is>
      </c>
      <c r="H64" s="175" t="inlineStr">
        <is>
          <t>Товар в партии сейчас, €</t>
        </is>
      </c>
      <c r="I64" s="175" t="inlineStr">
        <is>
          <t>Товар в партии при расчётной цене, €</t>
        </is>
      </c>
      <c r="J64" s="175" t="inlineStr">
        <is>
          <t>Полка сейчас при марже 30 %, грн</t>
        </is>
      </c>
      <c r="K64" s="175" t="inlineStr">
        <is>
          <t>До цели, грн</t>
        </is>
      </c>
    </row>
    <row r="65" ht="24" customHeight="1">
      <c r="A65" s="177" t="n">
        <v>1</v>
      </c>
      <c r="B65" s="217" t="str">
        <f>'Финмодель 6 паллет'!C11</f>
        <v>Gouda Cheese 123 г</v>
      </c>
      <c r="C65" s="218" t="n">
        <v>1</v>
      </c>
      <c r="D65" s="219">
        <f>C65*$F$29</f>
        <v>1600</v>
      </c>
      <c r="E65" s="220" t="n">
        <v>0.75</v>
      </c>
      <c r="F65" s="221">
        <f>$F$9</f>
        <v>0.32</v>
      </c>
      <c r="G65" s="188">
        <f>1-F65/E65</f>
        <v>0.5733333333333333</v>
      </c>
      <c r="H65" s="219">
        <f>D65*E65</f>
        <v>1200</v>
      </c>
      <c r="I65" s="219">
        <f>D65*F65</f>
        <v>512</v>
      </c>
      <c r="J65" s="222">
        <f>'Финмодель 6 паллет'!T11</f>
        <v>208.43200000000002</v>
      </c>
      <c r="K65" s="223">
        <f>J65-$F$17</f>
        <v>88.43200000000002</v>
      </c>
    </row>
    <row r="66" ht="24" customHeight="1">
      <c r="A66" s="184" t="n">
        <v>2</v>
      </c>
      <c r="B66" s="224" t="str">
        <f>'Финмодель 6 паллет'!C12</f>
        <v>Carbonara Spicy 131 г</v>
      </c>
      <c r="C66" s="218" t="n">
        <v>1</v>
      </c>
      <c r="D66" s="225">
        <f>C66*$F$29</f>
        <v>1600</v>
      </c>
      <c r="E66" s="220" t="n">
        <v>0.75</v>
      </c>
      <c r="F66" s="226">
        <f>$F$9</f>
        <v>0.32</v>
      </c>
      <c r="G66" s="164">
        <f>1-F66/E66</f>
        <v>0.5733333333333333</v>
      </c>
      <c r="H66" s="225">
        <f>D66*E66</f>
        <v>1200</v>
      </c>
      <c r="I66" s="225">
        <f>D66*F66</f>
        <v>512</v>
      </c>
      <c r="J66" s="227">
        <f>'Финмодель 6 паллет'!T12</f>
        <v>208.43200000000002</v>
      </c>
      <c r="K66" s="228">
        <f>J66-$F$17</f>
        <v>88.43200000000002</v>
      </c>
    </row>
    <row r="67" ht="24" customHeight="1">
      <c r="A67" s="177" t="n">
        <v>3</v>
      </c>
      <c r="B67" s="217" t="str">
        <f>'Финмодель 6 паллет'!C13</f>
        <v>Vegetable Flavor 113 г</v>
      </c>
      <c r="C67" s="218" t="n">
        <v>1</v>
      </c>
      <c r="D67" s="219">
        <f>C67*$F$29</f>
        <v>1600</v>
      </c>
      <c r="E67" s="220" t="n">
        <v>0.65</v>
      </c>
      <c r="F67" s="221">
        <f>$F$9</f>
        <v>0.32</v>
      </c>
      <c r="G67" s="188">
        <f>1-F67/E67</f>
        <v>0.5076923076923077</v>
      </c>
      <c r="H67" s="219">
        <f>D67*E67</f>
        <v>1040</v>
      </c>
      <c r="I67" s="219">
        <f>D67*F67</f>
        <v>512</v>
      </c>
      <c r="J67" s="222">
        <f>'Финмодель 6 паллет'!T13</f>
        <v>180.64106666666663</v>
      </c>
      <c r="K67" s="223">
        <f>J67-$F$17</f>
        <v>60.64106666666663</v>
      </c>
    </row>
    <row r="68" ht="24" customHeight="1">
      <c r="A68" s="184" t="n">
        <v>4</v>
      </c>
      <c r="B68" s="224" t="str">
        <f>'Финмодель 6 паллет'!C14</f>
        <v>Spicy Flavor 112.5 г</v>
      </c>
      <c r="C68" s="218" t="n">
        <v>1</v>
      </c>
      <c r="D68" s="225">
        <f>C68*$F$29</f>
        <v>1600</v>
      </c>
      <c r="E68" s="220" t="n">
        <v>0.65</v>
      </c>
      <c r="F68" s="226">
        <f>$F$9</f>
        <v>0.32</v>
      </c>
      <c r="G68" s="164">
        <f>1-F68/E68</f>
        <v>0.5076923076923077</v>
      </c>
      <c r="H68" s="225">
        <f>D68*E68</f>
        <v>1040</v>
      </c>
      <c r="I68" s="225">
        <f>D68*F68</f>
        <v>512</v>
      </c>
      <c r="J68" s="227">
        <f>'Финмодель 6 паллет'!T14</f>
        <v>180.64106666666663</v>
      </c>
      <c r="K68" s="228">
        <f>J68-$F$17</f>
        <v>60.64106666666663</v>
      </c>
    </row>
    <row r="69" ht="24" customHeight="1">
      <c r="A69" s="177" t="n">
        <v>5</v>
      </c>
      <c r="B69" s="217" t="str">
        <f>'Финмодель 6 паллет'!C15</f>
        <v>Beef Flavor 113 г</v>
      </c>
      <c r="C69" s="218" t="n">
        <v>1</v>
      </c>
      <c r="D69" s="219">
        <f>C69*$F$29</f>
        <v>1600</v>
      </c>
      <c r="E69" s="220" t="n">
        <v>0.65</v>
      </c>
      <c r="F69" s="221">
        <f>$F$9</f>
        <v>0.32</v>
      </c>
      <c r="G69" s="188">
        <f>1-F69/E69</f>
        <v>0.5076923076923077</v>
      </c>
      <c r="H69" s="219">
        <f>D69*E69</f>
        <v>1040</v>
      </c>
      <c r="I69" s="219">
        <f>D69*F69</f>
        <v>512</v>
      </c>
      <c r="J69" s="222">
        <f>'Финмодель 6 паллет'!T15</f>
        <v>180.64106666666663</v>
      </c>
      <c r="K69" s="223">
        <f>J69-$F$17</f>
        <v>60.64106666666663</v>
      </c>
    </row>
    <row r="70" ht="24" customHeight="1">
      <c r="A70" s="184" t="n">
        <v>6</v>
      </c>
      <c r="B70" s="224" t="str">
        <f>'Финмодель 6 паллет'!C16</f>
        <v>Chicken Flavor 113 г</v>
      </c>
      <c r="C70" s="218" t="n">
        <v>1</v>
      </c>
      <c r="D70" s="225">
        <f>C70*$F$29</f>
        <v>1600</v>
      </c>
      <c r="E70" s="220" t="n">
        <v>0.65</v>
      </c>
      <c r="F70" s="226">
        <f>$F$9</f>
        <v>0.32</v>
      </c>
      <c r="G70" s="164">
        <f>1-F70/E70</f>
        <v>0.5076923076923077</v>
      </c>
      <c r="H70" s="225">
        <f>D70*E70</f>
        <v>1040</v>
      </c>
      <c r="I70" s="225">
        <f>D70*F70</f>
        <v>512</v>
      </c>
      <c r="J70" s="227">
        <f>'Финмодель 6 паллет'!T16</f>
        <v>180.64106666666663</v>
      </c>
      <c r="K70" s="228">
        <f>J70-$F$17</f>
        <v>60.64106666666663</v>
      </c>
    </row>
    <row r="71" ht="24" customHeight="1">
      <c r="A71" s="207" t="n"/>
      <c r="B71" s="207" t="inlineStr">
        <is>
          <t>ИТОГО</t>
        </is>
      </c>
      <c r="C71" s="229">
        <f>SUM(C65:C70)</f>
        <v>6</v>
      </c>
      <c r="D71" s="230">
        <f>SUM(D65:D70)</f>
        <v>9600</v>
      </c>
      <c r="E71" s="207" t="n"/>
      <c r="F71" s="207" t="n"/>
      <c r="G71" s="231">
        <f>1-I71/H71</f>
        <v>0.5317073170731708</v>
      </c>
      <c r="H71" s="230">
        <f>SUM(H65:H70)</f>
        <v>6560</v>
      </c>
      <c r="I71" s="230">
        <f>SUM(I65:I70)</f>
        <v>3072</v>
      </c>
      <c r="J71" s="207" t="n"/>
      <c r="K71" s="207" t="n"/>
    </row>
    <row r="72">
      <c r="B72" s="160" t="inlineStr">
        <is>
          <t>Название SKU, полка сейчас (колонка T, маржа 30 %) — из вкладки «Финмодель 6 паллет»; паллеты и цены сейчас — из Self-Cost_Sias (строки 6–11), введены вручную.</t>
        </is>
      </c>
    </row>
    <row r="74" ht="24" customHeight="1">
      <c r="A74" s="153" t="inlineStr">
        <is>
          <t>6. ЧУВСТВИТЕЛЬНОСТЬ — какая закупка нужна при другой полке и маржи (€/уп., вниз до евроцента)</t>
        </is>
      </c>
      <c r="B74" s="154" t="n"/>
      <c r="C74" s="154" t="n"/>
      <c r="D74" s="154" t="n"/>
      <c r="E74" s="154" t="n"/>
      <c r="F74" s="154" t="n"/>
      <c r="G74" s="154" t="n"/>
      <c r="H74" s="154" t="n"/>
      <c r="I74" s="154" t="n"/>
      <c r="J74" s="154" t="n"/>
      <c r="K74" s="154" t="n"/>
    </row>
    <row r="75" ht="30" customHeight="1">
      <c r="A75" s="175" t="inlineStr"/>
      <c r="B75" s="175" t="inlineStr">
        <is>
          <t>Маржа ↓   /   Полка, грн →</t>
        </is>
      </c>
      <c r="C75" s="232" t="n">
        <v>105</v>
      </c>
      <c r="D75" s="232" t="n">
        <v>110</v>
      </c>
      <c r="E75" s="232" t="n">
        <v>120</v>
      </c>
      <c r="F75" s="232" t="n">
        <v>130</v>
      </c>
      <c r="G75" s="232" t="n">
        <v>140</v>
      </c>
      <c r="H75" s="233" t="inlineStr">
        <is>
          <t>Как читать</t>
        </is>
      </c>
    </row>
    <row r="76" ht="26" customHeight="1">
      <c r="B76" s="234" t="n">
        <v>0.35</v>
      </c>
      <c r="C76" s="235">
        <f>ROUNDDOWN(((C$75/$F$20*(1-$F$19-$B76))/$F$21/(1+$F$22)-$F$40/$F$41)/((1+$F$24)*(1+$F$23)),2)</f>
        <v>0.19</v>
      </c>
      <c r="D76" s="235">
        <f>ROUNDDOWN(((D$75/$F$20*(1-$F$19-$B76))/$F$21/(1+$F$22)-$F$40/$F$41)/((1+$F$24)*(1+$F$23)),2)</f>
        <v>0.21</v>
      </c>
      <c r="E76" s="235">
        <f>ROUNDDOWN(((E$75/$F$20*(1-$F$19-$B76))/$F$21/(1+$F$22)-$F$40/$F$41)/((1+$F$24)*(1+$F$23)),2)</f>
        <v>0.25</v>
      </c>
      <c r="F76" s="235">
        <f>ROUNDDOWN(((F$75/$F$20*(1-$F$19-$B76))/$F$21/(1+$F$22)-$F$40/$F$41)/((1+$F$24)*(1+$F$23)),2)</f>
        <v>0.3</v>
      </c>
      <c r="G76" s="235">
        <f>ROUNDDOWN(((G$75/$F$20*(1-$F$19-$B76))/$F$21/(1+$F$22)-$F$40/$F$41)/((1+$F$24)*(1+$F$23)),2)</f>
        <v>0.34</v>
      </c>
      <c r="H76" s="167" t="inlineStr">
        <is>
          <t>Каждая клетка — максимальная закупка для заданных полки и маржи (формулы шага 3). Жёлтые числа слева и сверху можно менять.
Зелёный — хватает даже при текущей цене SIAS; светло-зелёный — только для SKU по €0,65; жёлтый — нужна скидка до €0,50…0,65; красный — глубже (&lt; €0,50).
Цель расчёта: полка 120 грн, маржа 30 %.</t>
        </is>
      </c>
    </row>
    <row r="77" ht="26" customHeight="1">
      <c r="B77" s="234" t="n">
        <v>0.3</v>
      </c>
      <c r="C77" s="235">
        <f>ROUNDDOWN(((C$75/$F$20*(1-$F$19-$B77))/$F$21/(1+$F$22)-$F$40/$F$41)/((1+$F$24)*(1+$F$23)),2)</f>
        <v>0.24</v>
      </c>
      <c r="D77" s="235">
        <f>ROUNDDOWN(((D$75/$F$20*(1-$F$19-$B77))/$F$21/(1+$F$22)-$F$40/$F$41)/((1+$F$24)*(1+$F$23)),2)</f>
        <v>0.27</v>
      </c>
      <c r="E77" s="235">
        <f>ROUNDDOWN(((E$75/$F$20*(1-$F$19-$B77))/$F$21/(1+$F$22)-$F$40/$F$41)/((1+$F$24)*(1+$F$23)),2)</f>
        <v>0.32</v>
      </c>
      <c r="F77" s="235">
        <f>ROUNDDOWN(((F$75/$F$20*(1-$F$19-$B77))/$F$21/(1+$F$22)-$F$40/$F$41)/((1+$F$24)*(1+$F$23)),2)</f>
        <v>0.37</v>
      </c>
      <c r="G77" s="235">
        <f>ROUNDDOWN(((G$75/$F$20*(1-$F$19-$B77))/$F$21/(1+$F$22)-$F$40/$F$41)/((1+$F$24)*(1+$F$23)),2)</f>
        <v>0.42</v>
      </c>
    </row>
    <row r="78" ht="26" customHeight="1">
      <c r="B78" s="234" t="n">
        <v>0.25</v>
      </c>
      <c r="C78" s="235">
        <f>ROUNDDOWN(((C$75/$F$20*(1-$F$19-$B78))/$F$21/(1+$F$22)-$F$40/$F$41)/((1+$F$24)*(1+$F$23)),2)</f>
        <v>0.3</v>
      </c>
      <c r="D78" s="235">
        <f>ROUNDDOWN(((D$75/$F$20*(1-$F$19-$B78))/$F$21/(1+$F$22)-$F$40/$F$41)/((1+$F$24)*(1+$F$23)),2)</f>
        <v>0.33</v>
      </c>
      <c r="E78" s="235">
        <f>ROUNDDOWN(((E$75/$F$20*(1-$F$19-$B78))/$F$21/(1+$F$22)-$F$40/$F$41)/((1+$F$24)*(1+$F$23)),2)</f>
        <v>0.39</v>
      </c>
      <c r="F78" s="235">
        <f>ROUNDDOWN(((F$75/$F$20*(1-$F$19-$B78))/$F$21/(1+$F$22)-$F$40/$F$41)/((1+$F$24)*(1+$F$23)),2)</f>
        <v>0.45</v>
      </c>
      <c r="G78" s="235">
        <f>ROUNDDOWN(((G$75/$F$20*(1-$F$19-$B78))/$F$21/(1+$F$22)-$F$40/$F$41)/((1+$F$24)*(1+$F$23)),2)</f>
        <v>0.5</v>
      </c>
    </row>
    <row r="79" ht="26" customHeight="1">
      <c r="B79" s="234" t="n">
        <v>0.2</v>
      </c>
      <c r="C79" s="235">
        <f>ROUNDDOWN(((C$75/$F$20*(1-$F$19-$B79))/$F$21/(1+$F$22)-$F$40/$F$41)/((1+$F$24)*(1+$F$23)),2)</f>
        <v>0.36</v>
      </c>
      <c r="D79" s="235">
        <f>ROUNDDOWN(((D$75/$F$20*(1-$F$19-$B79))/$F$21/(1+$F$22)-$F$40/$F$41)/((1+$F$24)*(1+$F$23)),2)</f>
        <v>0.4</v>
      </c>
      <c r="E79" s="235">
        <f>ROUNDDOWN(((E$75/$F$20*(1-$F$19-$B79))/$F$21/(1+$F$22)-$F$40/$F$41)/((1+$F$24)*(1+$F$23)),2)</f>
        <v>0.46</v>
      </c>
      <c r="F79" s="235">
        <f>ROUNDDOWN(((F$75/$F$20*(1-$F$19-$B79))/$F$21/(1+$F$22)-$F$40/$F$41)/((1+$F$24)*(1+$F$23)),2)</f>
        <v>0.52</v>
      </c>
      <c r="G79" s="235">
        <f>ROUNDDOWN(((G$75/$F$20*(1-$F$19-$B79))/$F$21/(1+$F$22)-$F$40/$F$41)/((1+$F$24)*(1+$F$23)),2)</f>
        <v>0.58</v>
      </c>
    </row>
    <row r="80" ht="26" customHeight="1">
      <c r="B80" s="234" t="n">
        <v>0.15</v>
      </c>
      <c r="C80" s="235">
        <f>ROUNDDOWN(((C$75/$F$20*(1-$F$19-$B80))/$F$21/(1+$F$22)-$F$40/$F$41)/((1+$F$24)*(1+$F$23)),2)</f>
        <v>0.42</v>
      </c>
      <c r="D80" s="235">
        <f>ROUNDDOWN(((D$75/$F$20*(1-$F$19-$B80))/$F$21/(1+$F$22)-$F$40/$F$41)/((1+$F$24)*(1+$F$23)),2)</f>
        <v>0.46</v>
      </c>
      <c r="E80" s="235">
        <f>ROUNDDOWN(((E$75/$F$20*(1-$F$19-$B80))/$F$21/(1+$F$22)-$F$40/$F$41)/((1+$F$24)*(1+$F$23)),2)</f>
        <v>0.53</v>
      </c>
      <c r="F80" s="235">
        <f>ROUNDDOWN(((F$75/$F$20*(1-$F$19-$B80))/$F$21/(1+$F$22)-$F$40/$F$41)/((1+$F$24)*(1+$F$23)),2)</f>
        <v>0.59</v>
      </c>
      <c r="G80" s="235">
        <f>ROUNDDOWN(((G$75/$F$20*(1-$F$19-$B80))/$F$21/(1+$F$22)-$F$40/$F$41)/((1+$F$24)*(1+$F$23)),2)</f>
        <v>0.66</v>
      </c>
    </row>
    <row r="82" ht="24" customHeight="1">
      <c r="A82" s="153" t="inlineStr">
        <is>
          <t>7. ДОПУЩЕНИЯ И ЧТО НЕ УЧТЕНО</t>
        </is>
      </c>
      <c r="B82" s="154" t="n"/>
      <c r="C82" s="154" t="n"/>
      <c r="D82" s="154" t="n"/>
      <c r="E82" s="154" t="n"/>
      <c r="F82" s="154" t="n"/>
      <c r="G82" s="154" t="n"/>
      <c r="H82" s="154" t="n"/>
      <c r="I82" s="154" t="n"/>
      <c r="J82" s="154" t="n"/>
      <c r="K82" s="154" t="n"/>
    </row>
    <row r="83" ht="30" customHeight="1">
      <c r="B83" s="236" t="inlineStr">
        <is>
          <t>• Бонус сети, множитель полки и курс — условия модели (вкладка «Финмодель 6 паллет»); сетями не подтверждены.</t>
        </is>
      </c>
    </row>
    <row r="84" ht="30" customHeight="1">
      <c r="B84" s="236" t="inlineStr">
        <is>
          <t>• Импортный НДС входит в себестоимость (как в Self-Cost), а цена партнёру и полка — с НДС. Если импортный НДС возмещается, допустимая закупка выше — см. контрольный расчёт ниже.</t>
        </is>
      </c>
    </row>
    <row r="85" ht="30" customHeight="1">
      <c r="B85" s="236" t="inlineStr">
        <is>
          <t>• Расходы партии делятся на пачки поровну; в Self-Cost они делятся пропорционально стоимости SKU, поэтому «СС сейчас» там чуть отличается от «СС при запросе» (≈1 %).</t>
        </is>
      </c>
    </row>
    <row r="86" ht="30" customHeight="1">
      <c r="B86" s="236" t="inlineStr">
        <is>
          <t>• Не учтены: листинг-фи и промо-поддержка сетей, отсрочка платежа, брак и возвраты, колебания курса.</t>
        </is>
      </c>
    </row>
    <row r="87" ht="30" customHeight="1">
      <c r="B87" s="236" t="inlineStr">
        <is>
          <t>• Согласие SIAS на эту цену не получено — это цена для переговоров.</t>
        </is>
      </c>
    </row>
    <row r="89" ht="34" customHeight="1">
      <c r="B89" s="237" t="inlineStr">
        <is>
          <t>Контрольный расчёт (не основной): НДС нейтрален — полка без НДС, импортный НДС не в себестоимости</t>
        </is>
      </c>
      <c r="C89" s="180" t="n"/>
      <c r="D89" s="180" t="n"/>
      <c r="E89" s="180" t="n"/>
      <c r="F89" s="238">
        <f>ROUNDDOWN(((F17/F20/(1+F23))*(1-F19-F18)/F21/(1+F22)-(F25+F26+F27)/F41)/(1+F24),2)</f>
        <v>0.3</v>
      </c>
      <c r="G89" s="216" t="str">
        <f>"против €"&amp;ROUND(F45,2)&amp;" в основном расчёте ("&amp;IF(F89&gt;=F45,"+","−")&amp;"€"&amp;ROUND(ABS(F89-F45),2)&amp;")"</f>
        <v>против €0.32 в основном расчёте (−€0.02)</v>
      </c>
    </row>
  </sheetData>
  <mergeCells count="111">
    <mergeCell ref="C44:E44"/>
    <mergeCell ref="B84:K84"/>
    <mergeCell ref="H27:K27"/>
    <mergeCell ref="A15:K15"/>
    <mergeCell ref="C40:E40"/>
    <mergeCell ref="H24:K24"/>
    <mergeCell ref="C21:E21"/>
    <mergeCell ref="H33:K33"/>
    <mergeCell ref="C51:E51"/>
    <mergeCell ref="H42:K42"/>
    <mergeCell ref="C60:E60"/>
    <mergeCell ref="H26:K26"/>
    <mergeCell ref="C23:E23"/>
    <mergeCell ref="H53:K53"/>
    <mergeCell ref="H35:K35"/>
    <mergeCell ref="B72:K72"/>
    <mergeCell ref="H55:K55"/>
    <mergeCell ref="C57:E57"/>
    <mergeCell ref="B12:E12"/>
    <mergeCell ref="H39:K39"/>
    <mergeCell ref="A2:K2"/>
    <mergeCell ref="C18:E18"/>
    <mergeCell ref="C49:E49"/>
    <mergeCell ref="G89:K89"/>
    <mergeCell ref="H59:K59"/>
    <mergeCell ref="C34:E34"/>
    <mergeCell ref="C42:E42"/>
    <mergeCell ref="H52:K52"/>
    <mergeCell ref="H45:K45"/>
    <mergeCell ref="C20:E20"/>
    <mergeCell ref="C25:E25"/>
    <mergeCell ref="H37:K37"/>
    <mergeCell ref="C22:E22"/>
    <mergeCell ref="B83:K83"/>
    <mergeCell ref="C59:E59"/>
    <mergeCell ref="H23:K23"/>
    <mergeCell ref="H18:K18"/>
    <mergeCell ref="B85:K85"/>
    <mergeCell ref="C52:E52"/>
    <mergeCell ref="C61:E61"/>
    <mergeCell ref="C39:E39"/>
    <mergeCell ref="C48:E48"/>
    <mergeCell ref="H60:K61"/>
    <mergeCell ref="H54:K54"/>
    <mergeCell ref="H41:K41"/>
    <mergeCell ref="C38:E38"/>
    <mergeCell ref="H50:K50"/>
    <mergeCell ref="A74:K74"/>
    <mergeCell ref="H56:K56"/>
    <mergeCell ref="H25:K25"/>
    <mergeCell ref="H34:K34"/>
    <mergeCell ref="B11:E11"/>
    <mergeCell ref="H49:K49"/>
    <mergeCell ref="C24:E24"/>
    <mergeCell ref="H36:K36"/>
    <mergeCell ref="C33:E33"/>
    <mergeCell ref="H17:K17"/>
    <mergeCell ref="B13:K13"/>
    <mergeCell ref="A63:K63"/>
    <mergeCell ref="C26:E26"/>
    <mergeCell ref="B87:K87"/>
    <mergeCell ref="C35:E35"/>
    <mergeCell ref="H19:K19"/>
    <mergeCell ref="H75:K75"/>
    <mergeCell ref="H28:K28"/>
    <mergeCell ref="C50:E50"/>
    <mergeCell ref="C55:E55"/>
    <mergeCell ref="B6:E6"/>
    <mergeCell ref="H48:K48"/>
    <mergeCell ref="B89:E89"/>
    <mergeCell ref="G8:K8"/>
    <mergeCell ref="C36:E36"/>
    <mergeCell ref="B7:E7"/>
    <mergeCell ref="H38:K38"/>
    <mergeCell ref="H43:K43"/>
    <mergeCell ref="C28:E28"/>
    <mergeCell ref="H58:K58"/>
    <mergeCell ref="H40:K40"/>
    <mergeCell ref="C37:E37"/>
    <mergeCell ref="A32:K32"/>
    <mergeCell ref="B86:K86"/>
    <mergeCell ref="C30:E30"/>
    <mergeCell ref="H57:K57"/>
    <mergeCell ref="C54:E54"/>
    <mergeCell ref="H22:K22"/>
    <mergeCell ref="B9:E9"/>
    <mergeCell ref="C41:E41"/>
    <mergeCell ref="A82:K82"/>
    <mergeCell ref="C56:E56"/>
    <mergeCell ref="C43:E43"/>
    <mergeCell ref="G7:K7"/>
    <mergeCell ref="C27:E27"/>
    <mergeCell ref="H30:K30"/>
    <mergeCell ref="H20:K20"/>
    <mergeCell ref="C17:E17"/>
    <mergeCell ref="H29:K29"/>
    <mergeCell ref="H76:K80"/>
    <mergeCell ref="B16:K16"/>
    <mergeCell ref="H44:K44"/>
    <mergeCell ref="A3:K3"/>
    <mergeCell ref="C19:E19"/>
    <mergeCell ref="C53:E53"/>
    <mergeCell ref="A47:K47"/>
    <mergeCell ref="H21:K21"/>
    <mergeCell ref="A5:K5"/>
    <mergeCell ref="H51:K51"/>
    <mergeCell ref="C58:E58"/>
    <mergeCell ref="B8:E8"/>
    <mergeCell ref="C45:E45"/>
    <mergeCell ref="C29:E29"/>
    <mergeCell ref="B10:E10"/>
  </mergeCells>
  <conditionalFormatting sqref="C76:G80">
    <cfRule type="cellIs" priority="1" operator="greaterThanOrEqual" dxfId="6" stopIfTrue="1">
      <formula>MAX($E$65:$E$70)</formula>
    </cfRule>
    <cfRule type="cellIs" priority="2" operator="greaterThanOrEqual" dxfId="7" stopIfTrue="1">
      <formula>MIN($E$65:$E$70)</formula>
    </cfRule>
    <cfRule type="cellIs" priority="3" operator="greaterThanOrEqual" dxfId="8" stopIfTrue="1">
      <formula>0.5</formula>
    </cfRule>
    <cfRule type="cellIs" priority="4" operator="lessThan" dxfId="9">
      <formula>0.5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A2:K8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7" customWidth="1" min="10" max="10"/>
    <col width="15" customWidth="1" min="11" max="11"/>
  </cols>
  <sheetData>
    <row r="1" ht="8" customHeight="1"/>
    <row r="2" ht="30" customHeight="1">
      <c r="A2" s="151" t="inlineStr">
        <is>
          <t>SIAS: какую закупочную цену запросить, чтобы встать на полку за 120 грн — 33 паллеты (Full Truck)</t>
        </is>
      </c>
    </row>
    <row r="3" ht="30" customHeight="1">
      <c r="A3" s="152" t="inlineStr">
        <is>
          <t>Читайте сверху вниз: 1 — результат · 2 — исходные данные · 3 — расчёт по шагам от полки к закупке · 4 — куда идёт каждая гривна · 5 — сравнение с ценой сейчас · 6 — чувствительность · 7 — допущения.</t>
        </is>
      </c>
    </row>
    <row r="5" ht="24" customHeight="1">
      <c r="A5" s="153" t="inlineStr">
        <is>
          <t>1. РЕЗУЛЬТАТ — что просить у SIAS</t>
        </is>
      </c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4" t="n"/>
    </row>
    <row r="6" ht="20" customHeight="1">
      <c r="B6" s="155" t="inlineStr">
        <is>
          <t>Предельная закупка (математический максимум), €/уп.</t>
        </is>
      </c>
      <c r="F6" s="156">
        <f>F44</f>
        <v>0.5406979199662126</v>
      </c>
    </row>
    <row r="7" ht="34" customHeight="1">
      <c r="B7" s="157" t="inlineStr">
        <is>
          <t>ЦЕНА ДЛЯ ЗАПРОСА SIAS, €/уп. (вниз до евроцента)</t>
        </is>
      </c>
      <c r="C7" s="158" t="n"/>
      <c r="D7" s="158" t="n"/>
      <c r="E7" s="158" t="n"/>
      <c r="F7" s="159">
        <f>F45</f>
        <v>0.54</v>
      </c>
      <c r="G7" s="160" t="inlineStr">
        <is>
          <t>одна цена для всех шести SKU</t>
        </is>
      </c>
    </row>
    <row r="8" ht="30" customHeight="1">
      <c r="B8" s="155" t="inlineStr">
        <is>
          <t>Своя цена для проверки, €/уп. — необязательно: впишите, и разделы 4–5 пересчитаются</t>
        </is>
      </c>
      <c r="F8" s="161" t="n"/>
      <c r="G8" s="160" t="inlineStr">
        <is>
          <t>жёлтая ячейка — можно менять</t>
        </is>
      </c>
    </row>
    <row r="9" ht="20" customHeight="1">
      <c r="B9" s="155" t="inlineStr">
        <is>
          <t>Цена, по которой считаются разделы 4 и 5, €/уп.</t>
        </is>
      </c>
      <c r="F9" s="162">
        <f>IF(ISNUMBER(F8),F8,F7)</f>
        <v>0.54</v>
      </c>
    </row>
    <row r="10" ht="20" customHeight="1">
      <c r="B10" s="155" t="inlineStr">
        <is>
          <t>Полка при этой цене, грн</t>
        </is>
      </c>
      <c r="F10" s="163">
        <f>F59</f>
        <v>119.8632597979798</v>
      </c>
    </row>
    <row r="11" ht="20" customHeight="1">
      <c r="B11" s="155" t="inlineStr">
        <is>
          <t>Наша маржа при этой цене</t>
        </is>
      </c>
      <c r="F11" s="164">
        <f>F60</f>
        <v>0.3</v>
      </c>
    </row>
    <row r="12" ht="20" customHeight="1">
      <c r="B12" s="155" t="inlineStr">
        <is>
          <t>Запас до целевой полки, грн</t>
        </is>
      </c>
      <c r="F12" s="163">
        <f>F17-F59</f>
        <v>0.13674020202020643</v>
      </c>
    </row>
    <row r="13" ht="44" customHeight="1">
      <c r="B13" s="165" t="str">
        <f>"Почему такая цена: чтобы полка была "&amp;ROUND(F17,0)&amp;" грн при бонусе сети "&amp;ROUND(F19*100,0)&amp;"% и нашей марже "&amp;ROUND(F18*100,0)&amp;"%, себестоимость пачки в Украине не может быть выше "&amp;ROUND(F37,2)&amp;" грн (≈ €"&amp;ROUND(F38,3)&amp;"). После вычета финансирования, расходов партии и импортных налогов на сам товар остаётся €"&amp;ROUND(F44,4)&amp;" за пачку → запрос €"&amp;ROUND(F45,2)&amp;"."</f>
        <v>Почему такая цена: чтобы полка была 120 грн при бонусе сети 25% и нашей марже 30%, себестоимость пачки в Украине не может быть выше 38.57 грн (≈ €0.753). После вычета финансирования, расходов партии и импортных налогов на сам товар остаётся €0.5407 за пачку → запрос €0.54.</v>
      </c>
      <c r="C13" s="158" t="n"/>
      <c r="D13" s="158" t="n"/>
      <c r="E13" s="158" t="n"/>
      <c r="F13" s="158" t="n"/>
      <c r="G13" s="158" t="n"/>
      <c r="H13" s="158" t="n"/>
      <c r="I13" s="158" t="n"/>
      <c r="J13" s="158" t="n"/>
      <c r="K13" s="158" t="n"/>
    </row>
    <row r="15" ht="24" customHeight="1">
      <c r="A15" s="153" t="inlineStr">
        <is>
          <t>2. ИСХОДНЫЕ ДАННЫЕ</t>
        </is>
      </c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>
      <c r="B16" s="160" t="inlineStr">
        <is>
          <t>Жёлтая ячейка с синим шрифтом — исходное число (можно менять) · зелёный шрифт — ссылка на вкладку «Финмодель 33 паллет» · чёрный — формула.</t>
        </is>
      </c>
    </row>
    <row r="17" ht="26" customHeight="1">
      <c r="B17" s="166" t="inlineStr">
        <is>
          <t>Целевая цена на полке</t>
        </is>
      </c>
      <c r="C17" s="167" t="inlineStr">
        <is>
          <t>С НДС, за одну пачку. Это цель всего расчёта.</t>
        </is>
      </c>
      <c r="F17" s="168" t="n">
        <v>120</v>
      </c>
      <c r="G17" s="169" t="inlineStr">
        <is>
          <t>грн</t>
        </is>
      </c>
      <c r="H17" s="167" t="inlineStr">
        <is>
          <t>Задано вами</t>
        </is>
      </c>
    </row>
    <row r="18" ht="26" customHeight="1">
      <c r="B18" s="166" t="inlineStr">
        <is>
          <t>Наша целевая маржа</t>
        </is>
      </c>
      <c r="C18" s="167" t="inlineStr">
        <is>
          <t>Доля цены партнёру, которая остаётся нам после себестоимости и бонуса.</t>
        </is>
      </c>
      <c r="F18" s="170" t="n">
        <v>0.3</v>
      </c>
      <c r="G18" s="169" t="inlineStr">
        <is>
          <t>%</t>
        </is>
      </c>
      <c r="H18" s="167" t="inlineStr">
        <is>
          <t>Задано вами (вкладка «Финмодель 33 паллет», колонка маржи 30 %)</t>
        </is>
      </c>
    </row>
    <row r="19" ht="26" customHeight="1">
      <c r="B19" s="166" t="inlineStr">
        <is>
          <t>Бонус торговой сети</t>
        </is>
      </c>
      <c r="C19" s="167" t="inlineStr">
        <is>
          <t>Доля цены партнёру, которую отдаём сети.</t>
        </is>
      </c>
      <c r="F19" s="171">
        <f>'Финмодель 33 паллет'!D4</f>
        <v>0.25</v>
      </c>
      <c r="G19" s="169" t="inlineStr">
        <is>
          <t>%</t>
        </is>
      </c>
      <c r="H19" s="167" t="inlineStr">
        <is>
          <t>Вкладка «Финмодель 33 паллет», ячейка D4</t>
        </is>
      </c>
    </row>
    <row r="20" ht="26" customHeight="1">
      <c r="B20" s="166" t="inlineStr">
        <is>
          <t>Множитель полки</t>
        </is>
      </c>
      <c r="C20" s="167" t="inlineStr">
        <is>
          <t>Во сколько раз полка дороже цены партнёру (наценка магазина).</t>
        </is>
      </c>
      <c r="F20" s="172">
        <f>'Финмодель 33 паллет'!D6</f>
        <v>1.4</v>
      </c>
      <c r="G20" s="169" t="inlineStr">
        <is>
          <t>×</t>
        </is>
      </c>
      <c r="H20" s="167" t="inlineStr">
        <is>
          <t>Вкладка «Финмодель 33 паллет», ячейка D6</t>
        </is>
      </c>
    </row>
    <row r="21" ht="26" customHeight="1">
      <c r="B21" s="166" t="inlineStr">
        <is>
          <t>Курс</t>
        </is>
      </c>
      <c r="C21" s="167" t="inlineStr">
        <is>
          <t>Пересчёт EUR → грн.</t>
        </is>
      </c>
      <c r="F21" s="172">
        <f>'Финмодель 33 паллет'!D3</f>
        <v>51.2</v>
      </c>
      <c r="G21" s="169" t="inlineStr">
        <is>
          <t>грн/€</t>
        </is>
      </c>
      <c r="H21" s="167" t="inlineStr">
        <is>
          <t>Вкладка «Финмодель 33 паллет», ячейка D3</t>
        </is>
      </c>
    </row>
    <row r="22" ht="26" customHeight="1">
      <c r="B22" s="166" t="inlineStr">
        <is>
          <t>Финансирование себестоимости</t>
        </is>
      </c>
      <c r="C22" s="167" t="inlineStr">
        <is>
          <t>Процент на кредитные деньги от суммы расходов.</t>
        </is>
      </c>
      <c r="F22" s="170" t="n">
        <v>0.025</v>
      </c>
      <c r="G22" s="169" t="inlineStr">
        <is>
          <t>%</t>
        </is>
      </c>
      <c r="H22" s="167" t="inlineStr">
        <is>
          <t>Self-Cost_Sias, ячейка AJ2</t>
        </is>
      </c>
    </row>
    <row r="23" ht="26" customHeight="1">
      <c r="B23" s="166" t="inlineStr">
        <is>
          <t>Импортный НДС</t>
        </is>
      </c>
      <c r="C23" s="167" t="inlineStr">
        <is>
          <t>Входит в себестоимость, как в Self-Cost.</t>
        </is>
      </c>
      <c r="F23" s="170" t="n">
        <v>0.2</v>
      </c>
      <c r="G23" s="169" t="inlineStr">
        <is>
          <t>%</t>
        </is>
      </c>
      <c r="H23" s="167" t="inlineStr">
        <is>
          <t>Self-Cost_Sias, ячейка U1</t>
        </is>
      </c>
    </row>
    <row r="24" ht="26" customHeight="1">
      <c r="B24" s="166" t="inlineStr">
        <is>
          <t>Пошлина</t>
        </is>
      </c>
      <c r="C24" s="167" t="inlineStr">
        <is>
          <t>Для этого товара 0 % (EUR.1).</t>
        </is>
      </c>
      <c r="F24" s="170" t="n">
        <v>0</v>
      </c>
      <c r="G24" s="169" t="inlineStr">
        <is>
          <t>%</t>
        </is>
      </c>
      <c r="H24" s="167" t="inlineStr">
        <is>
          <t>Self-Cost_Sias</t>
        </is>
      </c>
    </row>
    <row r="25" ht="26" customHeight="1">
      <c r="B25" s="166" t="inlineStr">
        <is>
          <t>Перевозка партии</t>
        </is>
      </c>
      <c r="C25" s="167" t="inlineStr">
        <is>
          <t>Фрахт за всю партию.</t>
        </is>
      </c>
      <c r="F25" s="173" t="n">
        <v>3700</v>
      </c>
      <c r="G25" s="169" t="inlineStr">
        <is>
          <t>€</t>
        </is>
      </c>
      <c r="H25" s="167" t="inlineStr">
        <is>
          <t>Self-Cost_Sias, итоговая строка блока, колонка V</t>
        </is>
      </c>
    </row>
    <row r="26" ht="26" customHeight="1">
      <c r="B26" s="166" t="inlineStr">
        <is>
          <t>Брокер партии</t>
        </is>
      </c>
      <c r="C26" s="167" t="inlineStr">
        <is>
          <t>Услуги брокера за партию.</t>
        </is>
      </c>
      <c r="F26" s="173" t="n">
        <v>288</v>
      </c>
      <c r="G26" s="169" t="inlineStr">
        <is>
          <t>€</t>
        </is>
      </c>
      <c r="H26" s="167" t="inlineStr">
        <is>
          <t>Self-Cost_Sias, итоговая строка блока, колонка X</t>
        </is>
      </c>
    </row>
    <row r="27" ht="26" customHeight="1">
      <c r="B27" s="166" t="inlineStr">
        <is>
          <t>Прочие расходы партии</t>
        </is>
      </c>
      <c r="C27" s="167" t="inlineStr">
        <is>
          <t>Решения, терминал, карантин и т. п.</t>
        </is>
      </c>
      <c r="F27" s="173" t="n">
        <v>42</v>
      </c>
      <c r="G27" s="169" t="inlineStr">
        <is>
          <t>€</t>
        </is>
      </c>
      <c r="H27" s="167" t="inlineStr">
        <is>
          <t>Self-Cost_Sias, итоговая строка блока, колонка AB</t>
        </is>
      </c>
    </row>
    <row r="28" ht="26" customHeight="1">
      <c r="B28" s="166" t="inlineStr">
        <is>
          <t>Доля фрахта в таможенной базе</t>
        </is>
      </c>
      <c r="C28" s="167" t="inlineStr">
        <is>
          <t>Часть фрахта, на которую начисляется импортный НДС.</t>
        </is>
      </c>
      <c r="F28" s="168" t="n">
        <v>0.7</v>
      </c>
      <c r="G28" s="169" t="inlineStr">
        <is>
          <t>доля</t>
        </is>
      </c>
      <c r="H28" s="167" t="inlineStr">
        <is>
          <t>Параметр таможенной базы в Self-Cost</t>
        </is>
      </c>
    </row>
    <row r="29" ht="26" customHeight="1">
      <c r="B29" s="166" t="inlineStr">
        <is>
          <t>Пачек на паллете</t>
        </is>
      </c>
      <c r="C29" s="167" t="inlineStr">
        <is>
          <t>Из спецификации SIAS.</t>
        </is>
      </c>
      <c r="F29" s="174" t="n">
        <v>1600</v>
      </c>
      <c r="G29" s="169" t="inlineStr">
        <is>
          <t>шт</t>
        </is>
      </c>
      <c r="H29" s="167" t="inlineStr">
        <is>
          <t>Self-Cost_Sias (20 пачек × 80 коробов)</t>
        </is>
      </c>
    </row>
    <row r="30" ht="26" customHeight="1">
      <c r="B30" s="166" t="inlineStr">
        <is>
          <t>Пачек в коробе</t>
        </is>
      </c>
      <c r="C30" s="167" t="inlineStr">
        <is>
          <t>Нужно для цены короба.</t>
        </is>
      </c>
      <c r="F30" s="174" t="n">
        <v>20</v>
      </c>
      <c r="G30" s="169" t="inlineStr">
        <is>
          <t>шт</t>
        </is>
      </c>
      <c r="H30" s="167" t="inlineStr">
        <is>
          <t>Self-Cost_Sias</t>
        </is>
      </c>
    </row>
    <row r="32" ht="24" customHeight="1">
      <c r="A32" s="153" t="inlineStr">
        <is>
          <t>3. РАСЧЁТ ПО ШАГАМ — от полки 120 грн к закупочной цене (идём от конца к началу)</t>
        </is>
      </c>
      <c r="B32" s="154" t="n"/>
      <c r="C32" s="154" t="n"/>
      <c r="D32" s="154" t="n"/>
      <c r="E32" s="154" t="n"/>
      <c r="F32" s="154" t="n"/>
      <c r="G32" s="154" t="n"/>
      <c r="H32" s="154" t="n"/>
      <c r="I32" s="154" t="n"/>
      <c r="J32" s="154" t="n"/>
      <c r="K32" s="154" t="n"/>
    </row>
    <row r="33" ht="30" customHeight="1">
      <c r="A33" s="175" t="inlineStr">
        <is>
          <t>№</t>
        </is>
      </c>
      <c r="B33" s="175" t="inlineStr">
        <is>
          <t>Что считаем</t>
        </is>
      </c>
      <c r="C33" s="175" t="inlineStr">
        <is>
          <t>Как считаем</t>
        </is>
      </c>
      <c r="D33" s="176" t="n"/>
      <c r="E33" s="176" t="n"/>
      <c r="F33" s="175" t="inlineStr">
        <is>
          <t>Результат</t>
        </is>
      </c>
      <c r="G33" s="175" t="inlineStr">
        <is>
          <t>Ед.</t>
        </is>
      </c>
      <c r="H33" s="175" t="inlineStr">
        <is>
          <t>Почему так</t>
        </is>
      </c>
      <c r="I33" s="176" t="n"/>
      <c r="J33" s="176" t="n"/>
      <c r="K33" s="176" t="n"/>
    </row>
    <row r="34" ht="46" customHeight="1">
      <c r="A34" s="177" t="n">
        <v>1</v>
      </c>
      <c r="B34" s="178" t="inlineStr">
        <is>
          <t>Целевая полка</t>
        </is>
      </c>
      <c r="C34" s="179" t="inlineStr">
        <is>
          <t>заданная цель</t>
        </is>
      </c>
      <c r="D34" s="180" t="n"/>
      <c r="E34" s="180" t="n"/>
      <c r="F34" s="181">
        <f>F17</f>
        <v>120</v>
      </c>
      <c r="G34" s="182" t="inlineStr">
        <is>
          <t>грн</t>
        </is>
      </c>
      <c r="H34" s="183" t="inlineStr">
        <is>
          <t>Это цель: цена, по которой пачка должна стоять на полке магазина (с НДС).</t>
        </is>
      </c>
      <c r="I34" s="180" t="n"/>
      <c r="J34" s="180" t="n"/>
      <c r="K34" s="180" t="n"/>
    </row>
    <row r="35" ht="46" customHeight="1">
      <c r="A35" s="184" t="n">
        <v>2</v>
      </c>
      <c r="B35" s="185" t="inlineStr">
        <is>
          <t>Цена, по которой продаём партнёру (магазину)</t>
        </is>
      </c>
      <c r="C35" s="152" t="inlineStr">
        <is>
          <t>полка ÷ множитель полки</t>
        </is>
      </c>
      <c r="F35" s="186">
        <f>F34/F20</f>
        <v>85.71428571428572</v>
      </c>
      <c r="G35" s="169" t="inlineStr">
        <is>
          <t>грн</t>
        </is>
      </c>
      <c r="H35" s="187" t="inlineStr">
        <is>
          <t>Магазин добавляет к цене закупки у нас наценку (множитель). Значит, нам можно продавать ему не дороже, чем полка ÷ множитель.</t>
        </is>
      </c>
    </row>
    <row r="36" ht="46" customHeight="1">
      <c r="A36" s="177" t="n">
        <v>3</v>
      </c>
      <c r="B36" s="178" t="inlineStr">
        <is>
          <t>Доля цены партнёру на себестоимость</t>
        </is>
      </c>
      <c r="C36" s="179" t="inlineStr">
        <is>
          <t>100 % − бонус сети − наша маржа</t>
        </is>
      </c>
      <c r="D36" s="180" t="n"/>
      <c r="E36" s="180" t="n"/>
      <c r="F36" s="188">
        <f>1-F19-F18</f>
        <v>0.45</v>
      </c>
      <c r="G36" s="182" t="inlineStr">
        <is>
          <t>%</t>
        </is>
      </c>
      <c r="H36" s="183" t="inlineStr">
        <is>
          <t>Из цены партнёру часть уходит сети бонусом, часть — наша целевая маржа. Остаток — то, что можно потратить на себестоимость.</t>
        </is>
      </c>
      <c r="I36" s="180" t="n"/>
      <c r="J36" s="180" t="n"/>
      <c r="K36" s="180" t="n"/>
    </row>
    <row r="37" ht="46" customHeight="1">
      <c r="A37" s="184" t="n">
        <v>4</v>
      </c>
      <c r="B37" s="185" t="inlineStr">
        <is>
          <t>Максимальная себестоимость пачки в Украине</t>
        </is>
      </c>
      <c r="C37" s="152" t="inlineStr">
        <is>
          <t>цена партнёру × доля на себестоимость</t>
        </is>
      </c>
      <c r="F37" s="186">
        <f>F35*F36</f>
        <v>38.57142857142858</v>
      </c>
      <c r="G37" s="169" t="inlineStr">
        <is>
          <t>грн</t>
        </is>
      </c>
      <c r="H37" s="187" t="inlineStr">
        <is>
          <t>Товар + логистика + налоги + финансирование вместе не должны быть дороже. Иначе маржа или полка не сойдутся.</t>
        </is>
      </c>
    </row>
    <row r="38" ht="46" customHeight="1">
      <c r="A38" s="177" t="n">
        <v>5</v>
      </c>
      <c r="B38" s="178" t="inlineStr">
        <is>
          <t>То же в евро</t>
        </is>
      </c>
      <c r="C38" s="179" t="inlineStr">
        <is>
          <t>макс. себестоимость ÷ курс</t>
        </is>
      </c>
      <c r="D38" s="180" t="n"/>
      <c r="E38" s="180" t="n"/>
      <c r="F38" s="189">
        <f>F37/F21</f>
        <v>0.7533482142857143</v>
      </c>
      <c r="G38" s="182" t="inlineStr">
        <is>
          <t>€</t>
        </is>
      </c>
      <c r="H38" s="183" t="inlineStr">
        <is>
          <t>Расходы партии у нас считаются в EUR.</t>
        </is>
      </c>
      <c r="I38" s="180" t="n"/>
      <c r="J38" s="180" t="n"/>
      <c r="K38" s="180" t="n"/>
    </row>
    <row r="39" ht="46" customHeight="1">
      <c r="A39" s="184" t="n">
        <v>6</v>
      </c>
      <c r="B39" s="185" t="inlineStr">
        <is>
          <t>Без процента за финансирование</t>
        </is>
      </c>
      <c r="C39" s="152" t="inlineStr">
        <is>
          <t>€ ÷ (1 + финансирование)</t>
        </is>
      </c>
      <c r="F39" s="156">
        <f>F38/(1+F22)</f>
        <v>0.7349738675958188</v>
      </c>
      <c r="G39" s="169" t="inlineStr">
        <is>
          <t>€</t>
        </is>
      </c>
      <c r="H39" s="187" t="inlineStr">
        <is>
          <t>В себестоимость входит процент за кредитные деньги от суммы расходов; убираем его, чтобы получить сумму расходов без процента.</t>
        </is>
      </c>
    </row>
    <row r="40" ht="46" customHeight="1">
      <c r="A40" s="177" t="n">
        <v>7</v>
      </c>
      <c r="B40" s="178" t="inlineStr">
        <is>
          <t>Расходы на всю партию, не зависящие от цены товара</t>
        </is>
      </c>
      <c r="C40" s="179" t="inlineStr">
        <is>
          <t>перевозка + брокер + прочие + НДС на фрахт</t>
        </is>
      </c>
      <c r="D40" s="180" t="n"/>
      <c r="E40" s="180" t="n"/>
      <c r="F40" s="190">
        <f>F25+F26+F27+F25*F28*(F24+F23*(1+F24))</f>
        <v>4548</v>
      </c>
      <c r="G40" s="182" t="inlineStr">
        <is>
          <t>€</t>
        </is>
      </c>
      <c r="H40" s="183" t="inlineStr">
        <is>
          <t>Эти расходы нужно оплатить за партию независимо от цены товара. Налог на фрахт считается по доле фрахта в таможенной базе.</t>
        </is>
      </c>
      <c r="I40" s="180" t="n"/>
      <c r="J40" s="180" t="n"/>
      <c r="K40" s="180" t="n"/>
    </row>
    <row r="41" ht="46" customHeight="1">
      <c r="A41" s="184" t="n">
        <v>8</v>
      </c>
      <c r="B41" s="185" t="inlineStr">
        <is>
          <t>Пачек в партии</t>
        </is>
      </c>
      <c r="C41" s="152" t="inlineStr">
        <is>
          <t>из раздела 5</t>
        </is>
      </c>
      <c r="F41" s="191">
        <f>D71</f>
        <v>52800</v>
      </c>
      <c r="G41" s="169" t="inlineStr">
        <is>
          <t>шт</t>
        </is>
      </c>
      <c r="H41" s="187" t="inlineStr">
        <is>
          <t>Сумма пачек по всем шести SKU: паллеты × пачек на паллете.</t>
        </is>
      </c>
    </row>
    <row r="42" ht="46" customHeight="1">
      <c r="A42" s="177" t="n">
        <v>9</v>
      </c>
      <c r="B42" s="178" t="inlineStr">
        <is>
          <t>Расходы партии на одну пачку</t>
        </is>
      </c>
      <c r="C42" s="179" t="inlineStr">
        <is>
          <t>расходы партии ÷ пачек</t>
        </is>
      </c>
      <c r="D42" s="180" t="n"/>
      <c r="E42" s="180" t="n"/>
      <c r="F42" s="189">
        <f>F40/F41</f>
        <v>0.08613636363636364</v>
      </c>
      <c r="G42" s="182" t="inlineStr">
        <is>
          <t>€</t>
        </is>
      </c>
      <c r="H42" s="183" t="inlineStr">
        <is>
          <t>Делим расходы партии на пачки поровну — так принято в модели.</t>
        </is>
      </c>
      <c r="I42" s="180" t="n"/>
      <c r="J42" s="180" t="n"/>
      <c r="K42" s="180" t="n"/>
    </row>
    <row r="43" ht="46" customHeight="1">
      <c r="A43" s="184" t="n">
        <v>10</v>
      </c>
      <c r="B43" s="185" t="inlineStr">
        <is>
          <t>Остаётся на товар вместе с импортными налогами</t>
        </is>
      </c>
      <c r="C43" s="152" t="inlineStr">
        <is>
          <t>€ без финансирования − расходы на пачку</t>
        </is>
      </c>
      <c r="F43" s="156">
        <f>F39-F42</f>
        <v>0.6488375039594552</v>
      </c>
      <c r="G43" s="169" t="inlineStr">
        <is>
          <t>€</t>
        </is>
      </c>
      <c r="H43" s="187" t="inlineStr">
        <is>
          <t>Это деньги, которые можно отдать за товар и налоги, начисляемые на цену товара.</t>
        </is>
      </c>
    </row>
    <row r="44" ht="46" customHeight="1">
      <c r="A44" s="177" t="n">
        <v>11</v>
      </c>
      <c r="B44" s="178" t="inlineStr">
        <is>
          <t>Предельная закупка (максимум)</t>
        </is>
      </c>
      <c r="C44" s="179" t="inlineStr">
        <is>
          <t>остаток ÷ (1 + пошлина) ÷ (1 + НДС)</t>
        </is>
      </c>
      <c r="D44" s="180" t="n"/>
      <c r="E44" s="180" t="n"/>
      <c r="F44" s="189">
        <f>F43/((1+F24)*(1+F23))</f>
        <v>0.5406979199662126</v>
      </c>
      <c r="G44" s="182" t="inlineStr">
        <is>
          <t>€</t>
        </is>
      </c>
      <c r="H44" s="183" t="inlineStr">
        <is>
          <t>Импортный НДС и пошлина начисляются на цену товара, поэтому делим на (1+пошлина)×(1+НДС) и получаем чистую цену товара — это математический максимум.</t>
        </is>
      </c>
      <c r="I44" s="180" t="n"/>
      <c r="J44" s="180" t="n"/>
      <c r="K44" s="180" t="n"/>
    </row>
    <row r="45" ht="46" customHeight="1">
      <c r="A45" s="192" t="n">
        <v>12</v>
      </c>
      <c r="B45" s="157" t="inlineStr">
        <is>
          <t>ЦЕНА ДЛЯ ЗАПРОСА SIAS</t>
        </is>
      </c>
      <c r="C45" s="193" t="inlineStr">
        <is>
          <t>предельная закупка, округление вниз до евроцента</t>
        </is>
      </c>
      <c r="D45" s="158" t="n"/>
      <c r="E45" s="158" t="n"/>
      <c r="F45" s="194">
        <f>ROUNDDOWN(F44,2)</f>
        <v>0.54</v>
      </c>
      <c r="G45" s="195" t="inlineStr">
        <is>
          <t>€</t>
        </is>
      </c>
      <c r="H45" s="196" t="inlineStr">
        <is>
          <t>Округляем вниз, чтобы не превысить предел. Это цена для переговоров — одна для всех шести SKU.</t>
        </is>
      </c>
      <c r="I45" s="158" t="n"/>
      <c r="J45" s="158" t="n"/>
      <c r="K45" s="158" t="n"/>
    </row>
    <row r="47" ht="24" customHeight="1">
      <c r="A47" s="153" t="inlineStr">
        <is>
          <t>4. ПРОВЕРКА — куда идёт каждая гривна при цене из ячейки F9 (расчёт вперёд, от закупки к полке)</t>
        </is>
      </c>
      <c r="B47" s="154" t="n"/>
      <c r="C47" s="154" t="n"/>
      <c r="D47" s="154" t="n"/>
      <c r="E47" s="154" t="n"/>
      <c r="F47" s="154" t="n"/>
      <c r="G47" s="154" t="n"/>
      <c r="H47" s="154" t="n"/>
      <c r="I47" s="154" t="n"/>
      <c r="J47" s="154" t="n"/>
      <c r="K47" s="154" t="n"/>
    </row>
    <row r="48" ht="30" customHeight="1">
      <c r="A48" s="175" t="inlineStr">
        <is>
          <t>№</t>
        </is>
      </c>
      <c r="B48" s="175" t="inlineStr">
        <is>
          <t>Статья</t>
        </is>
      </c>
      <c r="C48" s="175" t="inlineStr">
        <is>
          <t>Как считаем</t>
        </is>
      </c>
      <c r="D48" s="176" t="n"/>
      <c r="E48" s="176" t="n"/>
      <c r="F48" s="175" t="inlineStr">
        <is>
          <t>грн / пачку</t>
        </is>
      </c>
      <c r="G48" s="175" t="inlineStr">
        <is>
          <t>% полки</t>
        </is>
      </c>
      <c r="H48" s="175" t="inlineStr">
        <is>
          <t>Доля полки</t>
        </is>
      </c>
      <c r="I48" s="176" t="n"/>
      <c r="J48" s="176" t="n"/>
      <c r="K48" s="176" t="n"/>
    </row>
    <row r="49" ht="24" customHeight="1">
      <c r="A49" s="177" t="n">
        <v>1</v>
      </c>
      <c r="B49" s="197" t="inlineStr">
        <is>
          <t>Товар от поставщика</t>
        </is>
      </c>
      <c r="C49" s="198" t="inlineStr">
        <is>
          <t>цена закупки € × курс</t>
        </is>
      </c>
      <c r="D49" s="180" t="n"/>
      <c r="E49" s="180" t="n"/>
      <c r="F49" s="199">
        <f>F9*F21</f>
        <v>27.648000000000003</v>
      </c>
      <c r="G49" s="200">
        <f>F49/$F$59</f>
        <v>0.2306628406952936</v>
      </c>
      <c r="H49" s="201" t="str">
        <f>REPT("█",ROUND(G49*38,0))</f>
        <v>█████████</v>
      </c>
      <c r="I49" s="180" t="n"/>
      <c r="J49" s="180" t="n"/>
      <c r="K49" s="180" t="n"/>
    </row>
    <row r="50" ht="24" customHeight="1">
      <c r="A50" s="184" t="n">
        <v>2</v>
      </c>
      <c r="B50" s="202" t="inlineStr">
        <is>
          <t>Логистика, брокер, прочие</t>
        </is>
      </c>
      <c r="C50" s="167" t="inlineStr">
        <is>
          <t>(перевозка + брокер + прочие) ÷ пачек × курс</t>
        </is>
      </c>
      <c r="F50" s="203">
        <f>(F25+F26+F27)/F41*F21</f>
        <v>3.907878787878788</v>
      </c>
      <c r="G50" s="204">
        <f>F50/$F$59</f>
        <v>0.03260280751971216</v>
      </c>
      <c r="H50" s="205" t="str">
        <f>REPT("█",ROUND(G50*38,0))</f>
        <v>█</v>
      </c>
    </row>
    <row r="51" ht="24" customHeight="1">
      <c r="A51" s="177" t="n">
        <v>3</v>
      </c>
      <c r="B51" s="197" t="inlineStr">
        <is>
          <t>Пошлина</t>
        </is>
      </c>
      <c r="C51" s="198" t="inlineStr">
        <is>
          <t>(цена + фрахт таможни на пачку) × пошлина × курс</t>
        </is>
      </c>
      <c r="D51" s="180" t="n"/>
      <c r="E51" s="180" t="n"/>
      <c r="F51" s="199">
        <f>(F9+F25*F28/F41)*F24*F21</f>
        <v>0</v>
      </c>
      <c r="G51" s="200">
        <f>F51/$F$59</f>
        <v>0</v>
      </c>
      <c r="H51" s="206" t="str">
        <f>REPT("█",ROUND(G51*38,0))</f>
        <v/>
      </c>
      <c r="I51" s="180" t="n"/>
      <c r="J51" s="180" t="n"/>
      <c r="K51" s="180" t="n"/>
    </row>
    <row r="52" ht="30" customHeight="1">
      <c r="A52" s="184" t="n">
        <v>4</v>
      </c>
      <c r="B52" s="202" t="inlineStr">
        <is>
          <t>Импортный НДС</t>
        </is>
      </c>
      <c r="C52" s="167" t="inlineStr">
        <is>
          <t>(цена + фрахт таможни на пачку) × (1+пошлина) × НДС × курс</t>
        </is>
      </c>
      <c r="F52" s="203">
        <f>(F9+F25*F28/F41)*(1+F24)*F23*F21</f>
        <v>6.031903030303031</v>
      </c>
      <c r="G52" s="204">
        <f>F52/$F$59</f>
        <v>0.050323201959210306</v>
      </c>
      <c r="H52" s="205" t="str">
        <f>REPT("█",ROUND(G52*38,0))</f>
        <v>██</v>
      </c>
    </row>
    <row r="53" ht="24" customHeight="1">
      <c r="A53" s="177" t="n">
        <v>5</v>
      </c>
      <c r="B53" s="197" t="inlineStr">
        <is>
          <t>Финансирование</t>
        </is>
      </c>
      <c r="C53" s="198" t="inlineStr">
        <is>
          <t>сумма четырёх статей выше × % финансирования</t>
        </is>
      </c>
      <c r="D53" s="180" t="n"/>
      <c r="E53" s="180" t="n"/>
      <c r="F53" s="199">
        <f>SUM(F49:F52)*F22</f>
        <v>0.9396945454545457</v>
      </c>
      <c r="G53" s="200">
        <f>F53/$F$59</f>
        <v>0.007839721254355402</v>
      </c>
      <c r="H53" s="206" t="str">
        <f>REPT("█",ROUND(G53*38,0))</f>
        <v/>
      </c>
      <c r="I53" s="180" t="n"/>
      <c r="J53" s="180" t="n"/>
      <c r="K53" s="180" t="n"/>
    </row>
    <row r="54" ht="24" customHeight="1">
      <c r="A54" s="192" t="n">
        <v>6</v>
      </c>
      <c r="B54" s="207" t="inlineStr">
        <is>
          <t>ИТОГО · ПОЛНАЯ СЕБЕСТОИМОСТЬ (СС)</t>
        </is>
      </c>
      <c r="C54" s="208" t="inlineStr">
        <is>
          <t>сумма статей выше</t>
        </is>
      </c>
      <c r="D54" s="158" t="n"/>
      <c r="E54" s="158" t="n"/>
      <c r="F54" s="209">
        <f>SUM(F49:F53)</f>
        <v>38.52747636363637</v>
      </c>
      <c r="G54" s="210">
        <f>F54/$F$59</f>
        <v>0.32142857142857145</v>
      </c>
      <c r="H54" s="211" t="str">
        <f>REPT("█",ROUND(G54*38,0))</f>
        <v>████████████</v>
      </c>
      <c r="I54" s="158" t="n"/>
      <c r="J54" s="158" t="n"/>
      <c r="K54" s="158" t="n"/>
    </row>
    <row r="55" ht="24" customHeight="1">
      <c r="A55" s="177" t="n">
        <v>7</v>
      </c>
      <c r="B55" s="197" t="inlineStr">
        <is>
          <t>Бонус торговой сети</t>
        </is>
      </c>
      <c r="C55" s="198" t="inlineStr">
        <is>
          <t>цена партнёру × % бонуса</t>
        </is>
      </c>
      <c r="D55" s="180" t="n"/>
      <c r="E55" s="180" t="n"/>
      <c r="F55" s="199">
        <f>F57*F19</f>
        <v>21.404153535353537</v>
      </c>
      <c r="G55" s="200">
        <f>F55/$F$59</f>
        <v>0.17857142857142858</v>
      </c>
      <c r="H55" s="212" t="str">
        <f>REPT("█",ROUND(G55*38,0))</f>
        <v>███████</v>
      </c>
      <c r="I55" s="180" t="n"/>
      <c r="J55" s="180" t="n"/>
      <c r="K55" s="180" t="n"/>
    </row>
    <row r="56" ht="24" customHeight="1">
      <c r="A56" s="184" t="n">
        <v>8</v>
      </c>
      <c r="B56" s="202" t="inlineStr">
        <is>
          <t>Наша прибыль после бонуса</t>
        </is>
      </c>
      <c r="C56" s="167" t="inlineStr">
        <is>
          <t>цена партнёру − СС − бонус</t>
        </is>
      </c>
      <c r="F56" s="203">
        <f>F57-F54-F55</f>
        <v>25.684984242424242</v>
      </c>
      <c r="G56" s="204">
        <f>F56/$F$59</f>
        <v>0.2142857142857143</v>
      </c>
      <c r="H56" s="213" t="str">
        <f>REPT("█",ROUND(G56*38,0))</f>
        <v>████████</v>
      </c>
    </row>
    <row r="57" ht="24" customHeight="1">
      <c r="A57" s="192" t="n">
        <v>9</v>
      </c>
      <c r="B57" s="207" t="inlineStr">
        <is>
          <t>ИТОГО · ЦЕНА ПАРТНЁРУ (с НДС)</t>
        </is>
      </c>
      <c r="C57" s="208" t="inlineStr">
        <is>
          <t>СС ÷ (1 − бонус − маржа)</t>
        </is>
      </c>
      <c r="D57" s="158" t="n"/>
      <c r="E57" s="158" t="n"/>
      <c r="F57" s="209">
        <f>F54/(1-F19-F18)</f>
        <v>85.61661414141415</v>
      </c>
      <c r="G57" s="210">
        <f>F57/$F$59</f>
        <v>0.7142857142857143</v>
      </c>
      <c r="H57" s="211" t="str">
        <f>REPT("█",ROUND(G57*38,0))</f>
        <v>███████████████████████████</v>
      </c>
      <c r="I57" s="158" t="n"/>
      <c r="J57" s="158" t="n"/>
      <c r="K57" s="158" t="n"/>
    </row>
    <row r="58" ht="24" customHeight="1">
      <c r="A58" s="184" t="n">
        <v>10</v>
      </c>
      <c r="B58" s="202" t="inlineStr">
        <is>
          <t>Наценка магазина</t>
        </is>
      </c>
      <c r="C58" s="167" t="inlineStr">
        <is>
          <t>цена партнёру × (множитель − 1)</t>
        </is>
      </c>
      <c r="F58" s="203">
        <f>F57*(F20-1)</f>
        <v>34.246645656565654</v>
      </c>
      <c r="G58" s="204">
        <f>F58/$F$59</f>
        <v>0.2857142857142857</v>
      </c>
      <c r="H58" s="214" t="str">
        <f>REPT("█",ROUND(G58*38,0))</f>
        <v>███████████</v>
      </c>
    </row>
    <row r="59" ht="24" customHeight="1">
      <c r="A59" s="192" t="n">
        <v>11</v>
      </c>
      <c r="B59" s="207" t="inlineStr">
        <is>
          <t>ИТОГО · ПОЛКА (с НДС)</t>
        </is>
      </c>
      <c r="C59" s="208" t="inlineStr">
        <is>
          <t>цена партнёру × множитель</t>
        </is>
      </c>
      <c r="D59" s="158" t="n"/>
      <c r="E59" s="158" t="n"/>
      <c r="F59" s="209">
        <f>F57*F20</f>
        <v>119.8632597979798</v>
      </c>
      <c r="G59" s="210">
        <f>F59/$F$59</f>
        <v>1</v>
      </c>
      <c r="H59" s="211" t="str">
        <f>REPT("█",ROUND(G59*38,0))</f>
        <v>██████████████████████████████████████</v>
      </c>
      <c r="I59" s="158" t="n"/>
      <c r="J59" s="158" t="n"/>
      <c r="K59" s="158" t="n"/>
    </row>
    <row r="60">
      <c r="B60" s="166" t="inlineStr">
        <is>
          <t>Проверка: наша маржа при этой цене</t>
        </is>
      </c>
      <c r="C60" s="215" t="inlineStr">
        <is>
          <t>прибыль ÷ цена партнёру (должна совпасть с целевой)</t>
        </is>
      </c>
      <c r="F60" s="164">
        <f>F56/F57</f>
        <v>0.3</v>
      </c>
      <c r="H60" s="216" t="inlineStr">
        <is>
          <t>Запрос округлён вниз → полка чуть ниже цели, маржа чуть выше 30 %.</t>
        </is>
      </c>
    </row>
    <row r="61">
      <c r="B61" s="166" t="inlineStr">
        <is>
          <t>Маржа, если полка ровно как цель</t>
        </is>
      </c>
      <c r="C61" s="215" t="inlineStr">
        <is>
          <t>(цена партнёру для цели − СС − бонус) ÷ цена партнёру</t>
        </is>
      </c>
      <c r="F61" s="164">
        <f>(F35-F54-F35*F19)/F35</f>
        <v>0.30051277575757573</v>
      </c>
    </row>
    <row r="63" ht="24" customHeight="1">
      <c r="A63" s="153" t="inlineStr">
        <is>
          <t>5. СРАВНЕНИЕ С ЦЕНОЙ СЕЙЧАС — по каждому SKU</t>
        </is>
      </c>
      <c r="B63" s="154" t="n"/>
      <c r="C63" s="154" t="n"/>
      <c r="D63" s="154" t="n"/>
      <c r="E63" s="154" t="n"/>
      <c r="F63" s="154" t="n"/>
      <c r="G63" s="154" t="n"/>
      <c r="H63" s="154" t="n"/>
      <c r="I63" s="154" t="n"/>
      <c r="J63" s="154" t="n"/>
      <c r="K63" s="154" t="n"/>
    </row>
    <row r="64" ht="44" customHeight="1">
      <c r="A64" s="175" t="inlineStr">
        <is>
          <t>№</t>
        </is>
      </c>
      <c r="B64" s="175" t="inlineStr">
        <is>
          <t>Продукт SIAS</t>
        </is>
      </c>
      <c r="C64" s="175" t="inlineStr">
        <is>
          <t>Паллет</t>
        </is>
      </c>
      <c r="D64" s="175" t="inlineStr">
        <is>
          <t>Пачек</t>
        </is>
      </c>
      <c r="E64" s="175" t="inlineStr">
        <is>
          <t>Цена сейчас, €/уп.</t>
        </is>
      </c>
      <c r="F64" s="175" t="inlineStr">
        <is>
          <t>Цена в расчёте, €/уп.</t>
        </is>
      </c>
      <c r="G64" s="175" t="inlineStr">
        <is>
          <t>Снижение</t>
        </is>
      </c>
      <c r="H64" s="175" t="inlineStr">
        <is>
          <t>Товар в партии сейчас, €</t>
        </is>
      </c>
      <c r="I64" s="175" t="inlineStr">
        <is>
          <t>Товар в партии при расчётной цене, €</t>
        </is>
      </c>
      <c r="J64" s="175" t="inlineStr">
        <is>
          <t>Полка сейчас при марже 30 %, грн</t>
        </is>
      </c>
      <c r="K64" s="175" t="inlineStr">
        <is>
          <t>До цели, грн</t>
        </is>
      </c>
    </row>
    <row r="65" ht="24" customHeight="1">
      <c r="A65" s="177" t="n">
        <v>1</v>
      </c>
      <c r="B65" s="217" t="str">
        <f>'Финмодель 33 паллет'!C11</f>
        <v>Gouda Cheese 123 г</v>
      </c>
      <c r="C65" s="218" t="n">
        <v>7</v>
      </c>
      <c r="D65" s="219">
        <f>C65*$F$29</f>
        <v>11200</v>
      </c>
      <c r="E65" s="220" t="n">
        <v>0.75</v>
      </c>
      <c r="F65" s="221">
        <f>$F$9</f>
        <v>0.54</v>
      </c>
      <c r="G65" s="188">
        <f>1-F65/E65</f>
        <v>0.2799999999999999</v>
      </c>
      <c r="H65" s="219">
        <f>D65*E65</f>
        <v>8400</v>
      </c>
      <c r="I65" s="219">
        <f>D65*F65</f>
        <v>6048</v>
      </c>
      <c r="J65" s="222">
        <f>'Финмодель 33 паллет'!T11</f>
        <v>162.17698030634565</v>
      </c>
      <c r="K65" s="223">
        <f>J65-$F$17</f>
        <v>42.176980306345655</v>
      </c>
    </row>
    <row r="66" ht="24" customHeight="1">
      <c r="A66" s="184" t="n">
        <v>2</v>
      </c>
      <c r="B66" s="224" t="str">
        <f>'Финмодель 33 паллет'!C12</f>
        <v>Carbonara Spicy 131 г</v>
      </c>
      <c r="C66" s="218" t="n">
        <v>7</v>
      </c>
      <c r="D66" s="225">
        <f>C66*$F$29</f>
        <v>11200</v>
      </c>
      <c r="E66" s="220" t="n">
        <v>0.75</v>
      </c>
      <c r="F66" s="226">
        <f>$F$9</f>
        <v>0.54</v>
      </c>
      <c r="G66" s="164">
        <f>1-F66/E66</f>
        <v>0.2799999999999999</v>
      </c>
      <c r="H66" s="225">
        <f>D66*E66</f>
        <v>8400</v>
      </c>
      <c r="I66" s="225">
        <f>D66*F66</f>
        <v>6048</v>
      </c>
      <c r="J66" s="227">
        <f>'Финмодель 33 паллет'!T12</f>
        <v>162.17698030634565</v>
      </c>
      <c r="K66" s="228">
        <f>J66-$F$17</f>
        <v>42.176980306345655</v>
      </c>
    </row>
    <row r="67" ht="24" customHeight="1">
      <c r="A67" s="177" t="n">
        <v>3</v>
      </c>
      <c r="B67" s="217" t="str">
        <f>'Финмодель 33 паллет'!C13</f>
        <v>Vegetable Flavor 113 г</v>
      </c>
      <c r="C67" s="218" t="n">
        <v>4</v>
      </c>
      <c r="D67" s="219">
        <f>C67*$F$29</f>
        <v>6400</v>
      </c>
      <c r="E67" s="220" t="n">
        <v>0.65</v>
      </c>
      <c r="F67" s="221">
        <f>$F$9</f>
        <v>0.54</v>
      </c>
      <c r="G67" s="188">
        <f>1-F67/E67</f>
        <v>0.16923076923076918</v>
      </c>
      <c r="H67" s="219">
        <f>D67*E67</f>
        <v>4160</v>
      </c>
      <c r="I67" s="219">
        <f>D67*F67</f>
        <v>3456</v>
      </c>
      <c r="J67" s="222">
        <f>'Финмодель 33 паллет'!T13</f>
        <v>140.55338293216636</v>
      </c>
      <c r="K67" s="223">
        <f>J67-$F$17</f>
        <v>20.553382932166357</v>
      </c>
    </row>
    <row r="68" ht="24" customHeight="1">
      <c r="A68" s="184" t="n">
        <v>4</v>
      </c>
      <c r="B68" s="224" t="str">
        <f>'Финмодель 33 паллет'!C14</f>
        <v>Spicy Flavor 112.5 г</v>
      </c>
      <c r="C68" s="218" t="n">
        <v>5</v>
      </c>
      <c r="D68" s="225">
        <f>C68*$F$29</f>
        <v>8000</v>
      </c>
      <c r="E68" s="220" t="n">
        <v>0.65</v>
      </c>
      <c r="F68" s="226">
        <f>$F$9</f>
        <v>0.54</v>
      </c>
      <c r="G68" s="164">
        <f>1-F68/E68</f>
        <v>0.16923076923076918</v>
      </c>
      <c r="H68" s="225">
        <f>D68*E68</f>
        <v>5200</v>
      </c>
      <c r="I68" s="225">
        <f>D68*F68</f>
        <v>4320</v>
      </c>
      <c r="J68" s="227">
        <f>'Финмодель 33 паллет'!T14</f>
        <v>140.55338293216636</v>
      </c>
      <c r="K68" s="228">
        <f>J68-$F$17</f>
        <v>20.553382932166357</v>
      </c>
    </row>
    <row r="69" ht="24" customHeight="1">
      <c r="A69" s="177" t="n">
        <v>5</v>
      </c>
      <c r="B69" s="217" t="str">
        <f>'Финмодель 33 паллет'!C15</f>
        <v>Beef Flavor 113 г</v>
      </c>
      <c r="C69" s="218" t="n">
        <v>5</v>
      </c>
      <c r="D69" s="219">
        <f>C69*$F$29</f>
        <v>8000</v>
      </c>
      <c r="E69" s="220" t="n">
        <v>0.65</v>
      </c>
      <c r="F69" s="221">
        <f>$F$9</f>
        <v>0.54</v>
      </c>
      <c r="G69" s="188">
        <f>1-F69/E69</f>
        <v>0.16923076923076918</v>
      </c>
      <c r="H69" s="219">
        <f>D69*E69</f>
        <v>5200</v>
      </c>
      <c r="I69" s="219">
        <f>D69*F69</f>
        <v>4320</v>
      </c>
      <c r="J69" s="222">
        <f>'Финмодель 33 паллет'!T15</f>
        <v>140.55338293216636</v>
      </c>
      <c r="K69" s="223">
        <f>J69-$F$17</f>
        <v>20.553382932166357</v>
      </c>
    </row>
    <row r="70" ht="24" customHeight="1">
      <c r="A70" s="184" t="n">
        <v>6</v>
      </c>
      <c r="B70" s="224" t="str">
        <f>'Финмодель 33 паллет'!C16</f>
        <v>Chicken Flavor 113 г</v>
      </c>
      <c r="C70" s="218" t="n">
        <v>5</v>
      </c>
      <c r="D70" s="225">
        <f>C70*$F$29</f>
        <v>8000</v>
      </c>
      <c r="E70" s="220" t="n">
        <v>0.65</v>
      </c>
      <c r="F70" s="226">
        <f>$F$9</f>
        <v>0.54</v>
      </c>
      <c r="G70" s="164">
        <f>1-F70/E70</f>
        <v>0.16923076923076918</v>
      </c>
      <c r="H70" s="225">
        <f>D70*E70</f>
        <v>5200</v>
      </c>
      <c r="I70" s="225">
        <f>D70*F70</f>
        <v>4320</v>
      </c>
      <c r="J70" s="227">
        <f>'Финмодель 33 паллет'!T16</f>
        <v>140.55338293216636</v>
      </c>
      <c r="K70" s="228">
        <f>J70-$F$17</f>
        <v>20.553382932166357</v>
      </c>
    </row>
    <row r="71" ht="24" customHeight="1">
      <c r="A71" s="207" t="n"/>
      <c r="B71" s="207" t="inlineStr">
        <is>
          <t>ИТОГО</t>
        </is>
      </c>
      <c r="C71" s="229">
        <f>SUM(C65:C70)</f>
        <v>33</v>
      </c>
      <c r="D71" s="230">
        <f>SUM(D65:D70)</f>
        <v>52800</v>
      </c>
      <c r="E71" s="207" t="n"/>
      <c r="F71" s="207" t="n"/>
      <c r="G71" s="231">
        <f>1-I71/H71</f>
        <v>0.22013129102844642</v>
      </c>
      <c r="H71" s="230">
        <f>SUM(H65:H70)</f>
        <v>36560</v>
      </c>
      <c r="I71" s="230">
        <f>SUM(I65:I70)</f>
        <v>28512</v>
      </c>
      <c r="J71" s="207" t="n"/>
      <c r="K71" s="207" t="n"/>
    </row>
    <row r="72">
      <c r="B72" s="160" t="inlineStr">
        <is>
          <t>Название SKU, полка сейчас (колонка T, маржа 30 %) — из вкладки «Финмодель 33 паллет»; паллеты и цены сейчас — из Self-Cost_Sias (строки 30–35), введены вручную.</t>
        </is>
      </c>
    </row>
    <row r="74" ht="24" customHeight="1">
      <c r="A74" s="153" t="inlineStr">
        <is>
          <t>6. ЧУВСТВИТЕЛЬНОСТЬ — какая закупка нужна при другой полке и маржи (€/уп., вниз до евроцента)</t>
        </is>
      </c>
      <c r="B74" s="154" t="n"/>
      <c r="C74" s="154" t="n"/>
      <c r="D74" s="154" t="n"/>
      <c r="E74" s="154" t="n"/>
      <c r="F74" s="154" t="n"/>
      <c r="G74" s="154" t="n"/>
      <c r="H74" s="154" t="n"/>
      <c r="I74" s="154" t="n"/>
      <c r="J74" s="154" t="n"/>
      <c r="K74" s="154" t="n"/>
    </row>
    <row r="75" ht="30" customHeight="1">
      <c r="A75" s="175" t="inlineStr"/>
      <c r="B75" s="175" t="inlineStr">
        <is>
          <t>Маржа ↓   /   Полка, грн →</t>
        </is>
      </c>
      <c r="C75" s="232" t="n">
        <v>105</v>
      </c>
      <c r="D75" s="232" t="n">
        <v>110</v>
      </c>
      <c r="E75" s="232" t="n">
        <v>120</v>
      </c>
      <c r="F75" s="232" t="n">
        <v>130</v>
      </c>
      <c r="G75" s="232" t="n">
        <v>140</v>
      </c>
      <c r="H75" s="233" t="inlineStr">
        <is>
          <t>Как читать</t>
        </is>
      </c>
    </row>
    <row r="76" ht="26" customHeight="1">
      <c r="B76" s="234" t="n">
        <v>0.35</v>
      </c>
      <c r="C76" s="235">
        <f>ROUNDDOWN(((C$75/$F$20*(1-$F$19-$B76))/$F$21/(1+$F$22)-$F$40/$F$41)/((1+$F$24)*(1+$F$23)),2)</f>
        <v>0.4</v>
      </c>
      <c r="D76" s="235">
        <f>ROUNDDOWN(((D$75/$F$20*(1-$F$19-$B76))/$F$21/(1+$F$22)-$F$40/$F$41)/((1+$F$24)*(1+$F$23)),2)</f>
        <v>0.42</v>
      </c>
      <c r="E76" s="235">
        <f>ROUNDDOWN(((E$75/$F$20*(1-$F$19-$B76))/$F$21/(1+$F$22)-$F$40/$F$41)/((1+$F$24)*(1+$F$23)),2)</f>
        <v>0.47</v>
      </c>
      <c r="F76" s="235">
        <f>ROUNDDOWN(((F$75/$F$20*(1-$F$19-$B76))/$F$21/(1+$F$22)-$F$40/$F$41)/((1+$F$24)*(1+$F$23)),2)</f>
        <v>0.51</v>
      </c>
      <c r="G76" s="235">
        <f>ROUNDDOWN(((G$75/$F$20*(1-$F$19-$B76))/$F$21/(1+$F$22)-$F$40/$F$41)/((1+$F$24)*(1+$F$23)),2)</f>
        <v>0.56</v>
      </c>
      <c r="H76" s="167" t="inlineStr">
        <is>
          <t>Каждая клетка — максимальная закупка для заданных полки и маржи (формулы шага 3). Жёлтые числа слева и сверху можно менять.
Зелёный — хватает даже при текущей цене SIAS; светло-зелёный — только для SKU по €0,65; жёлтый — нужна скидка до €0,50…0,65; красный — глубже (&lt; €0,50).
Цель расчёта: полка 120 грн, маржа 30 %.</t>
        </is>
      </c>
    </row>
    <row r="77" ht="26" customHeight="1">
      <c r="B77" s="234" t="n">
        <v>0.3</v>
      </c>
      <c r="C77" s="235">
        <f>ROUNDDOWN(((C$75/$F$20*(1-$F$19-$B77))/$F$21/(1+$F$22)-$F$40/$F$41)/((1+$F$24)*(1+$F$23)),2)</f>
        <v>0.46</v>
      </c>
      <c r="D77" s="235">
        <f>ROUNDDOWN(((D$75/$F$20*(1-$F$19-$B77))/$F$21/(1+$F$22)-$F$40/$F$41)/((1+$F$24)*(1+$F$23)),2)</f>
        <v>0.48</v>
      </c>
      <c r="E77" s="235">
        <f>ROUNDDOWN(((E$75/$F$20*(1-$F$19-$B77))/$F$21/(1+$F$22)-$F$40/$F$41)/((1+$F$24)*(1+$F$23)),2)</f>
        <v>0.54</v>
      </c>
      <c r="F77" s="235">
        <f>ROUNDDOWN(((F$75/$F$20*(1-$F$19-$B77))/$F$21/(1+$F$22)-$F$40/$F$41)/((1+$F$24)*(1+$F$23)),2)</f>
        <v>0.59</v>
      </c>
      <c r="G77" s="235">
        <f>ROUNDDOWN(((G$75/$F$20*(1-$F$19-$B77))/$F$21/(1+$F$22)-$F$40/$F$41)/((1+$F$24)*(1+$F$23)),2)</f>
        <v>0.64</v>
      </c>
    </row>
    <row r="78" ht="26" customHeight="1">
      <c r="B78" s="234" t="n">
        <v>0.25</v>
      </c>
      <c r="C78" s="235">
        <f>ROUNDDOWN(((C$75/$F$20*(1-$F$19-$B78))/$F$21/(1+$F$22)-$F$40/$F$41)/((1+$F$24)*(1+$F$23)),2)</f>
        <v>0.52</v>
      </c>
      <c r="D78" s="235">
        <f>ROUNDDOWN(((D$75/$F$20*(1-$F$19-$B78))/$F$21/(1+$F$22)-$F$40/$F$41)/((1+$F$24)*(1+$F$23)),2)</f>
        <v>0.55</v>
      </c>
      <c r="E78" s="235">
        <f>ROUNDDOWN(((E$75/$F$20*(1-$F$19-$B78))/$F$21/(1+$F$22)-$F$40/$F$41)/((1+$F$24)*(1+$F$23)),2)</f>
        <v>0.6</v>
      </c>
      <c r="F78" s="235">
        <f>ROUNDDOWN(((F$75/$F$20*(1-$F$19-$B78))/$F$21/(1+$F$22)-$F$40/$F$41)/((1+$F$24)*(1+$F$23)),2)</f>
        <v>0.66</v>
      </c>
      <c r="G78" s="235">
        <f>ROUNDDOWN(((G$75/$F$20*(1-$F$19-$B78))/$F$21/(1+$F$22)-$F$40/$F$41)/((1+$F$24)*(1+$F$23)),2)</f>
        <v>0.72</v>
      </c>
    </row>
    <row r="79" ht="26" customHeight="1">
      <c r="B79" s="234" t="n">
        <v>0.2</v>
      </c>
      <c r="C79" s="235">
        <f>ROUNDDOWN(((C$75/$F$20*(1-$F$19-$B79))/$F$21/(1+$F$22)-$F$40/$F$41)/((1+$F$24)*(1+$F$23)),2)</f>
        <v>0.58</v>
      </c>
      <c r="D79" s="235">
        <f>ROUNDDOWN(((D$75/$F$20*(1-$F$19-$B79))/$F$21/(1+$F$22)-$F$40/$F$41)/((1+$F$24)*(1+$F$23)),2)</f>
        <v>0.61</v>
      </c>
      <c r="E79" s="235">
        <f>ROUNDDOWN(((E$75/$F$20*(1-$F$19-$B79))/$F$21/(1+$F$22)-$F$40/$F$41)/((1+$F$24)*(1+$F$23)),2)</f>
        <v>0.67</v>
      </c>
      <c r="F79" s="235">
        <f>ROUNDDOWN(((F$75/$F$20*(1-$F$19-$B79))/$F$21/(1+$F$22)-$F$40/$F$41)/((1+$F$24)*(1+$F$23)),2)</f>
        <v>0.73</v>
      </c>
      <c r="G79" s="235">
        <f>ROUNDDOWN(((G$75/$F$20*(1-$F$19-$B79))/$F$21/(1+$F$22)-$F$40/$F$41)/((1+$F$24)*(1+$F$23)),2)</f>
        <v>0.8</v>
      </c>
    </row>
    <row r="80" ht="26" customHeight="1">
      <c r="B80" s="234" t="n">
        <v>0.15</v>
      </c>
      <c r="C80" s="235">
        <f>ROUNDDOWN(((C$75/$F$20*(1-$F$19-$B80))/$F$21/(1+$F$22)-$F$40/$F$41)/((1+$F$24)*(1+$F$23)),2)</f>
        <v>0.64</v>
      </c>
      <c r="D80" s="235">
        <f>ROUNDDOWN(((D$75/$F$20*(1-$F$19-$B80))/$F$21/(1+$F$22)-$F$40/$F$41)/((1+$F$24)*(1+$F$23)),2)</f>
        <v>0.67</v>
      </c>
      <c r="E80" s="235">
        <f>ROUNDDOWN(((E$75/$F$20*(1-$F$19-$B80))/$F$21/(1+$F$22)-$F$40/$F$41)/((1+$F$24)*(1+$F$23)),2)</f>
        <v>0.74</v>
      </c>
      <c r="F80" s="235">
        <f>ROUNDDOWN(((F$75/$F$20*(1-$F$19-$B80))/$F$21/(1+$F$22)-$F$40/$F$41)/((1+$F$24)*(1+$F$23)),2)</f>
        <v>0.81</v>
      </c>
      <c r="G80" s="235">
        <f>ROUNDDOWN(((G$75/$F$20*(1-$F$19-$B80))/$F$21/(1+$F$22)-$F$40/$F$41)/((1+$F$24)*(1+$F$23)),2)</f>
        <v>0.88</v>
      </c>
    </row>
    <row r="82" ht="24" customHeight="1">
      <c r="A82" s="153" t="inlineStr">
        <is>
          <t>7. ДОПУЩЕНИЯ И ЧТО НЕ УЧТЕНО</t>
        </is>
      </c>
      <c r="B82" s="154" t="n"/>
      <c r="C82" s="154" t="n"/>
      <c r="D82" s="154" t="n"/>
      <c r="E82" s="154" t="n"/>
      <c r="F82" s="154" t="n"/>
      <c r="G82" s="154" t="n"/>
      <c r="H82" s="154" t="n"/>
      <c r="I82" s="154" t="n"/>
      <c r="J82" s="154" t="n"/>
      <c r="K82" s="154" t="n"/>
    </row>
    <row r="83" ht="30" customHeight="1">
      <c r="B83" s="236" t="inlineStr">
        <is>
          <t>• Бонус сети, множитель полки и курс — условия модели (вкладка «Финмодель 33 паллет»); сетями не подтверждены.</t>
        </is>
      </c>
    </row>
    <row r="84" ht="30" customHeight="1">
      <c r="B84" s="236" t="inlineStr">
        <is>
          <t>• Импортный НДС входит в себестоимость (как в Self-Cost), а цена партнёру и полка — с НДС. Если импортный НДС возмещается, допустимая закупка выше — см. контрольный расчёт ниже.</t>
        </is>
      </c>
    </row>
    <row r="85" ht="30" customHeight="1">
      <c r="B85" s="236" t="inlineStr">
        <is>
          <t>• Расходы партии делятся на пачки поровну; в Self-Cost они делятся пропорционально стоимости SKU, поэтому «СС сейчас» там чуть отличается от «СС при запросе» (≈1 %).</t>
        </is>
      </c>
    </row>
    <row r="86" ht="30" customHeight="1">
      <c r="B86" s="236" t="inlineStr">
        <is>
          <t>• Не учтены: листинг-фи и промо-поддержка сетей, отсрочка платежа, брак и возвраты, колебания курса.</t>
        </is>
      </c>
    </row>
    <row r="87" ht="30" customHeight="1">
      <c r="B87" s="236" t="inlineStr">
        <is>
          <t>• Согласие SIAS на эту цену не получено — это цена для переговоров.</t>
        </is>
      </c>
    </row>
    <row r="89" ht="34" customHeight="1">
      <c r="B89" s="237" t="inlineStr">
        <is>
          <t>Контрольный расчёт (не основной): НДС нейтрален — полка без НДС, импортный НДС не в себестоимости</t>
        </is>
      </c>
      <c r="C89" s="180" t="n"/>
      <c r="D89" s="180" t="n"/>
      <c r="E89" s="180" t="n"/>
      <c r="F89" s="238">
        <f>ROUNDDOWN(((F17/F20/(1+F23))*(1-F19-F18)/F21/(1+F22)-(F25+F26+F27)/F41)/(1+F24),2)</f>
        <v>0.53</v>
      </c>
      <c r="G89" s="216" t="str">
        <f>"против €"&amp;ROUND(F45,2)&amp;" в основном расчёте ("&amp;IF(F89&gt;=F45,"+","−")&amp;"€"&amp;ROUND(ABS(F89-F45),2)&amp;")"</f>
        <v>против €0.54 в основном расчёте (−€0.01)</v>
      </c>
    </row>
  </sheetData>
  <mergeCells count="111">
    <mergeCell ref="C44:E44"/>
    <mergeCell ref="B84:K84"/>
    <mergeCell ref="H27:K27"/>
    <mergeCell ref="A15:K15"/>
    <mergeCell ref="C40:E40"/>
    <mergeCell ref="H24:K24"/>
    <mergeCell ref="C21:E21"/>
    <mergeCell ref="H33:K33"/>
    <mergeCell ref="C51:E51"/>
    <mergeCell ref="H42:K42"/>
    <mergeCell ref="C60:E60"/>
    <mergeCell ref="H26:K26"/>
    <mergeCell ref="C23:E23"/>
    <mergeCell ref="H53:K53"/>
    <mergeCell ref="H35:K35"/>
    <mergeCell ref="B72:K72"/>
    <mergeCell ref="H55:K55"/>
    <mergeCell ref="C57:E57"/>
    <mergeCell ref="B12:E12"/>
    <mergeCell ref="H39:K39"/>
    <mergeCell ref="A2:K2"/>
    <mergeCell ref="C18:E18"/>
    <mergeCell ref="C49:E49"/>
    <mergeCell ref="G89:K89"/>
    <mergeCell ref="H59:K59"/>
    <mergeCell ref="C34:E34"/>
    <mergeCell ref="C42:E42"/>
    <mergeCell ref="H52:K52"/>
    <mergeCell ref="H45:K45"/>
    <mergeCell ref="C20:E20"/>
    <mergeCell ref="C25:E25"/>
    <mergeCell ref="H37:K37"/>
    <mergeCell ref="C22:E22"/>
    <mergeCell ref="B83:K83"/>
    <mergeCell ref="C59:E59"/>
    <mergeCell ref="H23:K23"/>
    <mergeCell ref="H18:K18"/>
    <mergeCell ref="B85:K85"/>
    <mergeCell ref="C52:E52"/>
    <mergeCell ref="C61:E61"/>
    <mergeCell ref="C39:E39"/>
    <mergeCell ref="C48:E48"/>
    <mergeCell ref="H60:K61"/>
    <mergeCell ref="H54:K54"/>
    <mergeCell ref="H41:K41"/>
    <mergeCell ref="C38:E38"/>
    <mergeCell ref="H50:K50"/>
    <mergeCell ref="A74:K74"/>
    <mergeCell ref="H56:K56"/>
    <mergeCell ref="H25:K25"/>
    <mergeCell ref="H34:K34"/>
    <mergeCell ref="B11:E11"/>
    <mergeCell ref="H49:K49"/>
    <mergeCell ref="C24:E24"/>
    <mergeCell ref="H36:K36"/>
    <mergeCell ref="C33:E33"/>
    <mergeCell ref="H17:K17"/>
    <mergeCell ref="B13:K13"/>
    <mergeCell ref="A63:K63"/>
    <mergeCell ref="C26:E26"/>
    <mergeCell ref="B87:K87"/>
    <mergeCell ref="C35:E35"/>
    <mergeCell ref="H19:K19"/>
    <mergeCell ref="H75:K75"/>
    <mergeCell ref="H28:K28"/>
    <mergeCell ref="C50:E50"/>
    <mergeCell ref="C55:E55"/>
    <mergeCell ref="B6:E6"/>
    <mergeCell ref="H48:K48"/>
    <mergeCell ref="B89:E89"/>
    <mergeCell ref="G8:K8"/>
    <mergeCell ref="C36:E36"/>
    <mergeCell ref="B7:E7"/>
    <mergeCell ref="H38:K38"/>
    <mergeCell ref="H43:K43"/>
    <mergeCell ref="C28:E28"/>
    <mergeCell ref="H58:K58"/>
    <mergeCell ref="H40:K40"/>
    <mergeCell ref="C37:E37"/>
    <mergeCell ref="A32:K32"/>
    <mergeCell ref="B86:K86"/>
    <mergeCell ref="C30:E30"/>
    <mergeCell ref="H57:K57"/>
    <mergeCell ref="C54:E54"/>
    <mergeCell ref="H22:K22"/>
    <mergeCell ref="B9:E9"/>
    <mergeCell ref="C41:E41"/>
    <mergeCell ref="A82:K82"/>
    <mergeCell ref="C56:E56"/>
    <mergeCell ref="C43:E43"/>
    <mergeCell ref="G7:K7"/>
    <mergeCell ref="C27:E27"/>
    <mergeCell ref="H30:K30"/>
    <mergeCell ref="H20:K20"/>
    <mergeCell ref="C17:E17"/>
    <mergeCell ref="H29:K29"/>
    <mergeCell ref="H76:K80"/>
    <mergeCell ref="B16:K16"/>
    <mergeCell ref="H44:K44"/>
    <mergeCell ref="A3:K3"/>
    <mergeCell ref="C19:E19"/>
    <mergeCell ref="C53:E53"/>
    <mergeCell ref="A47:K47"/>
    <mergeCell ref="H21:K21"/>
    <mergeCell ref="A5:K5"/>
    <mergeCell ref="H51:K51"/>
    <mergeCell ref="C58:E58"/>
    <mergeCell ref="B8:E8"/>
    <mergeCell ref="C45:E45"/>
    <mergeCell ref="C29:E29"/>
    <mergeCell ref="B10:E10"/>
  </mergeCells>
  <conditionalFormatting sqref="C76:G80">
    <cfRule type="cellIs" priority="1" operator="greaterThanOrEqual" dxfId="6" stopIfTrue="1">
      <formula>MAX($E$65:$E$70)</formula>
    </cfRule>
    <cfRule type="cellIs" priority="2" operator="greaterThanOrEqual" dxfId="7" stopIfTrue="1">
      <formula>MIN($E$65:$E$70)</formula>
    </cfRule>
    <cfRule type="cellIs" priority="3" operator="greaterThanOrEqual" dxfId="8" stopIfTrue="1">
      <formula>0.5</formula>
    </cfRule>
    <cfRule type="cellIs" priority="4" operator="lessThan" dxfId="9">
      <formula>0.5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2026-10-07T07:45:56Z</dcterms:created>
  <dcterms:modified xmlns:dcterms="http://purl.org/dc/terms/" xmlns:xsi="http://www.w3.org/2001/XMLSchema-instance" xsi:type="dcterms:W3CDTF">2026-10-07T07:45:56Z</dcterms:modified>
  <cp:lastModifiedBy>Чаплигін lлля</cp:lastModifiedBy>
</cp:coreProperties>
</file>