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Финмодель 6 паллет" sheetId="1" state="visible" r:id="rId1"/>
    <sheet xmlns:r="http://schemas.openxmlformats.org/officeDocument/2006/relationships" name="Финмодель 33 паллет" sheetId="2" state="visible" r:id="rId2"/>
    <sheet xmlns:r="http://schemas.openxmlformats.org/officeDocument/2006/relationships" name="Цена 120 грн — 6 паллет" sheetId="3" state="visible" r:id="rId3"/>
    <sheet xmlns:r="http://schemas.openxmlformats.org/officeDocument/2006/relationships" name="Цена 120 грн — 33 палле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4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&quot;€&quot;0.00"/>
    <numFmt numFmtId="173" formatCode="0.0%"/>
    <numFmt numFmtId="174" formatCode="&quot;€&quot;#,##0.00"/>
    <numFmt numFmtId="175" formatCode="#,##0.0000"/>
    <numFmt numFmtId="176" formatCode="&quot;МАРЖА &quot;0%"/>
    <numFmt numFmtId="177" formatCode="0.00&quot; грн&quot;"/>
    <numFmt numFmtId="178" formatCode="&quot;€&quot;0.0000"/>
    <numFmt numFmtId="179" formatCode="&quot;Мин. &quot;0.00&quot; грн&quot;"/>
    <numFmt numFmtId="180" formatCode="&quot;Макс. &quot;0.00&quot; грн&quot;"/>
    <numFmt numFmtId="181" formatCode="_(* #,##0.00_);_(* \(#,##0.00\);_(* \-??_);_(@_)"/>
    <numFmt numFmtId="182" formatCode="_(* #,##0_);_(* \(#,##0\);_(* \-_);_(@_)"/>
    <numFmt numFmtId="183" formatCode="_(\$* #,##0.00_);_(\$* \(#,##0.00\);_(\$* \-??_);_(@_)"/>
    <numFmt numFmtId="184" formatCode="_(\$* #,##0_);_(\$* \(#,##0\);_(\$* \-_);_(@_)"/>
    <numFmt numFmtId="185" formatCode="&quot;€&quot;0.000"/>
    <numFmt numFmtId="186" formatCode="+&quot;€&quot;0.000;-&quot;€&quot;0.000"/>
    <numFmt numFmtId="187" formatCode="+#,##0.00;-#,##0.00"/>
  </numFmts>
  <fonts count="51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color rgb="FF454545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color rgb="FF172B46"/>
      <sz val="11"/>
    </font>
    <font>
      <name val="Arial"/>
      <color rgb="FF172B46"/>
      <sz val="18"/>
    </font>
    <font>
      <name val="Arial"/>
      <b val="1"/>
      <color rgb="FF172B46"/>
      <sz val="18"/>
    </font>
    <font>
      <name val="Arial"/>
      <color rgb="FF5E6D7E"/>
      <sz val="11"/>
    </font>
    <font>
      <name val="Arial"/>
      <b val="1"/>
      <color rgb="FF223A5E"/>
      <sz val="20"/>
    </font>
    <font>
      <name val="Arial"/>
      <b val="1"/>
      <color rgb="FFFFFFFF"/>
      <sz val="11"/>
    </font>
    <font>
      <name val="Arial"/>
      <b val="1"/>
      <color rgb="FF172B46"/>
      <sz val="11"/>
    </font>
    <font>
      <name val="Arial"/>
      <b val="1"/>
      <color rgb="FF172B46"/>
      <sz val="16"/>
    </font>
    <font>
      <name val="Arial"/>
      <color rgb="FF172B46"/>
      <sz val="13"/>
    </font>
    <font>
      <name val="Arial"/>
      <color rgb="FF172B46"/>
      <sz val="16"/>
    </font>
    <font>
      <name val="Arial"/>
      <color rgb="FF172B46"/>
      <sz val="15"/>
    </font>
    <font>
      <name val="Arial"/>
      <b val="1"/>
      <color rgb="FF172B46"/>
      <sz val="15"/>
    </font>
    <font>
      <name val="Arial"/>
      <color rgb="FF172B46"/>
      <sz val="10"/>
    </font>
    <font>
      <name val="Arial"/>
      <b val="1"/>
      <color rgb="00172B46"/>
      <sz val="16"/>
    </font>
    <font>
      <name val="Arial"/>
      <b val="1"/>
      <color rgb="00223A5E"/>
      <sz val="11"/>
    </font>
    <font>
      <name val="Arial"/>
      <b val="1"/>
      <color rgb="00FFFFFF"/>
      <sz val="9"/>
    </font>
    <font>
      <name val="Arial"/>
      <b val="1"/>
      <color rgb="00172B46"/>
      <sz val="10"/>
    </font>
    <font>
      <name val="Arial"/>
      <b val="1"/>
      <color rgb="000000FF"/>
      <sz val="11"/>
    </font>
    <font>
      <name val="Arial"/>
      <color rgb="00172B46"/>
      <sz val="11"/>
    </font>
    <font>
      <name val="Arial"/>
      <color rgb="00008000"/>
      <sz val="11"/>
    </font>
    <font>
      <name val="Arial"/>
      <b val="1"/>
      <color rgb="00172B46"/>
      <sz val="11"/>
    </font>
    <font>
      <name val="Arial"/>
      <b val="1"/>
      <color rgb="00172B46"/>
      <sz val="12"/>
    </font>
    <font>
      <name val="Arial"/>
      <color rgb="005E6D7E"/>
      <sz val="10"/>
    </font>
    <font>
      <name val="Arial"/>
      <b val="1"/>
      <color rgb="00223A5E"/>
      <sz val="10"/>
    </font>
    <font>
      <name val="Arial"/>
      <b val="1"/>
      <color rgb="00B53A3A"/>
      <sz val="10"/>
    </font>
    <font>
      <name val="Arial"/>
      <i val="1"/>
      <color rgb="005E6D7E"/>
      <sz val="9"/>
    </font>
    <font>
      <name val="Arial"/>
      <b val="1"/>
      <color rgb="00223A5E"/>
      <sz val="9"/>
    </font>
    <font>
      <name val="Arial"/>
      <b val="1"/>
      <color rgb="005E6D7E"/>
      <sz val="8"/>
    </font>
    <font>
      <name val="Arial"/>
      <b val="1"/>
      <color rgb="00008000"/>
      <sz val="11"/>
    </font>
    <font>
      <name val="Arial"/>
      <b val="1"/>
      <color rgb="005E6D7E"/>
      <sz val="9"/>
    </font>
    <font>
      <name val="Arial"/>
      <b val="1"/>
      <color rgb="00172B46"/>
      <sz val="14"/>
    </font>
    <font>
      <name val="Arial"/>
      <color rgb="005E6D7E"/>
      <sz val="9"/>
    </font>
    <font>
      <name val="Arial"/>
      <color rgb="00172B46"/>
      <sz val="10"/>
    </font>
    <font>
      <name val="Arial"/>
      <i val="1"/>
      <color rgb="005E6D7E"/>
      <sz val="8"/>
    </font>
  </fonts>
  <fills count="31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DF2F8"/>
      </patternFill>
    </fill>
    <fill>
      <patternFill patternType="solid">
        <fgColor rgb="FFFFF4D2"/>
      </patternFill>
    </fill>
    <fill>
      <patternFill patternType="solid">
        <fgColor rgb="FF223A5E"/>
      </patternFill>
    </fill>
    <fill>
      <patternFill patternType="solid">
        <fgColor rgb="FFF2F5F9"/>
      </patternFill>
    </fill>
    <fill>
      <patternFill patternType="solid">
        <fgColor rgb="FFE7EDF5"/>
      </patternFill>
    </fill>
    <fill>
      <patternFill patternType="solid">
        <fgColor rgb="00E7EDF5"/>
      </patternFill>
    </fill>
    <fill>
      <patternFill patternType="solid">
        <fgColor rgb="003E5A85"/>
      </patternFill>
    </fill>
    <fill>
      <patternFill patternType="solid">
        <fgColor rgb="005A74A0"/>
      </patternFill>
    </fill>
    <fill>
      <patternFill patternType="solid">
        <fgColor rgb="00F2F5F9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bottom style="medium">
        <color rgb="00223A5E"/>
      </bottom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</borders>
  <cellStyleXfs count="7">
    <xf numFmtId="0" fontId="12" fillId="19" borderId="11"/>
    <xf numFmtId="181" fontId="1" fillId="19" borderId="11"/>
    <xf numFmtId="182" fontId="1" fillId="19" borderId="11"/>
    <xf numFmtId="183" fontId="1" fillId="19" borderId="11"/>
    <xf numFmtId="184" fontId="1" fillId="19" borderId="11"/>
    <xf numFmtId="0" fontId="12" fillId="19" borderId="11"/>
    <xf numFmtId="9" fontId="1" fillId="19" borderId="11"/>
  </cellStyleXfs>
  <cellXfs count="201">
    <xf numFmtId="0" fontId="0" fillId="0" borderId="0" pivotButton="0" quotePrefix="0" xfId="0"/>
    <xf numFmtId="0" fontId="3" fillId="0" borderId="1" applyAlignment="1" pivotButton="0" quotePrefix="0" xfId="5">
      <alignment horizontal="left" vertical="center" wrapText="1"/>
    </xf>
    <xf numFmtId="0" fontId="9" fillId="5" borderId="1" applyAlignment="1" pivotButton="0" quotePrefix="0" xfId="5">
      <alignment horizontal="center" vertical="center" wrapText="1"/>
    </xf>
    <xf numFmtId="0" fontId="8" fillId="8" borderId="1" applyAlignment="1" pivotButton="0" quotePrefix="0" xfId="5">
      <alignment horizontal="center" vertical="center" wrapText="1"/>
    </xf>
    <xf numFmtId="0" fontId="8" fillId="6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8" fillId="7" borderId="1" applyAlignment="1" pivotButton="0" quotePrefix="0" xfId="5">
      <alignment horizontal="center" vertical="center" wrapText="1"/>
    </xf>
    <xf numFmtId="0" fontId="10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1" fillId="3" borderId="1" applyAlignment="1" pivotButton="0" quotePrefix="0" xfId="5">
      <alignment horizontal="center" vertical="center"/>
    </xf>
    <xf numFmtId="164" fontId="6" fillId="9" borderId="1" applyAlignment="1" pivotButton="0" quotePrefix="0" xfId="5">
      <alignment horizontal="center" vertical="center"/>
    </xf>
    <xf numFmtId="164" fontId="11" fillId="0" borderId="1" applyAlignment="1" pivotButton="0" quotePrefix="0" xfId="5">
      <alignment horizontal="center" vertical="center"/>
    </xf>
    <xf numFmtId="164" fontId="6" fillId="0" borderId="1" applyAlignment="1" pivotButton="0" quotePrefix="0" xfId="5">
      <alignment horizontal="center" vertical="center"/>
    </xf>
    <xf numFmtId="10" fontId="6" fillId="0" borderId="1" applyAlignment="1" pivotButton="0" quotePrefix="0" xfId="5">
      <alignment horizontal="center" vertical="center"/>
    </xf>
    <xf numFmtId="165" fontId="6" fillId="9" borderId="1" applyAlignment="1" pivotButton="0" quotePrefix="0" xfId="5">
      <alignment horizontal="center" vertical="center"/>
    </xf>
    <xf numFmtId="165" fontId="11" fillId="10" borderId="1" applyAlignment="1" pivotButton="0" quotePrefix="0" xfId="5">
      <alignment horizontal="center" vertical="center"/>
    </xf>
    <xf numFmtId="165" fontId="11" fillId="3" borderId="1" applyAlignment="1" pivotButton="0" quotePrefix="0" xfId="5">
      <alignment horizontal="center" vertical="center"/>
    </xf>
    <xf numFmtId="165" fontId="6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6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8" applyAlignment="1" pivotButton="0" quotePrefix="0" xfId="5">
      <alignment horizontal="center" vertical="center" wrapText="1"/>
    </xf>
    <xf numFmtId="9" fontId="6" fillId="3" borderId="0" applyAlignment="1" pivotButton="0" quotePrefix="0" xfId="5">
      <alignment horizontal="center" vertical="center"/>
    </xf>
    <xf numFmtId="166" fontId="11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5" fillId="0" borderId="0" applyAlignment="1" pivotButton="0" quotePrefix="0" xfId="0">
      <alignment vertical="center"/>
    </xf>
    <xf numFmtId="0" fontId="9" fillId="12" borderId="0" applyAlignment="1" pivotButton="0" quotePrefix="0" xfId="0">
      <alignment horizontal="center" vertical="center" wrapText="1"/>
    </xf>
    <xf numFmtId="0" fontId="15" fillId="0" borderId="9" applyAlignment="1" pivotButton="0" quotePrefix="0" xfId="0">
      <alignment vertical="center"/>
    </xf>
    <xf numFmtId="168" fontId="15" fillId="0" borderId="9" applyAlignment="1" pivotButton="0" quotePrefix="0" xfId="0">
      <alignment vertical="center"/>
    </xf>
    <xf numFmtId="2" fontId="15" fillId="0" borderId="9" applyAlignment="1" pivotButton="0" quotePrefix="0" xfId="0">
      <alignment vertical="center"/>
    </xf>
    <xf numFmtId="169" fontId="15" fillId="0" borderId="9" applyAlignment="1" pivotButton="0" quotePrefix="0" xfId="0">
      <alignment vertical="center"/>
    </xf>
    <xf numFmtId="10" fontId="15" fillId="0" borderId="9" applyAlignment="1" pivotButton="0" quotePrefix="0" xfId="0">
      <alignment vertical="center"/>
    </xf>
    <xf numFmtId="0" fontId="6" fillId="13" borderId="9" applyAlignment="1" pivotButton="0" quotePrefix="0" xfId="0">
      <alignment vertical="center"/>
    </xf>
    <xf numFmtId="169" fontId="6" fillId="13" borderId="9" applyAlignment="1" pivotButton="0" quotePrefix="0" xfId="0">
      <alignment vertical="center"/>
    </xf>
    <xf numFmtId="0" fontId="6" fillId="14" borderId="9" applyAlignment="1" pivotButton="0" quotePrefix="0" xfId="0">
      <alignment vertical="center"/>
    </xf>
    <xf numFmtId="169" fontId="6" fillId="14" borderId="9" applyAlignment="1" pivotButton="0" quotePrefix="0" xfId="0">
      <alignment vertical="center"/>
    </xf>
    <xf numFmtId="10" fontId="6" fillId="14" borderId="9" applyAlignment="1" pivotButton="0" quotePrefix="0" xfId="0">
      <alignment vertical="center"/>
    </xf>
    <xf numFmtId="170" fontId="15" fillId="0" borderId="9" applyAlignment="1" pivotButton="0" quotePrefix="0" xfId="0">
      <alignment vertical="center"/>
    </xf>
    <xf numFmtId="0" fontId="9" fillId="15" borderId="10" applyAlignment="1" pivotButton="0" quotePrefix="0" xfId="0">
      <alignment horizontal="center" vertical="center" wrapText="1"/>
    </xf>
    <xf numFmtId="171" fontId="6" fillId="16" borderId="10" applyAlignment="1" pivotButton="0" quotePrefix="0" xfId="0">
      <alignment vertical="center"/>
    </xf>
    <xf numFmtId="171" fontId="15" fillId="0" borderId="10" applyAlignment="1" pivotButton="0" quotePrefix="0" xfId="0">
      <alignment vertical="center"/>
    </xf>
    <xf numFmtId="171" fontId="6" fillId="17" borderId="10" applyAlignment="1" pivotButton="0" quotePrefix="0" xfId="0">
      <alignment vertical="center"/>
    </xf>
    <xf numFmtId="10" fontId="15" fillId="0" borderId="10" applyAlignment="1" pivotButton="0" quotePrefix="0" xfId="0">
      <alignment vertical="center"/>
    </xf>
    <xf numFmtId="0" fontId="9" fillId="18" borderId="10" applyAlignment="1" pivotButton="0" quotePrefix="0" xfId="0">
      <alignment horizontal="center" vertical="center" wrapText="1"/>
    </xf>
    <xf numFmtId="0" fontId="17" fillId="19" borderId="11" applyAlignment="1" pivotButton="0" quotePrefix="0" xfId="7">
      <alignment vertical="center"/>
    </xf>
    <xf numFmtId="0" fontId="17" fillId="19" borderId="11" applyAlignment="1" pivotButton="0" quotePrefix="0" xfId="7">
      <alignment vertical="center" wrapText="1"/>
    </xf>
    <xf numFmtId="0" fontId="22" fillId="22" borderId="11" applyAlignment="1" pivotButton="0" quotePrefix="0" xfId="7">
      <alignment horizontal="center" vertical="center" wrapText="1"/>
    </xf>
    <xf numFmtId="0" fontId="17" fillId="23" borderId="11" applyAlignment="1" pivotButton="0" quotePrefix="0" xfId="7">
      <alignment vertical="center" wrapText="1"/>
    </xf>
    <xf numFmtId="3" fontId="17" fillId="23" borderId="11" applyAlignment="1" pivotButton="0" quotePrefix="0" xfId="7">
      <alignment vertical="center"/>
    </xf>
    <xf numFmtId="3" fontId="17" fillId="19" borderId="11" applyAlignment="1" pivotButton="0" quotePrefix="0" xfId="7">
      <alignment vertical="center"/>
    </xf>
    <xf numFmtId="172" fontId="17" fillId="23" borderId="11" applyAlignment="1" pivotButton="0" quotePrefix="0" xfId="7">
      <alignment vertical="center"/>
    </xf>
    <xf numFmtId="172" fontId="17" fillId="19" borderId="11" applyAlignment="1" pivotButton="0" quotePrefix="0" xfId="7">
      <alignment vertical="center"/>
    </xf>
    <xf numFmtId="173" fontId="17" fillId="23" borderId="11" applyAlignment="1" pivotButton="0" quotePrefix="0" xfId="7">
      <alignment vertical="center"/>
    </xf>
    <xf numFmtId="173" fontId="17" fillId="19" borderId="11" applyAlignment="1" pivotButton="0" quotePrefix="0" xfId="7">
      <alignment vertical="center"/>
    </xf>
    <xf numFmtId="174" fontId="17" fillId="23" borderId="11" applyAlignment="1" pivotButton="0" quotePrefix="0" xfId="7">
      <alignment vertical="center"/>
    </xf>
    <xf numFmtId="174" fontId="17" fillId="19" borderId="11" applyAlignment="1" pivotButton="0" quotePrefix="0" xfId="7">
      <alignment vertical="center"/>
    </xf>
    <xf numFmtId="172" fontId="23" fillId="23" borderId="11" applyAlignment="1" pivotButton="0" quotePrefix="0" xfId="7">
      <alignment vertical="center"/>
    </xf>
    <xf numFmtId="172" fontId="23" fillId="19" borderId="11" applyAlignment="1" pivotButton="0" quotePrefix="0" xfId="7">
      <alignment vertical="center"/>
    </xf>
    <xf numFmtId="0" fontId="23" fillId="24" borderId="11" applyAlignment="1" pivotButton="0" quotePrefix="0" xfId="7">
      <alignment vertical="center"/>
    </xf>
    <xf numFmtId="3" fontId="23" fillId="24" borderId="11" applyAlignment="1" pivotButton="0" quotePrefix="0" xfId="7">
      <alignment vertical="center"/>
    </xf>
    <xf numFmtId="174" fontId="23" fillId="24" borderId="11" applyAlignment="1" pivotButton="0" quotePrefix="0" xfId="7">
      <alignment vertical="center"/>
    </xf>
    <xf numFmtId="2" fontId="17" fillId="21" borderId="11" applyAlignment="1" pivotButton="0" quotePrefix="0" xfId="7">
      <alignment vertical="center"/>
    </xf>
    <xf numFmtId="4" fontId="17" fillId="21" borderId="11" applyAlignment="1" pivotButton="0" quotePrefix="0" xfId="7">
      <alignment vertical="center"/>
    </xf>
    <xf numFmtId="173" fontId="17" fillId="21" borderId="11" applyAlignment="1" pivotButton="0" quotePrefix="0" xfId="7">
      <alignment vertical="center"/>
    </xf>
    <xf numFmtId="3" fontId="17" fillId="21" borderId="11" applyAlignment="1" pivotButton="0" quotePrefix="0" xfId="7">
      <alignment vertical="center"/>
    </xf>
    <xf numFmtId="175" fontId="17" fillId="19" borderId="11" applyAlignment="1" pivotButton="0" quotePrefix="0" xfId="7">
      <alignment vertical="center"/>
    </xf>
    <xf numFmtId="10" fontId="17" fillId="19" borderId="11" applyAlignment="1" pivotButton="0" quotePrefix="0" xfId="7">
      <alignment vertical="center"/>
    </xf>
    <xf numFmtId="0" fontId="13" fillId="0" borderId="1" applyAlignment="1" pivotButton="0" quotePrefix="0" xfId="5">
      <alignment horizontal="left" vertical="center" wrapText="1"/>
    </xf>
    <xf numFmtId="0" fontId="9" fillId="5" borderId="1" applyAlignment="1" pivotButton="0" quotePrefix="0" xfId="5">
      <alignment horizontal="center" vertical="center" wrapText="1"/>
    </xf>
    <xf numFmtId="0" fontId="8" fillId="4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8" fillId="6" borderId="1" applyAlignment="1" pivotButton="0" quotePrefix="0" xfId="5">
      <alignment horizontal="center" vertical="center" wrapText="1"/>
    </xf>
    <xf numFmtId="0" fontId="8" fillId="8" borderId="1" applyAlignment="1" pivotButton="0" quotePrefix="0" xfId="5">
      <alignment horizontal="center" vertical="center" wrapText="1"/>
    </xf>
    <xf numFmtId="0" fontId="14" fillId="0" borderId="1" applyAlignment="1" pivotButton="0" quotePrefix="0" xfId="5">
      <alignment horizontal="center"/>
    </xf>
    <xf numFmtId="0" fontId="2" fillId="0" borderId="1" applyAlignment="1" pivotButton="0" quotePrefix="0" xfId="5">
      <alignment horizontal="center"/>
    </xf>
    <xf numFmtId="0" fontId="13" fillId="0" borderId="4" applyAlignment="1" pivotButton="0" quotePrefix="0" xfId="5">
      <alignment horizontal="left" vertical="center"/>
    </xf>
    <xf numFmtId="0" fontId="13" fillId="0" borderId="5" applyAlignment="1" pivotButton="0" quotePrefix="0" xfId="5">
      <alignment horizontal="left" vertical="center"/>
    </xf>
    <xf numFmtId="0" fontId="13" fillId="0" borderId="6" applyAlignment="1" pivotButton="0" quotePrefix="0" xfId="5">
      <alignment horizontal="left" vertical="center"/>
    </xf>
    <xf numFmtId="0" fontId="7" fillId="0" borderId="2" applyAlignment="1" pivotButton="0" quotePrefix="0" xfId="5">
      <alignment vertical="center"/>
    </xf>
    <xf numFmtId="0" fontId="3" fillId="0" borderId="7" applyAlignment="1" pivotButton="0" quotePrefix="0" xfId="5">
      <alignment horizontal="left" vertical="center" wrapText="1"/>
    </xf>
    <xf numFmtId="0" fontId="13" fillId="0" borderId="7" applyAlignment="1" pivotButton="0" quotePrefix="0" xfId="5">
      <alignment horizontal="left" vertical="center" wrapText="1"/>
    </xf>
    <xf numFmtId="0" fontId="16" fillId="0" borderId="0" applyAlignment="1" pivotButton="0" quotePrefix="0" xfId="0">
      <alignment vertical="center"/>
    </xf>
    <xf numFmtId="0" fontId="9" fillId="12" borderId="0" applyAlignment="1" pivotButton="0" quotePrefix="0" xfId="0">
      <alignment horizontal="center" vertical="center" wrapText="1"/>
    </xf>
    <xf numFmtId="0" fontId="15" fillId="0" borderId="9" applyAlignment="1" pivotButton="0" quotePrefix="0" xfId="0">
      <alignment vertical="center"/>
    </xf>
    <xf numFmtId="0" fontId="15" fillId="0" borderId="9" applyAlignment="1" pivotButton="0" quotePrefix="0" xfId="0">
      <alignment vertical="center" wrapText="1"/>
    </xf>
    <xf numFmtId="176" fontId="9" fillId="15" borderId="10" applyAlignment="1" pivotButton="0" quotePrefix="0" xfId="0">
      <alignment horizontal="center" vertical="center" wrapText="1"/>
    </xf>
    <xf numFmtId="0" fontId="9" fillId="15" borderId="10" applyAlignment="1" pivotButton="0" quotePrefix="0" xfId="0">
      <alignment horizontal="center" vertical="center" wrapText="1"/>
    </xf>
    <xf numFmtId="0" fontId="6" fillId="13" borderId="9" applyAlignment="1" pivotButton="0" quotePrefix="0" xfId="0">
      <alignment vertical="center"/>
    </xf>
    <xf numFmtId="0" fontId="6" fillId="13" borderId="9" applyAlignment="1" pivotButton="0" quotePrefix="0" xfId="0">
      <alignment vertical="center" wrapText="1"/>
    </xf>
    <xf numFmtId="0" fontId="6" fillId="14" borderId="9" applyAlignment="1" pivotButton="0" quotePrefix="0" xfId="0">
      <alignment vertical="center"/>
    </xf>
    <xf numFmtId="0" fontId="6" fillId="14" borderId="9" applyAlignment="1" pivotButton="0" quotePrefix="0" xfId="0">
      <alignment vertical="center" wrapText="1"/>
    </xf>
    <xf numFmtId="176" fontId="9" fillId="18" borderId="10" applyAlignment="1" pivotButton="0" quotePrefix="0" xfId="0">
      <alignment horizontal="center" vertical="center" wrapText="1"/>
    </xf>
    <xf numFmtId="0" fontId="9" fillId="18" borderId="10" applyAlignment="1" pivotButton="0" quotePrefix="0" xfId="0">
      <alignment horizontal="center" vertical="center" wrapText="1"/>
    </xf>
    <xf numFmtId="0" fontId="19" fillId="19" borderId="11" applyAlignment="1" pivotButton="0" quotePrefix="0" xfId="7">
      <alignment vertical="center" wrapText="1"/>
    </xf>
    <xf numFmtId="0" fontId="18" fillId="19" borderId="11" applyAlignment="1" pivotButton="0" quotePrefix="0" xfId="7">
      <alignment vertical="center" wrapText="1"/>
    </xf>
    <xf numFmtId="0" fontId="17" fillId="19" borderId="11" applyAlignment="1" pivotButton="0" quotePrefix="0" xfId="7">
      <alignment vertical="center" wrapText="1"/>
    </xf>
    <xf numFmtId="0" fontId="20" fillId="19" borderId="11" applyAlignment="1" pivotButton="0" quotePrefix="0" xfId="7">
      <alignment vertical="center" wrapText="1"/>
    </xf>
    <xf numFmtId="172" fontId="21" fillId="21" borderId="11" applyAlignment="1" pivotButton="0" quotePrefix="0" xfId="7">
      <alignment vertical="center"/>
    </xf>
    <xf numFmtId="3" fontId="21" fillId="20" borderId="11" applyAlignment="1" pivotButton="0" quotePrefix="0" xfId="7">
      <alignment vertical="center"/>
    </xf>
    <xf numFmtId="174" fontId="21" fillId="20" borderId="11" applyAlignment="1" pivotButton="0" quotePrefix="0" xfId="7">
      <alignment vertical="center"/>
    </xf>
    <xf numFmtId="177" fontId="19" fillId="20" borderId="11" applyAlignment="1" pivotButton="0" quotePrefix="0" xfId="7">
      <alignment vertical="center" wrapText="1"/>
    </xf>
    <xf numFmtId="9" fontId="19" fillId="20" borderId="11" applyAlignment="1" pivotButton="0" quotePrefix="0" xfId="7">
      <alignment vertical="center" wrapText="1"/>
    </xf>
    <xf numFmtId="178" fontId="19" fillId="20" borderId="11" applyAlignment="1" pivotButton="0" quotePrefix="0" xfId="7">
      <alignment vertical="center" wrapText="1"/>
    </xf>
    <xf numFmtId="0" fontId="22" fillId="22" borderId="11" applyAlignment="1" pivotButton="0" quotePrefix="0" xfId="7">
      <alignment horizontal="center" vertical="center" wrapText="1"/>
    </xf>
    <xf numFmtId="177" fontId="17" fillId="19" borderId="11" applyAlignment="1" pivotButton="0" quotePrefix="0" xfId="7">
      <alignment vertical="center" wrapText="1"/>
    </xf>
    <xf numFmtId="0" fontId="23" fillId="24" borderId="11" applyAlignment="1" pivotButton="0" quotePrefix="0" xfId="7">
      <alignment vertical="center" wrapText="1"/>
    </xf>
    <xf numFmtId="177" fontId="23" fillId="24" borderId="11" applyAlignment="1" pivotButton="0" quotePrefix="0" xfId="7">
      <alignment vertical="center" wrapText="1"/>
    </xf>
    <xf numFmtId="0" fontId="24" fillId="24" borderId="11" applyAlignment="1" pivotButton="0" quotePrefix="0" xfId="7">
      <alignment vertical="center" wrapText="1"/>
    </xf>
    <xf numFmtId="177" fontId="24" fillId="24" borderId="11" applyAlignment="1" pivotButton="0" quotePrefix="0" xfId="7">
      <alignment vertical="center" wrapText="1"/>
    </xf>
    <xf numFmtId="179" fontId="25" fillId="19" borderId="11" applyAlignment="1" pivotButton="0" quotePrefix="0" xfId="7">
      <alignment vertical="center" wrapText="1"/>
    </xf>
    <xf numFmtId="180" fontId="25" fillId="19" borderId="11" applyAlignment="1" pivotButton="0" quotePrefix="0" xfId="7">
      <alignment vertical="center" wrapText="1"/>
    </xf>
    <xf numFmtId="177" fontId="24" fillId="19" borderId="11" applyAlignment="1" pivotButton="0" quotePrefix="0" xfId="7">
      <alignment vertical="center" wrapText="1"/>
    </xf>
    <xf numFmtId="177" fontId="26" fillId="19" borderId="11" applyAlignment="1" pivotButton="0" quotePrefix="0" xfId="7">
      <alignment vertical="center" wrapText="1"/>
    </xf>
    <xf numFmtId="10" fontId="24" fillId="19" borderId="11" applyAlignment="1" pivotButton="0" quotePrefix="0" xfId="7">
      <alignment vertical="center" wrapText="1"/>
    </xf>
    <xf numFmtId="10" fontId="26" fillId="19" borderId="11" applyAlignment="1" pivotButton="0" quotePrefix="0" xfId="7">
      <alignment vertical="center" wrapText="1"/>
    </xf>
    <xf numFmtId="0" fontId="28" fillId="19" borderId="11" applyAlignment="1" pivotButton="0" quotePrefix="0" xfId="7">
      <alignment vertical="center" wrapText="1"/>
    </xf>
    <xf numFmtId="0" fontId="27" fillId="19" borderId="11" applyAlignment="1" pivotButton="0" quotePrefix="0" xfId="7">
      <alignment vertical="center" wrapText="1"/>
    </xf>
    <xf numFmtId="0" fontId="29" fillId="19" borderId="11" applyAlignment="1" pivotButton="0" quotePrefix="0" xfId="7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0" pivotButton="0" quotePrefix="0" xfId="0"/>
    <xf numFmtId="0" fontId="13" fillId="0" borderId="1" applyAlignment="1" pivotButton="0" quotePrefix="0" xfId="5">
      <alignment horizontal="left" vertical="center"/>
    </xf>
    <xf numFmtId="176" fontId="9" fillId="15" borderId="1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76" fontId="9" fillId="18" borderId="10" applyAlignment="1" pivotButton="0" quotePrefix="0" xfId="0">
      <alignment horizontal="center" vertical="center" wrapText="1"/>
    </xf>
    <xf numFmtId="166" fontId="11" fillId="3" borderId="1" applyAlignment="1" pivotButton="0" quotePrefix="0" xfId="5">
      <alignment horizontal="center" vertical="center"/>
    </xf>
    <xf numFmtId="164" fontId="11" fillId="3" borderId="1" applyAlignment="1" pivotButton="0" quotePrefix="0" xfId="5">
      <alignment horizontal="center" vertical="center"/>
    </xf>
    <xf numFmtId="164" fontId="6" fillId="9" borderId="1" applyAlignment="1" pivotButton="0" quotePrefix="0" xfId="5">
      <alignment horizontal="center" vertical="center"/>
    </xf>
    <xf numFmtId="164" fontId="11" fillId="0" borderId="1" applyAlignment="1" pivotButton="0" quotePrefix="0" xfId="5">
      <alignment horizontal="center" vertical="center"/>
    </xf>
    <xf numFmtId="164" fontId="6" fillId="0" borderId="1" applyAlignment="1" pivotButton="0" quotePrefix="0" xfId="5">
      <alignment horizontal="center" vertical="center"/>
    </xf>
    <xf numFmtId="165" fontId="6" fillId="9" borderId="1" applyAlignment="1" pivotButton="0" quotePrefix="0" xfId="5">
      <alignment horizontal="center" vertical="center"/>
    </xf>
    <xf numFmtId="165" fontId="11" fillId="10" borderId="1" applyAlignment="1" pivotButton="0" quotePrefix="0" xfId="5">
      <alignment horizontal="center" vertical="center"/>
    </xf>
    <xf numFmtId="165" fontId="11" fillId="3" borderId="1" applyAlignment="1" pivotButton="0" quotePrefix="0" xfId="5">
      <alignment horizontal="center" vertical="center"/>
    </xf>
    <xf numFmtId="165" fontId="6" fillId="11" borderId="1" applyAlignment="1" pivotButton="0" quotePrefix="0" xfId="5">
      <alignment horizontal="center" vertical="center"/>
    </xf>
    <xf numFmtId="171" fontId="6" fillId="16" borderId="10" applyAlignment="1" pivotButton="0" quotePrefix="0" xfId="0">
      <alignment vertical="center"/>
    </xf>
    <xf numFmtId="171" fontId="15" fillId="0" borderId="10" applyAlignment="1" pivotButton="0" quotePrefix="0" xfId="0">
      <alignment vertical="center"/>
    </xf>
    <xf numFmtId="171" fontId="6" fillId="17" borderId="10" applyAlignment="1" pivotButton="0" quotePrefix="0" xfId="0">
      <alignment vertical="center"/>
    </xf>
    <xf numFmtId="167" fontId="1" fillId="0" borderId="1" applyAlignment="1" pivotButton="0" quotePrefix="0" xfId="5">
      <alignment horizontal="center" vertical="center" wrapText="1"/>
    </xf>
    <xf numFmtId="0" fontId="16" fillId="0" borderId="11" applyAlignment="1" pivotButton="0" quotePrefix="0" xfId="0">
      <alignment vertical="center"/>
    </xf>
    <xf numFmtId="0" fontId="9" fillId="12" borderId="11" applyAlignment="1" pivotButton="0" quotePrefix="0" xfId="0">
      <alignment horizontal="center" vertical="center" wrapText="1"/>
    </xf>
    <xf numFmtId="0" fontId="0" fillId="0" borderId="18" pivotButton="0" quotePrefix="0" xfId="0"/>
    <xf numFmtId="168" fontId="15" fillId="0" borderId="9" applyAlignment="1" pivotButton="0" quotePrefix="0" xfId="0">
      <alignment vertical="center"/>
    </xf>
    <xf numFmtId="169" fontId="15" fillId="0" borderId="9" applyAlignment="1" pivotButton="0" quotePrefix="0" xfId="0">
      <alignment vertical="center"/>
    </xf>
    <xf numFmtId="169" fontId="6" fillId="13" borderId="9" applyAlignment="1" pivotButton="0" quotePrefix="0" xfId="0">
      <alignment vertical="center"/>
    </xf>
    <xf numFmtId="169" fontId="6" fillId="14" borderId="9" applyAlignment="1" pivotButton="0" quotePrefix="0" xfId="0">
      <alignment vertical="center"/>
    </xf>
    <xf numFmtId="170" fontId="15" fillId="0" borderId="9" applyAlignment="1" pivotButton="0" quotePrefix="0" xfId="0">
      <alignment vertical="center"/>
    </xf>
    <xf numFmtId="0" fontId="30" fillId="0" borderId="0" applyAlignment="1" pivotButton="0" quotePrefix="0" xfId="0">
      <alignment horizontal="left" vertical="center" wrapText="1"/>
    </xf>
    <xf numFmtId="0" fontId="31" fillId="25" borderId="0" applyAlignment="1" pivotButton="0" quotePrefix="0" xfId="0">
      <alignment horizontal="left" vertical="center" wrapText="1"/>
    </xf>
    <xf numFmtId="0" fontId="0" fillId="25" borderId="0" pivotButton="0" quotePrefix="0" xfId="0"/>
    <xf numFmtId="0" fontId="32" fillId="26" borderId="0" applyAlignment="1" pivotButton="0" quotePrefix="0" xfId="0">
      <alignment horizontal="center" vertical="center" wrapText="1"/>
    </xf>
    <xf numFmtId="0" fontId="0" fillId="26" borderId="0" pivotButton="0" quotePrefix="0" xfId="0"/>
    <xf numFmtId="0" fontId="32" fillId="27" borderId="0" applyAlignment="1" pivotButton="0" quotePrefix="0" xfId="0">
      <alignment horizontal="center" vertical="center" wrapText="1"/>
    </xf>
    <xf numFmtId="0" fontId="33" fillId="28" borderId="24" applyAlignment="1" pivotButton="0" quotePrefix="0" xfId="0">
      <alignment horizontal="left" vertical="center" wrapText="1"/>
    </xf>
    <xf numFmtId="185" fontId="34" fillId="29" borderId="24" applyAlignment="1" pivotButton="0" quotePrefix="0" xfId="0">
      <alignment horizontal="center" vertical="center" wrapText="1"/>
    </xf>
    <xf numFmtId="4" fontId="35" fillId="28" borderId="24" applyAlignment="1" pivotButton="0" quotePrefix="0" xfId="0">
      <alignment horizontal="center" vertical="center" wrapText="1"/>
    </xf>
    <xf numFmtId="185" fontId="36" fillId="28" borderId="24" applyAlignment="1" pivotButton="0" quotePrefix="0" xfId="0">
      <alignment horizontal="center" vertical="center" wrapText="1"/>
    </xf>
    <xf numFmtId="4" fontId="37" fillId="28" borderId="24" applyAlignment="1" pivotButton="0" quotePrefix="0" xfId="0">
      <alignment horizontal="center" vertical="center" wrapText="1"/>
    </xf>
    <xf numFmtId="185" fontId="39" fillId="28" borderId="24" applyAlignment="1" pivotButton="0" quotePrefix="0" xfId="0">
      <alignment horizontal="center" vertical="center" wrapText="1"/>
    </xf>
    <xf numFmtId="4" fontId="38" fillId="28" borderId="24" applyAlignment="1" pivotButton="0" quotePrefix="0" xfId="0">
      <alignment horizontal="center" vertical="center" wrapText="1"/>
    </xf>
    <xf numFmtId="0" fontId="33" fillId="0" borderId="24" applyAlignment="1" pivotButton="0" quotePrefix="0" xfId="0">
      <alignment horizontal="left" vertical="center" wrapText="1"/>
    </xf>
    <xf numFmtId="4" fontId="35" fillId="0" borderId="24" applyAlignment="1" pivotButton="0" quotePrefix="0" xfId="0">
      <alignment horizontal="center" vertical="center" wrapText="1"/>
    </xf>
    <xf numFmtId="4" fontId="37" fillId="0" borderId="24" applyAlignment="1" pivotButton="0" quotePrefix="0" xfId="0">
      <alignment horizontal="center" vertical="center" wrapText="1"/>
    </xf>
    <xf numFmtId="185" fontId="39" fillId="0" borderId="24" applyAlignment="1" pivotButton="0" quotePrefix="0" xfId="0">
      <alignment horizontal="center" vertical="center" wrapText="1"/>
    </xf>
    <xf numFmtId="4" fontId="38" fillId="25" borderId="24" applyAlignment="1" pivotButton="0" quotePrefix="0" xfId="0">
      <alignment horizontal="center" vertical="center" wrapText="1"/>
    </xf>
    <xf numFmtId="0" fontId="40" fillId="30" borderId="24" applyAlignment="1" pivotButton="0" quotePrefix="0" xfId="0">
      <alignment horizontal="left" vertical="center" wrapText="1"/>
    </xf>
    <xf numFmtId="185" fontId="37" fillId="30" borderId="24" applyAlignment="1" pivotButton="0" quotePrefix="0" xfId="0">
      <alignment horizontal="center" vertical="center" wrapText="1"/>
    </xf>
    <xf numFmtId="4" fontId="35" fillId="30" borderId="24" applyAlignment="1" pivotButton="0" quotePrefix="0" xfId="0">
      <alignment horizontal="center" vertical="center" wrapText="1"/>
    </xf>
    <xf numFmtId="185" fontId="35" fillId="30" borderId="24" applyAlignment="1" pivotButton="0" quotePrefix="0" xfId="0">
      <alignment horizontal="center" vertical="center" wrapText="1"/>
    </xf>
    <xf numFmtId="4" fontId="37" fillId="30" borderId="24" applyAlignment="1" pivotButton="0" quotePrefix="0" xfId="0">
      <alignment horizontal="center" vertical="center" wrapText="1"/>
    </xf>
    <xf numFmtId="185" fontId="39" fillId="30" borderId="24" applyAlignment="1" pivotButton="0" quotePrefix="0" xfId="0">
      <alignment horizontal="center" vertical="center" wrapText="1"/>
    </xf>
    <xf numFmtId="4" fontId="38" fillId="30" borderId="24" applyAlignment="1" pivotButton="0" quotePrefix="0" xfId="0">
      <alignment horizontal="center" vertical="center" wrapText="1"/>
    </xf>
    <xf numFmtId="0" fontId="40" fillId="25" borderId="24" applyAlignment="1" pivotButton="0" quotePrefix="0" xfId="0">
      <alignment horizontal="left" vertical="center" wrapText="1"/>
    </xf>
    <xf numFmtId="186" fontId="41" fillId="25" borderId="24" applyAlignment="1" pivotButton="0" quotePrefix="0" xfId="0">
      <alignment horizontal="center" vertical="center" wrapText="1"/>
    </xf>
    <xf numFmtId="187" fontId="41" fillId="25" borderId="24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 wrapText="1"/>
    </xf>
    <xf numFmtId="0" fontId="43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0" fontId="44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left" vertical="center" wrapText="1"/>
    </xf>
    <xf numFmtId="4" fontId="34" fillId="29" borderId="24" applyAlignment="1" pivotButton="0" quotePrefix="0" xfId="0">
      <alignment horizontal="center" vertical="center" wrapText="1"/>
    </xf>
    <xf numFmtId="0" fontId="0" fillId="29" borderId="24" pivotButton="0" quotePrefix="0" xfId="0"/>
    <xf numFmtId="173" fontId="34" fillId="29" borderId="24" applyAlignment="1" pivotButton="0" quotePrefix="0" xfId="0">
      <alignment horizontal="center" vertical="center" wrapText="1"/>
    </xf>
    <xf numFmtId="173" fontId="45" fillId="28" borderId="24" applyAlignment="1" pivotButton="0" quotePrefix="0" xfId="0">
      <alignment horizontal="center" vertical="center" wrapText="1"/>
    </xf>
    <xf numFmtId="0" fontId="0" fillId="28" borderId="24" pivotButton="0" quotePrefix="0" xfId="0"/>
    <xf numFmtId="170" fontId="45" fillId="28" borderId="24" applyAlignment="1" pivotButton="0" quotePrefix="0" xfId="0">
      <alignment horizontal="center" vertical="center" wrapText="1"/>
    </xf>
    <xf numFmtId="2" fontId="45" fillId="28" borderId="24" applyAlignment="1" pivotButton="0" quotePrefix="0" xfId="0">
      <alignment horizontal="center" vertical="center" wrapText="1"/>
    </xf>
    <xf numFmtId="3" fontId="34" fillId="29" borderId="24" applyAlignment="1" pivotButton="0" quotePrefix="0" xfId="0">
      <alignment horizontal="center" vertical="center" wrapText="1"/>
    </xf>
    <xf numFmtId="2" fontId="34" fillId="29" borderId="24" applyAlignment="1" pivotButton="0" quotePrefix="0" xfId="0">
      <alignment horizontal="center" vertical="center" wrapText="1"/>
    </xf>
    <xf numFmtId="0" fontId="33" fillId="25" borderId="24" applyAlignment="1" pivotButton="0" quotePrefix="0" xfId="0">
      <alignment horizontal="left" vertical="center" wrapText="1"/>
    </xf>
    <xf numFmtId="172" fontId="47" fillId="30" borderId="24" applyAlignment="1" pivotButton="0" quotePrefix="0" xfId="0">
      <alignment horizontal="center" vertical="center" wrapText="1"/>
    </xf>
    <xf numFmtId="0" fontId="0" fillId="30" borderId="24" pivotButton="0" quotePrefix="0" xfId="0"/>
    <xf numFmtId="0" fontId="48" fillId="0" borderId="0" applyAlignment="1" pivotButton="0" quotePrefix="0" xfId="0">
      <alignment horizontal="left" vertical="center" wrapText="1"/>
    </xf>
    <xf numFmtId="0" fontId="49" fillId="0" borderId="24" applyAlignment="1" pivotButton="0" quotePrefix="0" xfId="0">
      <alignment horizontal="left" vertical="center" wrapText="1"/>
    </xf>
    <xf numFmtId="178" fontId="35" fillId="0" borderId="24" applyAlignment="1" pivotButton="0" quotePrefix="0" xfId="0">
      <alignment horizontal="center" vertical="center" wrapText="1"/>
    </xf>
    <xf numFmtId="0" fontId="0" fillId="0" borderId="24" pivotButton="0" quotePrefix="0" xfId="0"/>
    <xf numFmtId="0" fontId="50" fillId="0" borderId="0" applyAlignment="1" pivotButton="0" quotePrefix="0" xfId="0">
      <alignment horizontal="left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6">
    <dxf>
      <font>
        <b val="1"/>
        <color rgb="FFB42318"/>
      </font>
      <fill>
        <patternFill patternType="solid">
          <bgColor rgb="FFFDE9E7"/>
        </patternFill>
      </fill>
    </dxf>
    <dxf>
      <font>
        <b val="1"/>
        <color rgb="FFB42318"/>
      </font>
      <fill>
        <patternFill patternType="solid">
          <bgColor rgb="FFFDE9E7"/>
        </patternFill>
      </fill>
    </dxf>
    <dxf>
      <font>
        <b val="1"/>
        <color rgb="FFB42318"/>
      </font>
      <fill>
        <patternFill patternType="solid">
          <bgColor rgb="FFFDE9E7"/>
        </patternFill>
      </fill>
    </dxf>
    <dxf>
      <font>
        <b val="1"/>
        <color rgb="FFB42318"/>
      </font>
      <fill>
        <patternFill patternType="solid">
          <bgColor rgb="FFFDE9E7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tabSelected="1" zoomScale="60" workbookViewId="0">
      <pane xSplit="4" ySplit="10" topLeftCell="L11" activePane="bottomRight" state="frozen"/>
      <selection activeCell="P4" sqref="P3:P4"/>
      <selection pane="topRight" activeCell="P4" sqref="P3:P4"/>
      <selection pane="bottomLeft" activeCell="P4" sqref="P3:P4"/>
      <selection pane="bottomRight" activeCell="P4" sqref="P3:P4"/>
    </sheetView>
  </sheetViews>
  <sheetFormatPr baseColWidth="8" defaultColWidth="8.6640625" defaultRowHeight="14.4"/>
  <cols>
    <col width="4" customWidth="1" min="1" max="1"/>
    <col width="33" customWidth="1" min="2" max="2"/>
    <col width="49" customWidth="1" min="3" max="3"/>
    <col width="19" customWidth="1" min="4" max="4"/>
    <col width="14" customWidth="1" min="5" max="5"/>
    <col width="16" customWidth="1" min="6" max="6"/>
    <col width="19" customWidth="1" min="7" max="7"/>
    <col width="17" customWidth="1" min="8" max="8"/>
    <col width="28" customWidth="1" min="9" max="9"/>
    <col width="17" customWidth="1" min="10" max="10"/>
    <col width="19" customWidth="1" min="11" max="12"/>
    <col width="18" customWidth="1" min="13" max="13"/>
    <col width="31" customWidth="1" min="14" max="15"/>
    <col width="19" customWidth="1" min="16" max="35"/>
  </cols>
  <sheetData>
    <row r="1" ht="17.25" customHeight="1">
      <c r="A1" s="22" t="n"/>
      <c r="B1" s="75" t="inlineStr">
        <is>
          <t>Рамен. Ціна партнеру та полиця — 6 палет</t>
        </is>
      </c>
      <c r="C1" s="120" t="n"/>
      <c r="D1" s="120" t="n"/>
      <c r="E1" s="120" t="n"/>
      <c r="F1" s="120" t="n"/>
      <c r="G1" s="120" t="n"/>
      <c r="H1" s="120" t="n"/>
      <c r="I1" s="120" t="n"/>
      <c r="J1" s="120" t="n"/>
      <c r="K1" s="121" t="n"/>
    </row>
    <row r="2" ht="37.5" customHeight="1">
      <c r="B2" s="81" t="inlineStr">
        <is>
          <t>Сценарій поставки</t>
        </is>
      </c>
      <c r="C2" s="122" t="n"/>
      <c r="D2" s="23" t="inlineStr">
        <is>
          <t>6 палет</t>
        </is>
      </c>
      <c r="E2" s="82" t="inlineStr">
        <is>
          <t>Готова СС із Self-Cost_Sias: AJ6:AJ11. Склад СС збережено.</t>
        </is>
      </c>
      <c r="F2" s="123" t="n"/>
      <c r="G2" s="123" t="n"/>
      <c r="H2" s="123" t="n"/>
      <c r="I2" s="123" t="n"/>
      <c r="J2" s="123" t="n"/>
      <c r="K2" s="122" t="n"/>
      <c r="L2" s="7" t="n"/>
      <c r="M2" s="121" t="n"/>
      <c r="N2" s="7" t="n"/>
      <c r="O2" s="121" t="n"/>
    </row>
    <row r="3" ht="37.5" customHeight="1">
      <c r="B3" s="1" t="inlineStr">
        <is>
          <t>Курс, грн/EUR</t>
        </is>
      </c>
      <c r="C3" s="121" t="n"/>
      <c r="D3" s="18" t="n">
        <v>51.2</v>
      </c>
      <c r="E3" s="69" t="inlineStr">
        <is>
          <t>Курс 51,20 грн/EUR — із Self-Cost_Sias.</t>
        </is>
      </c>
      <c r="F3" s="120" t="n"/>
      <c r="G3" s="120" t="n"/>
      <c r="H3" s="120" t="n"/>
      <c r="I3" s="120" t="n"/>
      <c r="J3" s="120" t="n"/>
      <c r="K3" s="121" t="n"/>
      <c r="L3" s="7" t="n"/>
      <c r="M3" s="121" t="n"/>
      <c r="N3" s="7" t="n"/>
      <c r="O3" s="121" t="n"/>
    </row>
    <row r="4" ht="37.5" customHeight="1">
      <c r="B4" s="1" t="inlineStr">
        <is>
          <t>Бонуси мережі, %</t>
        </is>
      </c>
      <c r="C4" s="121" t="n"/>
      <c r="D4" s="19" t="n">
        <v>0.25</v>
      </c>
      <c r="E4" s="69" t="inlineStr">
        <is>
          <t>Бонус 25%; полиця = ціна партнера × 1,40.</t>
        </is>
      </c>
      <c r="F4" s="120" t="n"/>
      <c r="G4" s="120" t="n"/>
      <c r="H4" s="120" t="n"/>
      <c r="I4" s="120" t="n"/>
      <c r="J4" s="120" t="n"/>
      <c r="K4" s="121" t="n"/>
      <c r="L4" s="7" t="n"/>
      <c r="M4" s="121" t="n"/>
      <c r="N4" s="7" t="n"/>
      <c r="O4" s="121" t="n"/>
    </row>
    <row r="5" ht="61.5" customHeight="1">
      <c r="B5" s="1" t="inlineStr">
        <is>
          <t>Цільова маржа, %</t>
        </is>
      </c>
      <c r="C5" s="121" t="n"/>
      <c r="D5" s="19" t="n">
        <v>0.35</v>
      </c>
      <c r="E5" s="69" t="inlineStr">
        <is>
          <t>35% = (ціна партнеру − собівартість − бонус) / повна ціна партнеру.</t>
        </is>
      </c>
      <c r="F5" s="120" t="n"/>
      <c r="G5" s="120" t="n"/>
      <c r="H5" s="120" t="n"/>
      <c r="I5" s="120" t="n"/>
      <c r="J5" s="120" t="n"/>
      <c r="K5" s="121" t="n"/>
      <c r="L5" s="7" t="n"/>
      <c r="M5" s="121" t="n"/>
      <c r="N5" s="7" t="n"/>
      <c r="O5" s="121" t="n"/>
    </row>
    <row r="6" ht="27.75" customHeight="1">
      <c r="B6" s="1" t="inlineStr">
        <is>
          <t>Націнка мережі (x)</t>
        </is>
      </c>
      <c r="C6" s="121" t="n"/>
      <c r="D6" s="18" t="n">
        <v>1.4</v>
      </c>
      <c r="E6" s="69" t="inlineStr">
        <is>
          <t>Прибуток після бонусу = ціна партнеру − собівартість − бонус мережі.</t>
        </is>
      </c>
      <c r="F6" s="120" t="n"/>
      <c r="G6" s="120" t="n"/>
      <c r="H6" s="120" t="n"/>
      <c r="I6" s="120" t="n"/>
      <c r="J6" s="120" t="n"/>
      <c r="K6" s="121" t="n"/>
      <c r="L6" s="7" t="n"/>
      <c r="M6" s="121" t="n"/>
    </row>
    <row r="7" ht="27.75" customHeight="1">
      <c r="B7" s="1" t="inlineStr">
        <is>
          <t>Ціна партнера</t>
        </is>
      </c>
      <c r="C7" s="121" t="n"/>
      <c r="D7" s="20" t="inlineStr">
        <is>
          <t>вже з ПДВ</t>
        </is>
      </c>
      <c r="E7" s="69" t="inlineStr">
        <is>
          <t>ПДВ як у прикладі: СС збережено повністю; ціна вже з ПДВ. Множення на 1,20 немає.</t>
        </is>
      </c>
      <c r="F7" s="120" t="n"/>
      <c r="G7" s="120" t="n"/>
      <c r="H7" s="120" t="n"/>
      <c r="I7" s="120" t="n"/>
      <c r="J7" s="120" t="n"/>
      <c r="K7" s="121" t="n"/>
      <c r="L7" s="7" t="n"/>
      <c r="M7" s="121" t="n"/>
    </row>
    <row r="8" ht="30" customFormat="1" customHeight="1" s="21">
      <c r="B8" s="80" t="inlineStr">
        <is>
          <t>Частка ціни для собівартості</t>
        </is>
      </c>
      <c r="C8" s="124" t="n"/>
      <c r="D8" s="24">
        <f>IF(AND(COUNT(D3:D6)=4,D3&gt;0,D4&gt;=0,D5&gt;=0,D4+D5&lt;1,D6&gt;0),1-D4-D5,NA())</f>
        <v>0.4</v>
      </c>
      <c r="E8" s="125" t="inlineStr">
        <is>
          <t>100% − бонус − маржа. За поточних умов: 100% − 25% − 35% = 40%.</t>
        </is>
      </c>
      <c r="F8" s="120" t="n"/>
      <c r="G8" s="120" t="n"/>
      <c r="H8" s="120" t="n"/>
      <c r="I8" s="120" t="n"/>
      <c r="J8" s="120" t="n"/>
      <c r="K8" s="121" t="n"/>
    </row>
    <row r="9" ht="27" customHeight="1">
      <c r="A9" s="71" t="inlineStr">
        <is>
          <t>ТОВАР</t>
        </is>
      </c>
      <c r="B9" s="120" t="n"/>
      <c r="C9" s="120" t="n"/>
      <c r="D9" s="121" t="n"/>
      <c r="E9" s="72" t="inlineStr">
        <is>
          <t>СОБІВАРТІСТЬ</t>
        </is>
      </c>
      <c r="F9" s="121" t="n"/>
      <c r="G9" s="73" t="inlineStr">
        <is>
          <t>ЦІНА ПАРТНЕРУ ТА ПРИБУТОК</t>
        </is>
      </c>
      <c r="H9" s="120" t="n"/>
      <c r="I9" s="120" t="n"/>
      <c r="J9" s="121" t="n"/>
      <c r="K9" s="6" t="inlineStr">
        <is>
          <t>ПОЛИЦЯ</t>
        </is>
      </c>
      <c r="L9" s="74" t="inlineStr">
        <is>
          <t>МОДЕЛЬ: НУЛЬОВА МАРЖА</t>
        </is>
      </c>
      <c r="M9" s="121" t="n"/>
      <c r="N9" s="70" t="inlineStr">
        <is>
          <t>ПРИБУТОК З ОДНІЄЇ УПАКОВКИ</t>
        </is>
      </c>
      <c r="O9" s="121" t="n"/>
      <c r="P9" s="126" t="n">
        <v>0.3</v>
      </c>
      <c r="Q9" s="127" t="n"/>
      <c r="R9" s="127" t="n"/>
      <c r="S9" s="127" t="n"/>
      <c r="T9" s="128" t="n"/>
      <c r="U9" s="129" t="n">
        <v>0.25</v>
      </c>
      <c r="V9" s="127" t="n"/>
      <c r="W9" s="127" t="n"/>
      <c r="X9" s="127" t="n"/>
      <c r="Y9" s="128" t="n"/>
      <c r="Z9" s="126" t="n">
        <v>0.2</v>
      </c>
      <c r="AA9" s="127" t="n"/>
      <c r="AB9" s="127" t="n"/>
      <c r="AC9" s="127" t="n"/>
      <c r="AD9" s="128" t="n"/>
      <c r="AE9" s="129" t="n">
        <v>0.15</v>
      </c>
      <c r="AF9" s="127" t="n"/>
      <c r="AG9" s="127" t="n"/>
      <c r="AH9" s="127" t="n"/>
      <c r="AI9" s="128" t="n"/>
    </row>
    <row r="10" ht="41.4" customHeight="1">
      <c r="A10" s="7" t="inlineStr">
        <is>
          <t>№</t>
        </is>
      </c>
      <c r="B10" s="7" t="inlineStr">
        <is>
          <t>Група</t>
        </is>
      </c>
      <c r="C10" s="7" t="inlineStr">
        <is>
          <t>Позиція</t>
        </is>
      </c>
      <c r="D10" s="7" t="inlineStr">
        <is>
          <t>Вага, г</t>
        </is>
      </c>
      <c r="E10" s="72" t="inlineStr">
        <is>
          <t>СС, EUR/уп.</t>
        </is>
      </c>
      <c r="F10" s="72" t="inlineStr">
        <is>
          <t>1. СС, грн/уп.</t>
        </is>
      </c>
      <c r="G10" s="73" t="inlineStr">
        <is>
          <t>2. Ціна партнеру з ПДВ</t>
        </is>
      </c>
      <c r="H10" s="73" t="inlineStr">
        <is>
          <t>3. Бонус мережі, грн</t>
        </is>
      </c>
      <c r="I10" s="73" t="inlineStr">
        <is>
          <t>4. Прибуток після бонусу, грн</t>
        </is>
      </c>
      <c r="J10" s="73" t="inlineStr">
        <is>
          <t>5. Маржа за прикладом</t>
        </is>
      </c>
      <c r="K10" s="6" t="inlineStr">
        <is>
          <t>6. Полиця з ПДВ, грн</t>
        </is>
      </c>
      <c r="L10" s="74" t="inlineStr">
        <is>
          <t>Мін. ціна партнеру</t>
        </is>
      </c>
      <c r="M10" s="74" t="inlineStr">
        <is>
          <t>Мін. полиця</t>
        </is>
      </c>
      <c r="N10" s="70" t="inlineStr">
        <is>
          <t>Валовий прибуток за прикладом, до бонусу, грн/уп.</t>
        </is>
      </c>
      <c r="O10" s="70" t="inlineStr">
        <is>
          <t>Прибуток після бонусу за прикладом, грн/уп.</t>
        </is>
      </c>
      <c r="P10" s="88" t="inlineStr">
        <is>
          <t>Ціна партнеру з ПДВ, грн</t>
        </is>
      </c>
      <c r="Q10" s="88" t="inlineStr">
        <is>
          <t>Бонус мережі, грн</t>
        </is>
      </c>
      <c r="R10" s="88" t="inlineStr">
        <is>
          <t>Прибуток після бонусу, грн</t>
        </is>
      </c>
      <c r="S10" s="88" t="inlineStr">
        <is>
          <t>Перевірка маржі</t>
        </is>
      </c>
      <c r="T10" s="88" t="inlineStr">
        <is>
          <t>Полиця з ПДВ, грн</t>
        </is>
      </c>
      <c r="U10" s="94" t="inlineStr">
        <is>
          <t>Ціна партнеру з ПДВ, грн</t>
        </is>
      </c>
      <c r="V10" s="94" t="inlineStr">
        <is>
          <t>Бонус мережі, грн</t>
        </is>
      </c>
      <c r="W10" s="94" t="inlineStr">
        <is>
          <t>Прибуток після бонусу, грн</t>
        </is>
      </c>
      <c r="X10" s="94" t="inlineStr">
        <is>
          <t>Перевірка маржі</t>
        </is>
      </c>
      <c r="Y10" s="94" t="inlineStr">
        <is>
          <t>Полиця з ПДВ, грн</t>
        </is>
      </c>
      <c r="Z10" s="88" t="inlineStr">
        <is>
          <t>Ціна партнеру з ПДВ, грн</t>
        </is>
      </c>
      <c r="AA10" s="88" t="inlineStr">
        <is>
          <t>Бонус мережі, грн</t>
        </is>
      </c>
      <c r="AB10" s="88" t="inlineStr">
        <is>
          <t>Прибуток після бонусу, грн</t>
        </is>
      </c>
      <c r="AC10" s="88" t="inlineStr">
        <is>
          <t>Перевірка маржі</t>
        </is>
      </c>
      <c r="AD10" s="88" t="inlineStr">
        <is>
          <t>Полиця з ПДВ, грн</t>
        </is>
      </c>
      <c r="AE10" s="94" t="inlineStr">
        <is>
          <t>Ціна партнеру з ПДВ, грн</t>
        </is>
      </c>
      <c r="AF10" s="94" t="inlineStr">
        <is>
          <t>Бонус мережі, грн</t>
        </is>
      </c>
      <c r="AG10" s="94" t="inlineStr">
        <is>
          <t>Прибуток після бонусу, грн</t>
        </is>
      </c>
      <c r="AH10" s="94" t="inlineStr">
        <is>
          <t>Перевірка маржі</t>
        </is>
      </c>
      <c r="AI10" s="94" t="inlineStr">
        <is>
          <t>Полиця з ПДВ, грн</t>
        </is>
      </c>
    </row>
    <row r="11" ht="43.5" customHeight="1">
      <c r="A11" s="8" t="n">
        <v>1</v>
      </c>
      <c r="B11" s="8" t="inlineStr">
        <is>
          <t>SIAS — рамен у пакеті</t>
        </is>
      </c>
      <c r="C11" s="8" t="inlineStr">
        <is>
          <t>Gouda Cheese 123 г</t>
        </is>
      </c>
      <c r="D11" s="8" t="n">
        <v>123</v>
      </c>
      <c r="E11" s="130" t="n">
        <v>1.308515625</v>
      </c>
      <c r="F11" s="131">
        <f>IF(AND(ISNUMBER(E11),ISNUMBER($D$8)),E11*$D$3,NA())</f>
        <v>66.99600000000001</v>
      </c>
      <c r="G11" s="132">
        <f>F11/$D$8</f>
        <v>167.49</v>
      </c>
      <c r="H11" s="133">
        <f>G11*$D$4</f>
        <v>41.8725</v>
      </c>
      <c r="I11" s="134">
        <f>G11-F11-H11</f>
        <v>58.6215</v>
      </c>
      <c r="J11" s="13">
        <f>I11/G11</f>
        <v>0.35</v>
      </c>
      <c r="K11" s="135">
        <f>G11*$D$6</f>
        <v>234.486</v>
      </c>
      <c r="L11" s="136">
        <f>F11/(1-$D$4)</f>
        <v>89.32800000000002</v>
      </c>
      <c r="M11" s="136">
        <f>L11*$D$6</f>
        <v>125.05920000000002</v>
      </c>
      <c r="N11" s="137">
        <f>G11-F11</f>
        <v>100.494</v>
      </c>
      <c r="O11" s="138">
        <f>N11-H11</f>
        <v>58.6215</v>
      </c>
      <c r="P11" s="139">
        <f>$F11/(1-$D$4-$P$9)</f>
        <v>148.88000000000002</v>
      </c>
      <c r="Q11" s="140">
        <f>P11*$D$4</f>
        <v>37.220000000000006</v>
      </c>
      <c r="R11" s="141">
        <f>P11-$F11-Q11</f>
        <v>44.66400000000001</v>
      </c>
      <c r="S11" s="44">
        <f>R11/P11</f>
        <v>0.3</v>
      </c>
      <c r="T11" s="139">
        <f>P11*$D$6</f>
        <v>208.43200000000002</v>
      </c>
      <c r="U11" s="139">
        <f>$F11/(1-$D$4-$U$9)</f>
        <v>133.99200000000002</v>
      </c>
      <c r="V11" s="140">
        <f>U11*$D$4</f>
        <v>33.498000000000005</v>
      </c>
      <c r="W11" s="141">
        <f>U11-$F11-V11</f>
        <v>33.498000000000005</v>
      </c>
      <c r="X11" s="44">
        <f>W11/U11</f>
        <v>0.25</v>
      </c>
      <c r="Y11" s="139">
        <f>U11*$D$6</f>
        <v>187.58880000000002</v>
      </c>
      <c r="Z11" s="139">
        <f>$F11/(1-$D$4-$Z$9)</f>
        <v>121.81090909090909</v>
      </c>
      <c r="AA11" s="140">
        <f>Z11*$D$4</f>
        <v>30.452727272727273</v>
      </c>
      <c r="AB11" s="141">
        <f>Z11-$F11-AA11</f>
        <v>24.36218181818181</v>
      </c>
      <c r="AC11" s="44">
        <f>AB11/Z11</f>
        <v>0.19999999999999993</v>
      </c>
      <c r="AD11" s="139">
        <f>Z11*$D$6</f>
        <v>170.5352727272727</v>
      </c>
      <c r="AE11" s="139">
        <f>$F11/(1-$D$4-$AE$9)</f>
        <v>111.66000000000003</v>
      </c>
      <c r="AF11" s="140">
        <f>AE11*$D$4</f>
        <v>27.915000000000006</v>
      </c>
      <c r="AG11" s="141">
        <f>AE11-$F11-AF11</f>
        <v>16.74900000000001</v>
      </c>
      <c r="AH11" s="44">
        <f>AG11/AE11</f>
        <v>0.15000000000000005</v>
      </c>
      <c r="AI11" s="139">
        <f>AE11*$D$6</f>
        <v>156.324</v>
      </c>
    </row>
    <row r="12" ht="43.5" customHeight="1">
      <c r="A12" s="8" t="n">
        <v>2</v>
      </c>
      <c r="B12" s="8" t="inlineStr">
        <is>
          <t>SIAS — рамен у пакеті</t>
        </is>
      </c>
      <c r="C12" s="8" t="inlineStr">
        <is>
          <t>Carbonara Spicy 131 г</t>
        </is>
      </c>
      <c r="D12" s="8" t="n">
        <v>131</v>
      </c>
      <c r="E12" s="130" t="n">
        <v>1.308515625</v>
      </c>
      <c r="F12" s="131">
        <f>IF(AND(ISNUMBER(E12),ISNUMBER($D$8)),E12*$D$3,NA())</f>
        <v>66.99600000000001</v>
      </c>
      <c r="G12" s="132">
        <f>F12/$D$8</f>
        <v>167.49</v>
      </c>
      <c r="H12" s="133">
        <f>G12*$D$4</f>
        <v>41.8725</v>
      </c>
      <c r="I12" s="134">
        <f>G12-F12-H12</f>
        <v>58.6215</v>
      </c>
      <c r="J12" s="13">
        <f>I12/G12</f>
        <v>0.35</v>
      </c>
      <c r="K12" s="135">
        <f>G12*$D$6</f>
        <v>234.486</v>
      </c>
      <c r="L12" s="136">
        <f>F12/(1-$D$4)</f>
        <v>89.32800000000002</v>
      </c>
      <c r="M12" s="136">
        <f>L12*$D$6</f>
        <v>125.05920000000002</v>
      </c>
      <c r="N12" s="137">
        <f>G12-F12</f>
        <v>100.494</v>
      </c>
      <c r="O12" s="138">
        <f>N12-H12</f>
        <v>58.6215</v>
      </c>
      <c r="P12" s="139">
        <f>$F12/(1-$D$4-$P$9)</f>
        <v>148.88000000000002</v>
      </c>
      <c r="Q12" s="140">
        <f>P12*$D$4</f>
        <v>37.220000000000006</v>
      </c>
      <c r="R12" s="141">
        <f>P12-$F12-Q12</f>
        <v>44.66400000000001</v>
      </c>
      <c r="S12" s="44">
        <f>R12/P12</f>
        <v>0.3</v>
      </c>
      <c r="T12" s="139">
        <f>P12*$D$6</f>
        <v>208.43200000000002</v>
      </c>
      <c r="U12" s="139">
        <f>$F12/(1-$D$4-$U$9)</f>
        <v>133.99200000000002</v>
      </c>
      <c r="V12" s="140">
        <f>U12*$D$4</f>
        <v>33.498000000000005</v>
      </c>
      <c r="W12" s="141">
        <f>U12-$F12-V12</f>
        <v>33.498000000000005</v>
      </c>
      <c r="X12" s="44">
        <f>W12/U12</f>
        <v>0.25</v>
      </c>
      <c r="Y12" s="139">
        <f>U12*$D$6</f>
        <v>187.58880000000002</v>
      </c>
      <c r="Z12" s="139">
        <f>$F12/(1-$D$4-$Z$9)</f>
        <v>121.81090909090909</v>
      </c>
      <c r="AA12" s="140">
        <f>Z12*$D$4</f>
        <v>30.452727272727273</v>
      </c>
      <c r="AB12" s="141">
        <f>Z12-$F12-AA12</f>
        <v>24.36218181818181</v>
      </c>
      <c r="AC12" s="44">
        <f>AB12/Z12</f>
        <v>0.19999999999999993</v>
      </c>
      <c r="AD12" s="139">
        <f>Z12*$D$6</f>
        <v>170.5352727272727</v>
      </c>
      <c r="AE12" s="139">
        <f>$F12/(1-$D$4-$AE$9)</f>
        <v>111.66000000000003</v>
      </c>
      <c r="AF12" s="140">
        <f>AE12*$D$4</f>
        <v>27.915000000000006</v>
      </c>
      <c r="AG12" s="141">
        <f>AE12-$F12-AF12</f>
        <v>16.74900000000001</v>
      </c>
      <c r="AH12" s="44">
        <f>AG12/AE12</f>
        <v>0.15000000000000005</v>
      </c>
      <c r="AI12" s="139">
        <f>AE12*$D$6</f>
        <v>156.324</v>
      </c>
    </row>
    <row r="13" ht="43.5" customHeight="1">
      <c r="A13" s="8" t="n">
        <v>3</v>
      </c>
      <c r="B13" s="8" t="inlineStr">
        <is>
          <t>SIAS — рамен у пакеті</t>
        </is>
      </c>
      <c r="C13" s="8" t="inlineStr">
        <is>
          <t>Vegetable Flavor 113 г</t>
        </is>
      </c>
      <c r="D13" s="8" t="n">
        <v>113</v>
      </c>
      <c r="E13" s="130" t="n">
        <v>1.134046875</v>
      </c>
      <c r="F13" s="131">
        <f>IF(AND(ISNUMBER(E13),ISNUMBER($D$8)),E13*$D$3,NA())</f>
        <v>58.063199999999995</v>
      </c>
      <c r="G13" s="132">
        <f>F13/$D$8</f>
        <v>145.158</v>
      </c>
      <c r="H13" s="133">
        <f>G13*$D$4</f>
        <v>36.2895</v>
      </c>
      <c r="I13" s="134">
        <f>G13-F13-H13</f>
        <v>50.805299999999995</v>
      </c>
      <c r="J13" s="13">
        <f>I13/G13</f>
        <v>0.35</v>
      </c>
      <c r="K13" s="135">
        <f>G13*$D$6</f>
        <v>203.22119999999998</v>
      </c>
      <c r="L13" s="136">
        <f>F13/(1-$D$4)</f>
        <v>77.4176</v>
      </c>
      <c r="M13" s="136">
        <f>L13*$D$6</f>
        <v>108.38463999999999</v>
      </c>
      <c r="N13" s="137">
        <f>G13-F13</f>
        <v>87.09479999999999</v>
      </c>
      <c r="O13" s="138">
        <f>N13-H13</f>
        <v>50.805299999999995</v>
      </c>
      <c r="P13" s="139">
        <f>$F13/(1-$D$4-$P$9)</f>
        <v>129.0293333333333</v>
      </c>
      <c r="Q13" s="140">
        <f>P13*$D$4</f>
        <v>32.25733333333333</v>
      </c>
      <c r="R13" s="141">
        <f>P13-$F13-Q13</f>
        <v>38.70879999999999</v>
      </c>
      <c r="S13" s="44">
        <f>R13/P13</f>
        <v>0.3</v>
      </c>
      <c r="T13" s="139">
        <f>P13*$D$6</f>
        <v>180.64106666666663</v>
      </c>
      <c r="U13" s="139">
        <f>$F13/(1-$D$4-$U$9)</f>
        <v>116.12639999999999</v>
      </c>
      <c r="V13" s="140">
        <f>U13*$D$4</f>
        <v>29.031599999999997</v>
      </c>
      <c r="W13" s="141">
        <f>U13-$F13-V13</f>
        <v>29.031599999999997</v>
      </c>
      <c r="X13" s="44">
        <f>W13/U13</f>
        <v>0.25</v>
      </c>
      <c r="Y13" s="139">
        <f>U13*$D$6</f>
        <v>162.57695999999999</v>
      </c>
      <c r="Z13" s="139">
        <f>$F13/(1-$D$4-$Z$9)</f>
        <v>105.56945454545453</v>
      </c>
      <c r="AA13" s="140">
        <f>Z13*$D$4</f>
        <v>26.392363636363633</v>
      </c>
      <c r="AB13" s="141">
        <f>Z13-$F13-AA13</f>
        <v>21.113890909090905</v>
      </c>
      <c r="AC13" s="44">
        <f>AB13/Z13</f>
        <v>0.19999999999999998</v>
      </c>
      <c r="AD13" s="139">
        <f>Z13*$D$6</f>
        <v>147.79723636363633</v>
      </c>
      <c r="AE13" s="139">
        <f>$F13/(1-$D$4-$AE$9)</f>
        <v>96.77199999999999</v>
      </c>
      <c r="AF13" s="140">
        <f>AE13*$D$4</f>
        <v>24.192999999999998</v>
      </c>
      <c r="AG13" s="141">
        <f>AE13-$F13-AF13</f>
        <v>14.515799999999999</v>
      </c>
      <c r="AH13" s="44">
        <f>AG13/AE13</f>
        <v>0.15</v>
      </c>
      <c r="AI13" s="139">
        <f>AE13*$D$6</f>
        <v>135.4808</v>
      </c>
    </row>
    <row r="14" ht="43.5" customHeight="1">
      <c r="A14" s="8" t="n">
        <v>4</v>
      </c>
      <c r="B14" s="8" t="inlineStr">
        <is>
          <t>SIAS — рамен у пакеті</t>
        </is>
      </c>
      <c r="C14" s="8" t="inlineStr">
        <is>
          <t>Spicy Flavor 112.5 г</t>
        </is>
      </c>
      <c r="D14" s="142" t="n">
        <v>112.5</v>
      </c>
      <c r="E14" s="130" t="n">
        <v>1.134046875</v>
      </c>
      <c r="F14" s="131">
        <f>IF(AND(ISNUMBER(E14),ISNUMBER($D$8)),E14*$D$3,NA())</f>
        <v>58.063199999999995</v>
      </c>
      <c r="G14" s="132">
        <f>F14/$D$8</f>
        <v>145.158</v>
      </c>
      <c r="H14" s="133">
        <f>G14*$D$4</f>
        <v>36.2895</v>
      </c>
      <c r="I14" s="134">
        <f>G14-F14-H14</f>
        <v>50.805299999999995</v>
      </c>
      <c r="J14" s="13">
        <f>I14/G14</f>
        <v>0.35</v>
      </c>
      <c r="K14" s="135">
        <f>G14*$D$6</f>
        <v>203.22119999999998</v>
      </c>
      <c r="L14" s="136">
        <f>F14/(1-$D$4)</f>
        <v>77.4176</v>
      </c>
      <c r="M14" s="136">
        <f>L14*$D$6</f>
        <v>108.38463999999999</v>
      </c>
      <c r="N14" s="137">
        <f>G14-F14</f>
        <v>87.09479999999999</v>
      </c>
      <c r="O14" s="138">
        <f>N14-H14</f>
        <v>50.805299999999995</v>
      </c>
      <c r="P14" s="139">
        <f>$F14/(1-$D$4-$P$9)</f>
        <v>129.0293333333333</v>
      </c>
      <c r="Q14" s="140">
        <f>P14*$D$4</f>
        <v>32.25733333333333</v>
      </c>
      <c r="R14" s="141">
        <f>P14-$F14-Q14</f>
        <v>38.70879999999999</v>
      </c>
      <c r="S14" s="44">
        <f>R14/P14</f>
        <v>0.3</v>
      </c>
      <c r="T14" s="139">
        <f>P14*$D$6</f>
        <v>180.64106666666663</v>
      </c>
      <c r="U14" s="139">
        <f>$F14/(1-$D$4-$U$9)</f>
        <v>116.12639999999999</v>
      </c>
      <c r="V14" s="140">
        <f>U14*$D$4</f>
        <v>29.031599999999997</v>
      </c>
      <c r="W14" s="141">
        <f>U14-$F14-V14</f>
        <v>29.031599999999997</v>
      </c>
      <c r="X14" s="44">
        <f>W14/U14</f>
        <v>0.25</v>
      </c>
      <c r="Y14" s="139">
        <f>U14*$D$6</f>
        <v>162.57695999999999</v>
      </c>
      <c r="Z14" s="139">
        <f>$F14/(1-$D$4-$Z$9)</f>
        <v>105.56945454545453</v>
      </c>
      <c r="AA14" s="140">
        <f>Z14*$D$4</f>
        <v>26.392363636363633</v>
      </c>
      <c r="AB14" s="141">
        <f>Z14-$F14-AA14</f>
        <v>21.113890909090905</v>
      </c>
      <c r="AC14" s="44">
        <f>AB14/Z14</f>
        <v>0.19999999999999998</v>
      </c>
      <c r="AD14" s="139">
        <f>Z14*$D$6</f>
        <v>147.79723636363633</v>
      </c>
      <c r="AE14" s="139">
        <f>$F14/(1-$D$4-$AE$9)</f>
        <v>96.77199999999999</v>
      </c>
      <c r="AF14" s="140">
        <f>AE14*$D$4</f>
        <v>24.192999999999998</v>
      </c>
      <c r="AG14" s="141">
        <f>AE14-$F14-AF14</f>
        <v>14.515799999999999</v>
      </c>
      <c r="AH14" s="44">
        <f>AG14/AE14</f>
        <v>0.15</v>
      </c>
      <c r="AI14" s="139">
        <f>AE14*$D$6</f>
        <v>135.4808</v>
      </c>
    </row>
    <row r="15" ht="43.5" customHeight="1">
      <c r="A15" s="8" t="n">
        <v>5</v>
      </c>
      <c r="B15" s="8" t="inlineStr">
        <is>
          <t>SIAS — рамен у пакеті</t>
        </is>
      </c>
      <c r="C15" s="8" t="inlineStr">
        <is>
          <t>Beef Flavor 113 г</t>
        </is>
      </c>
      <c r="D15" s="8" t="n">
        <v>113</v>
      </c>
      <c r="E15" s="130" t="n">
        <v>1.134046875</v>
      </c>
      <c r="F15" s="131">
        <f>IF(AND(ISNUMBER(E15),ISNUMBER($D$8)),E15*$D$3,NA())</f>
        <v>58.063199999999995</v>
      </c>
      <c r="G15" s="132">
        <f>F15/$D$8</f>
        <v>145.158</v>
      </c>
      <c r="H15" s="133">
        <f>G15*$D$4</f>
        <v>36.2895</v>
      </c>
      <c r="I15" s="134">
        <f>G15-F15-H15</f>
        <v>50.805299999999995</v>
      </c>
      <c r="J15" s="13">
        <f>I15/G15</f>
        <v>0.35</v>
      </c>
      <c r="K15" s="135">
        <f>G15*$D$6</f>
        <v>203.22119999999998</v>
      </c>
      <c r="L15" s="136">
        <f>F15/(1-$D$4)</f>
        <v>77.4176</v>
      </c>
      <c r="M15" s="136">
        <f>L15*$D$6</f>
        <v>108.38463999999999</v>
      </c>
      <c r="N15" s="137">
        <f>G15-F15</f>
        <v>87.09479999999999</v>
      </c>
      <c r="O15" s="138">
        <f>N15-H15</f>
        <v>50.805299999999995</v>
      </c>
      <c r="P15" s="139">
        <f>$F15/(1-$D$4-$P$9)</f>
        <v>129.0293333333333</v>
      </c>
      <c r="Q15" s="140">
        <f>P15*$D$4</f>
        <v>32.25733333333333</v>
      </c>
      <c r="R15" s="141">
        <f>P15-$F15-Q15</f>
        <v>38.70879999999999</v>
      </c>
      <c r="S15" s="44">
        <f>R15/P15</f>
        <v>0.3</v>
      </c>
      <c r="T15" s="139">
        <f>P15*$D$6</f>
        <v>180.64106666666663</v>
      </c>
      <c r="U15" s="139">
        <f>$F15/(1-$D$4-$U$9)</f>
        <v>116.12639999999999</v>
      </c>
      <c r="V15" s="140">
        <f>U15*$D$4</f>
        <v>29.031599999999997</v>
      </c>
      <c r="W15" s="141">
        <f>U15-$F15-V15</f>
        <v>29.031599999999997</v>
      </c>
      <c r="X15" s="44">
        <f>W15/U15</f>
        <v>0.25</v>
      </c>
      <c r="Y15" s="139">
        <f>U15*$D$6</f>
        <v>162.57695999999999</v>
      </c>
      <c r="Z15" s="139">
        <f>$F15/(1-$D$4-$Z$9)</f>
        <v>105.56945454545453</v>
      </c>
      <c r="AA15" s="140">
        <f>Z15*$D$4</f>
        <v>26.392363636363633</v>
      </c>
      <c r="AB15" s="141">
        <f>Z15-$F15-AA15</f>
        <v>21.113890909090905</v>
      </c>
      <c r="AC15" s="44">
        <f>AB15/Z15</f>
        <v>0.19999999999999998</v>
      </c>
      <c r="AD15" s="139">
        <f>Z15*$D$6</f>
        <v>147.79723636363633</v>
      </c>
      <c r="AE15" s="139">
        <f>$F15/(1-$D$4-$AE$9)</f>
        <v>96.77199999999999</v>
      </c>
      <c r="AF15" s="140">
        <f>AE15*$D$4</f>
        <v>24.192999999999998</v>
      </c>
      <c r="AG15" s="141">
        <f>AE15-$F15-AF15</f>
        <v>14.515799999999999</v>
      </c>
      <c r="AH15" s="44">
        <f>AG15/AE15</f>
        <v>0.15</v>
      </c>
      <c r="AI15" s="139">
        <f>AE15*$D$6</f>
        <v>135.4808</v>
      </c>
    </row>
    <row r="16" ht="43.5" customHeight="1">
      <c r="A16" s="8" t="n">
        <v>6</v>
      </c>
      <c r="B16" s="8" t="inlineStr">
        <is>
          <t>SIAS — рамен у пакеті</t>
        </is>
      </c>
      <c r="C16" s="8" t="inlineStr">
        <is>
          <t>Chicken Flavor 113 г</t>
        </is>
      </c>
      <c r="D16" s="8" t="n">
        <v>113</v>
      </c>
      <c r="E16" s="130" t="n">
        <v>1.134046875</v>
      </c>
      <c r="F16" s="131">
        <f>IF(AND(ISNUMBER(E16),ISNUMBER($D$8)),E16*$D$3,NA())</f>
        <v>58.063199999999995</v>
      </c>
      <c r="G16" s="132">
        <f>F16/$D$8</f>
        <v>145.158</v>
      </c>
      <c r="H16" s="133">
        <f>G16*$D$4</f>
        <v>36.2895</v>
      </c>
      <c r="I16" s="134">
        <f>G16-F16-H16</f>
        <v>50.805299999999995</v>
      </c>
      <c r="J16" s="13">
        <f>I16/G16</f>
        <v>0.35</v>
      </c>
      <c r="K16" s="135">
        <f>G16*$D$6</f>
        <v>203.22119999999998</v>
      </c>
      <c r="L16" s="136">
        <f>F16/(1-$D$4)</f>
        <v>77.4176</v>
      </c>
      <c r="M16" s="136">
        <f>L16*$D$6</f>
        <v>108.38463999999999</v>
      </c>
      <c r="N16" s="137">
        <f>G16-F16</f>
        <v>87.09479999999999</v>
      </c>
      <c r="O16" s="138">
        <f>N16-H16</f>
        <v>50.805299999999995</v>
      </c>
      <c r="P16" s="139">
        <f>$F16/(1-$D$4-$P$9)</f>
        <v>129.0293333333333</v>
      </c>
      <c r="Q16" s="140">
        <f>P16*$D$4</f>
        <v>32.25733333333333</v>
      </c>
      <c r="R16" s="141">
        <f>P16-$F16-Q16</f>
        <v>38.70879999999999</v>
      </c>
      <c r="S16" s="44">
        <f>R16/P16</f>
        <v>0.3</v>
      </c>
      <c r="T16" s="139">
        <f>P16*$D$6</f>
        <v>180.64106666666663</v>
      </c>
      <c r="U16" s="139">
        <f>$F16/(1-$D$4-$U$9)</f>
        <v>116.12639999999999</v>
      </c>
      <c r="V16" s="140">
        <f>U16*$D$4</f>
        <v>29.031599999999997</v>
      </c>
      <c r="W16" s="141">
        <f>U16-$F16-V16</f>
        <v>29.031599999999997</v>
      </c>
      <c r="X16" s="44">
        <f>W16/U16</f>
        <v>0.25</v>
      </c>
      <c r="Y16" s="139">
        <f>U16*$D$6</f>
        <v>162.57695999999999</v>
      </c>
      <c r="Z16" s="139">
        <f>$F16/(1-$D$4-$Z$9)</f>
        <v>105.56945454545453</v>
      </c>
      <c r="AA16" s="140">
        <f>Z16*$D$4</f>
        <v>26.392363636363633</v>
      </c>
      <c r="AB16" s="141">
        <f>Z16-$F16-AA16</f>
        <v>21.113890909090905</v>
      </c>
      <c r="AC16" s="44">
        <f>AB16/Z16</f>
        <v>0.19999999999999998</v>
      </c>
      <c r="AD16" s="139">
        <f>Z16*$D$6</f>
        <v>147.79723636363633</v>
      </c>
      <c r="AE16" s="139">
        <f>$F16/(1-$D$4-$AE$9)</f>
        <v>96.77199999999999</v>
      </c>
      <c r="AF16" s="140">
        <f>AE16*$D$4</f>
        <v>24.192999999999998</v>
      </c>
      <c r="AG16" s="141">
        <f>AE16-$F16-AF16</f>
        <v>14.515799999999999</v>
      </c>
      <c r="AH16" s="44">
        <f>AG16/AE16</f>
        <v>0.15</v>
      </c>
      <c r="AI16" s="139">
        <f>AE16*$D$6</f>
        <v>135.4808</v>
      </c>
    </row>
    <row r="19" ht="28.05" customHeight="1">
      <c r="A19" s="27" t="n"/>
      <c r="B19" s="143" t="inlineStr">
        <is>
          <t>Кожен крок формування ціни — за вашим прикладом</t>
        </is>
      </c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 ht="43.95" customHeight="1">
      <c r="A21" s="84" t="inlineStr">
        <is>
          <t>№</t>
        </is>
      </c>
      <c r="B21" s="144" t="inlineStr">
        <is>
          <t>Що рахуємо</t>
        </is>
      </c>
      <c r="D21" s="144" t="inlineStr">
        <is>
          <t>Дія</t>
        </is>
      </c>
      <c r="F21" s="84" t="str">
        <f>C11</f>
        <v>Gouda Cheese 123 г</v>
      </c>
      <c r="G21" s="84" t="str">
        <f>C12</f>
        <v>Carbonara Spicy 131 г</v>
      </c>
      <c r="H21" s="84" t="str">
        <f>C13</f>
        <v>Vegetable Flavor 113 г</v>
      </c>
      <c r="I21" s="84" t="str">
        <f>C14</f>
        <v>Spicy Flavor 112.5 г</v>
      </c>
      <c r="J21" s="84" t="str">
        <f>C15</f>
        <v>Beef Flavor 113 г</v>
      </c>
      <c r="K21" s="84" t="str">
        <f>C16</f>
        <v>Chicken Flavor 113 г</v>
      </c>
    </row>
    <row r="22" ht="31.05" customHeight="1">
      <c r="A22" s="85" t="n">
        <v>1</v>
      </c>
      <c r="B22" s="85" t="inlineStr">
        <is>
          <t>Собівартість в Україні, EUR/уп.</t>
        </is>
      </c>
      <c r="C22" s="145" t="n"/>
      <c r="D22" s="86" t="inlineStr">
        <is>
          <t>Із Self-Cost</t>
        </is>
      </c>
      <c r="E22" s="145" t="n"/>
      <c r="F22" s="146">
        <f>E11</f>
        <v>1.308515625</v>
      </c>
      <c r="G22" s="146">
        <f>E12</f>
        <v>1.308515625</v>
      </c>
      <c r="H22" s="146">
        <f>E13</f>
        <v>1.134046875</v>
      </c>
      <c r="I22" s="146">
        <f>E14</f>
        <v>1.134046875</v>
      </c>
      <c r="J22" s="146">
        <f>E15</f>
        <v>1.134046875</v>
      </c>
      <c r="K22" s="146">
        <f>E16</f>
        <v>1.134046875</v>
      </c>
    </row>
    <row r="23" ht="31.05" customHeight="1">
      <c r="A23" s="85" t="n">
        <v>2</v>
      </c>
      <c r="B23" s="85" t="inlineStr">
        <is>
          <t>Курс, грн/EUR</t>
        </is>
      </c>
      <c r="C23" s="145" t="n"/>
      <c r="D23" s="86" t="inlineStr">
        <is>
          <t>Умова в D3</t>
        </is>
      </c>
      <c r="E23" s="145" t="n"/>
      <c r="F23" s="31">
        <f>$D$3</f>
        <v>51.2</v>
      </c>
      <c r="G23" s="31">
        <f>$D$3</f>
        <v>51.2</v>
      </c>
      <c r="H23" s="31">
        <f>$D$3</f>
        <v>51.2</v>
      </c>
      <c r="I23" s="31">
        <f>$D$3</f>
        <v>51.2</v>
      </c>
      <c r="J23" s="31">
        <f>$D$3</f>
        <v>51.2</v>
      </c>
      <c r="K23" s="31">
        <f>$D$3</f>
        <v>51.2</v>
      </c>
    </row>
    <row r="24" ht="31.05" customHeight="1">
      <c r="A24" s="85" t="n">
        <v>3</v>
      </c>
      <c r="B24" s="85" t="inlineStr">
        <is>
          <t>Собівартість в Україні, грн/уп.</t>
        </is>
      </c>
      <c r="C24" s="145" t="n"/>
      <c r="D24" s="86" t="inlineStr">
        <is>
          <t>Крок 1 × крок 2</t>
        </is>
      </c>
      <c r="E24" s="145" t="n"/>
      <c r="F24" s="147">
        <f>F11</f>
        <v>66.99600000000001</v>
      </c>
      <c r="G24" s="147">
        <f>F12</f>
        <v>66.99600000000001</v>
      </c>
      <c r="H24" s="147">
        <f>F13</f>
        <v>58.063199999999995</v>
      </c>
      <c r="I24" s="147">
        <f>F14</f>
        <v>58.063199999999995</v>
      </c>
      <c r="J24" s="147">
        <f>F15</f>
        <v>58.063199999999995</v>
      </c>
      <c r="K24" s="147">
        <f>F16</f>
        <v>58.063199999999995</v>
      </c>
    </row>
    <row r="25" ht="31.05" customHeight="1">
      <c r="A25" s="85" t="n">
        <v>4</v>
      </c>
      <c r="B25" s="85" t="inlineStr">
        <is>
          <t>Повна ціна партнеру, %</t>
        </is>
      </c>
      <c r="C25" s="145" t="n"/>
      <c r="D25" s="86" t="inlineStr">
        <is>
          <t>База для всіх відсотків</t>
        </is>
      </c>
      <c r="E25" s="145" t="n"/>
      <c r="F25" s="33" t="n">
        <v>1</v>
      </c>
      <c r="G25" s="33" t="n">
        <v>1</v>
      </c>
      <c r="H25" s="33" t="n">
        <v>1</v>
      </c>
      <c r="I25" s="33" t="n">
        <v>1</v>
      </c>
      <c r="J25" s="33" t="n">
        <v>1</v>
      </c>
      <c r="K25" s="33" t="n">
        <v>1</v>
      </c>
    </row>
    <row r="26" ht="31.05" customHeight="1">
      <c r="A26" s="85" t="n">
        <v>5</v>
      </c>
      <c r="B26" s="85" t="inlineStr">
        <is>
          <t>Бонус мережі, %</t>
        </is>
      </c>
      <c r="C26" s="145" t="n"/>
      <c r="D26" s="86" t="inlineStr">
        <is>
          <t>Умова в D4</t>
        </is>
      </c>
      <c r="E26" s="145" t="n"/>
      <c r="F26" s="33">
        <f>$D$4</f>
        <v>0.25</v>
      </c>
      <c r="G26" s="33">
        <f>$D$4</f>
        <v>0.25</v>
      </c>
      <c r="H26" s="33">
        <f>$D$4</f>
        <v>0.25</v>
      </c>
      <c r="I26" s="33">
        <f>$D$4</f>
        <v>0.25</v>
      </c>
      <c r="J26" s="33">
        <f>$D$4</f>
        <v>0.25</v>
      </c>
      <c r="K26" s="33">
        <f>$D$4</f>
        <v>0.25</v>
      </c>
    </row>
    <row r="27" ht="31.05" customHeight="1">
      <c r="A27" s="85" t="n">
        <v>6</v>
      </c>
      <c r="B27" s="85" t="inlineStr">
        <is>
          <t>Частка ціни після бонусу, %</t>
        </is>
      </c>
      <c r="C27" s="145" t="n"/>
      <c r="D27" s="86" t="inlineStr">
        <is>
          <t>Крок 4 − крок 5</t>
        </is>
      </c>
      <c r="E27" s="145" t="n"/>
      <c r="F27" s="33">
        <f>1-$D$4</f>
        <v>0.75</v>
      </c>
      <c r="G27" s="33">
        <f>1-$D$4</f>
        <v>0.75</v>
      </c>
      <c r="H27" s="33">
        <f>1-$D$4</f>
        <v>0.75</v>
      </c>
      <c r="I27" s="33">
        <f>1-$D$4</f>
        <v>0.75</v>
      </c>
      <c r="J27" s="33">
        <f>1-$D$4</f>
        <v>0.75</v>
      </c>
      <c r="K27" s="33">
        <f>1-$D$4</f>
        <v>0.75</v>
      </c>
    </row>
    <row r="28" ht="31.05" customHeight="1">
      <c r="A28" s="85" t="n">
        <v>7</v>
      </c>
      <c r="B28" s="85" t="inlineStr">
        <is>
          <t>Наша цільова маржа, %</t>
        </is>
      </c>
      <c r="C28" s="145" t="n"/>
      <c r="D28" s="86" t="inlineStr">
        <is>
          <t>Умова в D5</t>
        </is>
      </c>
      <c r="E28" s="145" t="n"/>
      <c r="F28" s="33">
        <f>$D$5</f>
        <v>0.35</v>
      </c>
      <c r="G28" s="33">
        <f>$D$5</f>
        <v>0.35</v>
      </c>
      <c r="H28" s="33">
        <f>$D$5</f>
        <v>0.35</v>
      </c>
      <c r="I28" s="33">
        <f>$D$5</f>
        <v>0.35</v>
      </c>
      <c r="J28" s="33">
        <f>$D$5</f>
        <v>0.35</v>
      </c>
      <c r="K28" s="33">
        <f>$D$5</f>
        <v>0.35</v>
      </c>
    </row>
    <row r="29" ht="31.05" customHeight="1">
      <c r="A29" s="85" t="n">
        <v>8</v>
      </c>
      <c r="B29" s="85" t="inlineStr">
        <is>
          <t>Частка ціни для собівартості, %</t>
        </is>
      </c>
      <c r="C29" s="145" t="n"/>
      <c r="D29" s="86" t="inlineStr">
        <is>
          <t>Крок 6 − крок 7</t>
        </is>
      </c>
      <c r="E29" s="145" t="n"/>
      <c r="F29" s="33">
        <f>$D$8</f>
        <v>0.4</v>
      </c>
      <c r="G29" s="33">
        <f>$D$8</f>
        <v>0.4</v>
      </c>
      <c r="H29" s="33">
        <f>$D$8</f>
        <v>0.4</v>
      </c>
      <c r="I29" s="33">
        <f>$D$8</f>
        <v>0.4</v>
      </c>
      <c r="J29" s="33">
        <f>$D$8</f>
        <v>0.4</v>
      </c>
      <c r="K29" s="33">
        <f>$D$8</f>
        <v>0.4</v>
      </c>
    </row>
    <row r="30" ht="31.05" customHeight="1">
      <c r="A30" s="89" t="n">
        <v>9</v>
      </c>
      <c r="B30" s="89" t="inlineStr">
        <is>
          <t>Ціна партнеру з ПДВ, грн/уп.</t>
        </is>
      </c>
      <c r="C30" s="145" t="n"/>
      <c r="D30" s="90" t="inlineStr">
        <is>
          <t>Крок 3 ÷ крок 8</t>
        </is>
      </c>
      <c r="E30" s="145" t="n"/>
      <c r="F30" s="148">
        <f>G11</f>
        <v>167.49</v>
      </c>
      <c r="G30" s="148">
        <f>G12</f>
        <v>167.49</v>
      </c>
      <c r="H30" s="148">
        <f>G13</f>
        <v>145.158</v>
      </c>
      <c r="I30" s="148">
        <f>G14</f>
        <v>145.158</v>
      </c>
      <c r="J30" s="148">
        <f>G15</f>
        <v>145.158</v>
      </c>
      <c r="K30" s="148">
        <f>G16</f>
        <v>145.158</v>
      </c>
    </row>
    <row r="31" ht="31.05" customHeight="1">
      <c r="A31" s="85" t="n">
        <v>10</v>
      </c>
      <c r="B31" s="85" t="inlineStr">
        <is>
          <t>Валовий прибуток до бонусу, грн/уп.</t>
        </is>
      </c>
      <c r="C31" s="145" t="n"/>
      <c r="D31" s="86" t="inlineStr">
        <is>
          <t>Крок 9 − крок 3</t>
        </is>
      </c>
      <c r="E31" s="145" t="n"/>
      <c r="F31" s="147">
        <f>N11</f>
        <v>100.494</v>
      </c>
      <c r="G31" s="147">
        <f>N12</f>
        <v>100.494</v>
      </c>
      <c r="H31" s="147">
        <f>N13</f>
        <v>87.09479999999999</v>
      </c>
      <c r="I31" s="147">
        <f>N14</f>
        <v>87.09479999999999</v>
      </c>
      <c r="J31" s="147">
        <f>N15</f>
        <v>87.09479999999999</v>
      </c>
      <c r="K31" s="147">
        <f>N16</f>
        <v>87.09479999999999</v>
      </c>
    </row>
    <row r="32" ht="31.05" customHeight="1">
      <c r="A32" s="85" t="n">
        <v>11</v>
      </c>
      <c r="B32" s="85" t="inlineStr">
        <is>
          <t>Бонус мережі, грн/уп.</t>
        </is>
      </c>
      <c r="C32" s="145" t="n"/>
      <c r="D32" s="86" t="inlineStr">
        <is>
          <t>Крок 9 × крок 5</t>
        </is>
      </c>
      <c r="E32" s="145" t="n"/>
      <c r="F32" s="147">
        <f>H11</f>
        <v>41.8725</v>
      </c>
      <c r="G32" s="147">
        <f>H12</f>
        <v>41.8725</v>
      </c>
      <c r="H32" s="147">
        <f>H13</f>
        <v>36.2895</v>
      </c>
      <c r="I32" s="147">
        <f>H14</f>
        <v>36.2895</v>
      </c>
      <c r="J32" s="147">
        <f>H15</f>
        <v>36.2895</v>
      </c>
      <c r="K32" s="147">
        <f>H16</f>
        <v>36.2895</v>
      </c>
    </row>
    <row r="33" ht="31.05" customHeight="1">
      <c r="A33" s="91" t="n">
        <v>12</v>
      </c>
      <c r="B33" s="91" t="inlineStr">
        <is>
          <t>Нам залишається після собівартості та бонусу, грн/уп.</t>
        </is>
      </c>
      <c r="C33" s="145" t="n"/>
      <c r="D33" s="92" t="inlineStr">
        <is>
          <t>Крок 10 − крок 11</t>
        </is>
      </c>
      <c r="E33" s="145" t="n"/>
      <c r="F33" s="149">
        <f>I11</f>
        <v>58.6215</v>
      </c>
      <c r="G33" s="149">
        <f>I12</f>
        <v>58.6215</v>
      </c>
      <c r="H33" s="149">
        <f>I13</f>
        <v>50.805299999999995</v>
      </c>
      <c r="I33" s="149">
        <f>I14</f>
        <v>50.805299999999995</v>
      </c>
      <c r="J33" s="149">
        <f>I15</f>
        <v>50.805299999999995</v>
      </c>
      <c r="K33" s="149">
        <f>I16</f>
        <v>50.805299999999995</v>
      </c>
    </row>
    <row r="34" ht="31.05" customHeight="1">
      <c r="A34" s="91" t="n">
        <v>13</v>
      </c>
      <c r="B34" s="91" t="inlineStr">
        <is>
          <t>Перевірка нашої маржі після бонусу, %</t>
        </is>
      </c>
      <c r="C34" s="145" t="n"/>
      <c r="D34" s="92" t="inlineStr">
        <is>
          <t>Крок 12 ÷ крок 9</t>
        </is>
      </c>
      <c r="E34" s="145" t="n"/>
      <c r="F34" s="38">
        <f>J11</f>
        <v>0.35</v>
      </c>
      <c r="G34" s="38">
        <f>J12</f>
        <v>0.35</v>
      </c>
      <c r="H34" s="38">
        <f>J13</f>
        <v>0.35</v>
      </c>
      <c r="I34" s="38">
        <f>J14</f>
        <v>0.35</v>
      </c>
      <c r="J34" s="38">
        <f>J15</f>
        <v>0.35</v>
      </c>
      <c r="K34" s="38">
        <f>J16</f>
        <v>0.35</v>
      </c>
    </row>
    <row r="35" ht="31.05" customHeight="1">
      <c r="A35" s="85" t="n">
        <v>14</v>
      </c>
      <c r="B35" s="85" t="inlineStr">
        <is>
          <t>Націнка ритейлера для полиці, %</t>
        </is>
      </c>
      <c r="C35" s="145" t="n"/>
      <c r="D35" s="86" t="inlineStr">
        <is>
          <t>Множник D6 − 1</t>
        </is>
      </c>
      <c r="E35" s="145" t="n"/>
      <c r="F35" s="33">
        <f>$D$6-1</f>
        <v>0.3999999999999999</v>
      </c>
      <c r="G35" s="33">
        <f>$D$6-1</f>
        <v>0.3999999999999999</v>
      </c>
      <c r="H35" s="33">
        <f>$D$6-1</f>
        <v>0.3999999999999999</v>
      </c>
      <c r="I35" s="33">
        <f>$D$6-1</f>
        <v>0.3999999999999999</v>
      </c>
      <c r="J35" s="33">
        <f>$D$6-1</f>
        <v>0.3999999999999999</v>
      </c>
      <c r="K35" s="33">
        <f>$D$6-1</f>
        <v>0.3999999999999999</v>
      </c>
    </row>
    <row r="36" ht="31.05" customHeight="1">
      <c r="A36" s="85" t="n">
        <v>15</v>
      </c>
      <c r="B36" s="85" t="inlineStr">
        <is>
          <t>Множник ритейлера</t>
        </is>
      </c>
      <c r="C36" s="145" t="n"/>
      <c r="D36" s="86" t="inlineStr">
        <is>
          <t>1 + крок 14</t>
        </is>
      </c>
      <c r="E36" s="145" t="n"/>
      <c r="F36" s="150">
        <f>$D$6</f>
        <v>1.4</v>
      </c>
      <c r="G36" s="150">
        <f>$D$6</f>
        <v>1.4</v>
      </c>
      <c r="H36" s="150">
        <f>$D$6</f>
        <v>1.4</v>
      </c>
      <c r="I36" s="150">
        <f>$D$6</f>
        <v>1.4</v>
      </c>
      <c r="J36" s="150">
        <f>$D$6</f>
        <v>1.4</v>
      </c>
      <c r="K36" s="150">
        <f>$D$6</f>
        <v>1.4</v>
      </c>
    </row>
    <row r="37" ht="31.05" customHeight="1">
      <c r="A37" s="89" t="n">
        <v>16</v>
      </c>
      <c r="B37" s="89" t="inlineStr">
        <is>
          <t>Ціна на полиці з ПДВ, грн/уп.</t>
        </is>
      </c>
      <c r="C37" s="145" t="n"/>
      <c r="D37" s="90" t="inlineStr">
        <is>
          <t>Крок 9 × крок 15</t>
        </is>
      </c>
      <c r="E37" s="145" t="n"/>
      <c r="F37" s="148">
        <f>K11</f>
        <v>234.486</v>
      </c>
      <c r="G37" s="148">
        <f>K12</f>
        <v>234.486</v>
      </c>
      <c r="H37" s="148">
        <f>K13</f>
        <v>203.22119999999998</v>
      </c>
      <c r="I37" s="148">
        <f>K14</f>
        <v>203.22119999999998</v>
      </c>
      <c r="J37" s="148">
        <f>K15</f>
        <v>203.22119999999998</v>
      </c>
      <c r="K37" s="148">
        <f>K16</f>
        <v>203.22119999999998</v>
      </c>
    </row>
    <row r="38" ht="31.05" customHeight="1">
      <c r="A38" s="85" t="n">
        <v>17</v>
      </c>
      <c r="B38" s="85" t="inlineStr">
        <is>
          <t>Ціна партнеру при нульовому нашому прибутку, грн/уп.</t>
        </is>
      </c>
      <c r="C38" s="145" t="n"/>
      <c r="D38" s="86" t="inlineStr">
        <is>
          <t>Крок 3 ÷ крок 6</t>
        </is>
      </c>
      <c r="E38" s="145" t="n"/>
      <c r="F38" s="147">
        <f>L11</f>
        <v>89.32800000000002</v>
      </c>
      <c r="G38" s="147">
        <f>L12</f>
        <v>89.32800000000002</v>
      </c>
      <c r="H38" s="147">
        <f>L13</f>
        <v>77.4176</v>
      </c>
      <c r="I38" s="147">
        <f>L14</f>
        <v>77.4176</v>
      </c>
      <c r="J38" s="147">
        <f>L15</f>
        <v>77.4176</v>
      </c>
      <c r="K38" s="147">
        <f>L16</f>
        <v>77.4176</v>
      </c>
    </row>
    <row r="39" ht="31.05" customHeight="1">
      <c r="A39" s="85" t="n">
        <v>18</v>
      </c>
      <c r="B39" s="85" t="inlineStr">
        <is>
          <t>Полиця при нульовому нашому прибутку, грн/уп.</t>
        </is>
      </c>
      <c r="C39" s="145" t="n"/>
      <c r="D39" s="86" t="inlineStr">
        <is>
          <t>Крок 17 × крок 15</t>
        </is>
      </c>
      <c r="E39" s="145" t="n"/>
      <c r="F39" s="147">
        <f>M11</f>
        <v>125.05920000000002</v>
      </c>
      <c r="G39" s="147">
        <f>M12</f>
        <v>125.05920000000002</v>
      </c>
      <c r="H39" s="147">
        <f>M13</f>
        <v>108.38463999999999</v>
      </c>
      <c r="I39" s="147">
        <f>M14</f>
        <v>108.38463999999999</v>
      </c>
      <c r="J39" s="147">
        <f>M15</f>
        <v>108.38463999999999</v>
      </c>
      <c r="K39" s="147">
        <f>M16</f>
        <v>108.38463999999999</v>
      </c>
    </row>
  </sheetData>
  <mergeCells count="73">
    <mergeCell ref="L2:M2"/>
    <mergeCell ref="U9:Y9"/>
    <mergeCell ref="Z9:AD9"/>
    <mergeCell ref="L7:M7"/>
    <mergeCell ref="B7:C7"/>
    <mergeCell ref="B25:C25"/>
    <mergeCell ref="B3:C3"/>
    <mergeCell ref="D34:E34"/>
    <mergeCell ref="B22:C22"/>
    <mergeCell ref="D22:E22"/>
    <mergeCell ref="B31:C31"/>
    <mergeCell ref="E7:K7"/>
    <mergeCell ref="D36:E36"/>
    <mergeCell ref="B27:C27"/>
    <mergeCell ref="D31:E31"/>
    <mergeCell ref="P9:T9"/>
    <mergeCell ref="D21:E21"/>
    <mergeCell ref="B39:C39"/>
    <mergeCell ref="L3:M3"/>
    <mergeCell ref="B21:C21"/>
    <mergeCell ref="B2:C2"/>
    <mergeCell ref="A9:D9"/>
    <mergeCell ref="G9:J9"/>
    <mergeCell ref="N3:O3"/>
    <mergeCell ref="D35:E35"/>
    <mergeCell ref="E3:K3"/>
    <mergeCell ref="D27:E27"/>
    <mergeCell ref="N2:O2"/>
    <mergeCell ref="B23:C23"/>
    <mergeCell ref="D32:E32"/>
    <mergeCell ref="L5:M5"/>
    <mergeCell ref="D26:E26"/>
    <mergeCell ref="N5:O5"/>
    <mergeCell ref="B8:C8"/>
    <mergeCell ref="E9:F9"/>
    <mergeCell ref="E5:K5"/>
    <mergeCell ref="B38:C38"/>
    <mergeCell ref="E8:K8"/>
    <mergeCell ref="B29:C29"/>
    <mergeCell ref="L4:M4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30:E30"/>
    <mergeCell ref="B33:C33"/>
    <mergeCell ref="D24:E24"/>
    <mergeCell ref="L6:M6"/>
    <mergeCell ref="D33:E33"/>
    <mergeCell ref="B5:C5"/>
    <mergeCell ref="D29:E29"/>
    <mergeCell ref="D23:E23"/>
    <mergeCell ref="D38:E38"/>
    <mergeCell ref="B36:C36"/>
    <mergeCell ref="E6:K6"/>
    <mergeCell ref="B32:C32"/>
    <mergeCell ref="B26:C26"/>
    <mergeCell ref="E2:K2"/>
    <mergeCell ref="B19:K19"/>
    <mergeCell ref="B35:C35"/>
    <mergeCell ref="B4:C4"/>
    <mergeCell ref="N4:O4"/>
  </mergeCells>
  <conditionalFormatting sqref="E33:K36">
    <cfRule type="expression" priority="2" dxfId="4">
      <formula>$D$2="Збірний 17 м³"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tabSelected="1" zoomScale="60" workbookViewId="0">
      <pane xSplit="4" ySplit="10" topLeftCell="J11" activePane="bottomRight" state="frozen"/>
      <selection activeCell="T11" sqref="T11"/>
      <selection pane="topRight" activeCell="T11" sqref="T11"/>
      <selection pane="bottomLeft" activeCell="T11" sqref="T11"/>
      <selection pane="bottomRight" activeCell="P4" sqref="P3:P4"/>
    </sheetView>
  </sheetViews>
  <sheetFormatPr baseColWidth="8" defaultColWidth="8.6640625" defaultRowHeight="14.4"/>
  <cols>
    <col width="4" customWidth="1" min="1" max="1"/>
    <col width="33" customWidth="1" min="2" max="2"/>
    <col width="49" customWidth="1" min="3" max="3"/>
    <col width="19" customWidth="1" min="4" max="4"/>
    <col width="14" customWidth="1" min="5" max="5"/>
    <col width="16" customWidth="1" min="6" max="6"/>
    <col width="19" customWidth="1" min="7" max="7"/>
    <col width="17" customWidth="1" min="8" max="8"/>
    <col width="28" customWidth="1" min="9" max="9"/>
    <col width="17" customWidth="1" min="10" max="10"/>
    <col width="19" customWidth="1" min="11" max="12"/>
    <col width="18" customWidth="1" min="13" max="13"/>
    <col width="31" customWidth="1" min="14" max="15"/>
    <col width="19" customWidth="1" min="16" max="35"/>
  </cols>
  <sheetData>
    <row r="1" ht="17.25" customHeight="1">
      <c r="A1" s="22" t="n"/>
      <c r="B1" s="75" t="inlineStr">
        <is>
          <t>Рамен. Ціна партнеру та полиця — 33 палет / Full Truck</t>
        </is>
      </c>
      <c r="C1" s="120" t="n"/>
      <c r="D1" s="120" t="n"/>
      <c r="E1" s="120" t="n"/>
      <c r="F1" s="120" t="n"/>
      <c r="G1" s="120" t="n"/>
      <c r="H1" s="120" t="n"/>
      <c r="I1" s="120" t="n"/>
      <c r="J1" s="120" t="n"/>
      <c r="K1" s="121" t="n"/>
    </row>
    <row r="2" ht="37.5" customHeight="1">
      <c r="B2" s="81" t="inlineStr">
        <is>
          <t>Сценарій поставки</t>
        </is>
      </c>
      <c r="C2" s="122" t="n"/>
      <c r="D2" s="23" t="inlineStr">
        <is>
          <t>33 палети</t>
        </is>
      </c>
      <c r="E2" s="82" t="inlineStr">
        <is>
          <t>Готова СС із Self-Cost_Sias: AJ30:AJ35. Склад СС збережено.</t>
        </is>
      </c>
      <c r="F2" s="123" t="n"/>
      <c r="G2" s="123" t="n"/>
      <c r="H2" s="123" t="n"/>
      <c r="I2" s="123" t="n"/>
      <c r="J2" s="123" t="n"/>
      <c r="K2" s="122" t="n"/>
      <c r="L2" s="7" t="n"/>
      <c r="M2" s="121" t="n"/>
      <c r="N2" s="7" t="n"/>
      <c r="O2" s="121" t="n"/>
    </row>
    <row r="3" ht="37.5" customHeight="1">
      <c r="B3" s="1" t="inlineStr">
        <is>
          <t>Курс, грн/EUR</t>
        </is>
      </c>
      <c r="C3" s="121" t="n"/>
      <c r="D3" s="18" t="n">
        <v>51.2</v>
      </c>
      <c r="E3" s="69" t="inlineStr">
        <is>
          <t>Курс 51,20 грн/EUR — із Self-Cost_Sias.</t>
        </is>
      </c>
      <c r="F3" s="120" t="n"/>
      <c r="G3" s="120" t="n"/>
      <c r="H3" s="120" t="n"/>
      <c r="I3" s="120" t="n"/>
      <c r="J3" s="120" t="n"/>
      <c r="K3" s="121" t="n"/>
      <c r="L3" s="7" t="n"/>
      <c r="M3" s="121" t="n"/>
      <c r="N3" s="7" t="n"/>
      <c r="O3" s="121" t="n"/>
    </row>
    <row r="4" ht="37.5" customHeight="1">
      <c r="B4" s="1" t="inlineStr">
        <is>
          <t>Бонуси мережі, %</t>
        </is>
      </c>
      <c r="C4" s="121" t="n"/>
      <c r="D4" s="19" t="n">
        <v>0.25</v>
      </c>
      <c r="E4" s="69" t="inlineStr">
        <is>
          <t>Бонус 25%; полиця = ціна партнера × 1,40.</t>
        </is>
      </c>
      <c r="F4" s="120" t="n"/>
      <c r="G4" s="120" t="n"/>
      <c r="H4" s="120" t="n"/>
      <c r="I4" s="120" t="n"/>
      <c r="J4" s="120" t="n"/>
      <c r="K4" s="121" t="n"/>
      <c r="L4" s="7" t="n"/>
      <c r="M4" s="121" t="n"/>
      <c r="N4" s="7" t="n"/>
      <c r="O4" s="121" t="n"/>
    </row>
    <row r="5" ht="61.5" customHeight="1">
      <c r="B5" s="1" t="inlineStr">
        <is>
          <t>Цільова маржа, %</t>
        </is>
      </c>
      <c r="C5" s="121" t="n"/>
      <c r="D5" s="19" t="n">
        <v>0.35</v>
      </c>
      <c r="E5" s="69" t="inlineStr">
        <is>
          <t>35% = (ціна партнеру − собівартість − бонус) / повна ціна партнеру.</t>
        </is>
      </c>
      <c r="F5" s="120" t="n"/>
      <c r="G5" s="120" t="n"/>
      <c r="H5" s="120" t="n"/>
      <c r="I5" s="120" t="n"/>
      <c r="J5" s="120" t="n"/>
      <c r="K5" s="121" t="n"/>
      <c r="L5" s="7" t="n"/>
      <c r="M5" s="121" t="n"/>
      <c r="N5" s="7" t="n"/>
      <c r="O5" s="121" t="n"/>
    </row>
    <row r="6" ht="27.75" customHeight="1">
      <c r="B6" s="1" t="inlineStr">
        <is>
          <t>Націнка мережі (x)</t>
        </is>
      </c>
      <c r="C6" s="121" t="n"/>
      <c r="D6" s="18" t="n">
        <v>1.4</v>
      </c>
      <c r="E6" s="69" t="inlineStr">
        <is>
          <t>Прибуток після бонусу = ціна партнеру − собівартість − бонус мережі.</t>
        </is>
      </c>
      <c r="F6" s="120" t="n"/>
      <c r="G6" s="120" t="n"/>
      <c r="H6" s="120" t="n"/>
      <c r="I6" s="120" t="n"/>
      <c r="J6" s="120" t="n"/>
      <c r="K6" s="121" t="n"/>
      <c r="L6" s="7" t="n"/>
      <c r="M6" s="121" t="n"/>
    </row>
    <row r="7" ht="27.75" customHeight="1">
      <c r="B7" s="1" t="inlineStr">
        <is>
          <t>Ціна партнера</t>
        </is>
      </c>
      <c r="C7" s="121" t="n"/>
      <c r="D7" s="20" t="inlineStr">
        <is>
          <t>вже з ПДВ</t>
        </is>
      </c>
      <c r="E7" s="69" t="inlineStr">
        <is>
          <t>ПДВ як у прикладі: СС збережено повністю; ціна вже з ПДВ. Множення на 1,20 немає.</t>
        </is>
      </c>
      <c r="F7" s="120" t="n"/>
      <c r="G7" s="120" t="n"/>
      <c r="H7" s="120" t="n"/>
      <c r="I7" s="120" t="n"/>
      <c r="J7" s="120" t="n"/>
      <c r="K7" s="121" t="n"/>
      <c r="L7" s="7" t="n"/>
      <c r="M7" s="121" t="n"/>
    </row>
    <row r="8" ht="30" customFormat="1" customHeight="1" s="21">
      <c r="B8" s="80" t="inlineStr">
        <is>
          <t>Частка ціни для собівартості</t>
        </is>
      </c>
      <c r="C8" s="124" t="n"/>
      <c r="D8" s="24">
        <f>IF(AND(COUNT(D3:D6)=4,D3&gt;0,D4&gt;=0,D5&gt;=0,D4+D5&lt;1,D6&gt;0),1-D4-D5,NA())</f>
        <v>0.4</v>
      </c>
      <c r="E8" s="125" t="inlineStr">
        <is>
          <t>100% − бонус − маржа. За поточних умов: 100% − 25% − 35% = 40%.</t>
        </is>
      </c>
      <c r="F8" s="120" t="n"/>
      <c r="G8" s="120" t="n"/>
      <c r="H8" s="120" t="n"/>
      <c r="I8" s="120" t="n"/>
      <c r="J8" s="120" t="n"/>
      <c r="K8" s="121" t="n"/>
    </row>
    <row r="9" ht="27" customHeight="1">
      <c r="A9" s="71" t="inlineStr">
        <is>
          <t>ТОВАР</t>
        </is>
      </c>
      <c r="B9" s="120" t="n"/>
      <c r="C9" s="120" t="n"/>
      <c r="D9" s="121" t="n"/>
      <c r="E9" s="72" t="inlineStr">
        <is>
          <t>СОБІВАРТІСТЬ</t>
        </is>
      </c>
      <c r="F9" s="121" t="n"/>
      <c r="G9" s="73" t="inlineStr">
        <is>
          <t>ЦІНА ПАРТНЕРУ ТА ПРИБУТОК</t>
        </is>
      </c>
      <c r="H9" s="120" t="n"/>
      <c r="I9" s="120" t="n"/>
      <c r="J9" s="121" t="n"/>
      <c r="K9" s="6" t="inlineStr">
        <is>
          <t>ПОЛИЦЯ</t>
        </is>
      </c>
      <c r="L9" s="74" t="inlineStr">
        <is>
          <t>МОДЕЛЬ: НУЛЬОВА МАРЖА</t>
        </is>
      </c>
      <c r="M9" s="121" t="n"/>
      <c r="N9" s="70" t="inlineStr">
        <is>
          <t>ПРИБУТОК З ОДНІЄЇ УПАКОВКИ</t>
        </is>
      </c>
      <c r="O9" s="121" t="n"/>
      <c r="P9" s="126" t="n">
        <v>0.3</v>
      </c>
      <c r="Q9" s="127" t="n"/>
      <c r="R9" s="127" t="n"/>
      <c r="S9" s="127" t="n"/>
      <c r="T9" s="128" t="n"/>
      <c r="U9" s="129" t="n">
        <v>0.25</v>
      </c>
      <c r="V9" s="127" t="n"/>
      <c r="W9" s="127" t="n"/>
      <c r="X9" s="127" t="n"/>
      <c r="Y9" s="128" t="n"/>
      <c r="Z9" s="126" t="n">
        <v>0.2</v>
      </c>
      <c r="AA9" s="127" t="n"/>
      <c r="AB9" s="127" t="n"/>
      <c r="AC9" s="127" t="n"/>
      <c r="AD9" s="128" t="n"/>
      <c r="AE9" s="129" t="n">
        <v>0.15</v>
      </c>
      <c r="AF9" s="127" t="n"/>
      <c r="AG9" s="127" t="n"/>
      <c r="AH9" s="127" t="n"/>
      <c r="AI9" s="128" t="n"/>
    </row>
    <row r="10" ht="41.4" customHeight="1">
      <c r="A10" s="7" t="inlineStr">
        <is>
          <t>№</t>
        </is>
      </c>
      <c r="B10" s="7" t="inlineStr">
        <is>
          <t>Група</t>
        </is>
      </c>
      <c r="C10" s="7" t="inlineStr">
        <is>
          <t>Позиція</t>
        </is>
      </c>
      <c r="D10" s="7" t="inlineStr">
        <is>
          <t>Вага, г</t>
        </is>
      </c>
      <c r="E10" s="72" t="inlineStr">
        <is>
          <t>СС, EUR/уп.</t>
        </is>
      </c>
      <c r="F10" s="72" t="inlineStr">
        <is>
          <t>1. СС, грн/уп.</t>
        </is>
      </c>
      <c r="G10" s="73" t="inlineStr">
        <is>
          <t>2. Ціна партнеру з ПДВ</t>
        </is>
      </c>
      <c r="H10" s="73" t="inlineStr">
        <is>
          <t>3. Бонус мережі, грн</t>
        </is>
      </c>
      <c r="I10" s="73" t="inlineStr">
        <is>
          <t>4. Прибуток після бонусу, грн</t>
        </is>
      </c>
      <c r="J10" s="73" t="inlineStr">
        <is>
          <t>5. Маржа за прикладом</t>
        </is>
      </c>
      <c r="K10" s="6" t="inlineStr">
        <is>
          <t>6. Полиця з ПДВ, грн</t>
        </is>
      </c>
      <c r="L10" s="74" t="inlineStr">
        <is>
          <t>Мін. ціна партнеру</t>
        </is>
      </c>
      <c r="M10" s="74" t="inlineStr">
        <is>
          <t>Мін. полиця</t>
        </is>
      </c>
      <c r="N10" s="70" t="inlineStr">
        <is>
          <t>Валовий прибуток за прикладом, до бонусу, грн/уп.</t>
        </is>
      </c>
      <c r="O10" s="70" t="inlineStr">
        <is>
          <t>Прибуток після бонусу за прикладом, грн/уп.</t>
        </is>
      </c>
      <c r="P10" s="88" t="inlineStr">
        <is>
          <t>Ціна партнеру з ПДВ, грн</t>
        </is>
      </c>
      <c r="Q10" s="88" t="inlineStr">
        <is>
          <t>Бонус мережі, грн</t>
        </is>
      </c>
      <c r="R10" s="88" t="inlineStr">
        <is>
          <t>Прибуток після бонусу, грн</t>
        </is>
      </c>
      <c r="S10" s="88" t="inlineStr">
        <is>
          <t>Перевірка маржі</t>
        </is>
      </c>
      <c r="T10" s="88" t="inlineStr">
        <is>
          <t>Полиця з ПДВ, грн</t>
        </is>
      </c>
      <c r="U10" s="94" t="inlineStr">
        <is>
          <t>Ціна партнеру з ПДВ, грн</t>
        </is>
      </c>
      <c r="V10" s="94" t="inlineStr">
        <is>
          <t>Бонус мережі, грн</t>
        </is>
      </c>
      <c r="W10" s="94" t="inlineStr">
        <is>
          <t>Прибуток після бонусу, грн</t>
        </is>
      </c>
      <c r="X10" s="94" t="inlineStr">
        <is>
          <t>Перевірка маржі</t>
        </is>
      </c>
      <c r="Y10" s="94" t="inlineStr">
        <is>
          <t>Полиця з ПДВ, грн</t>
        </is>
      </c>
      <c r="Z10" s="88" t="inlineStr">
        <is>
          <t>Ціна партнеру з ПДВ, грн</t>
        </is>
      </c>
      <c r="AA10" s="88" t="inlineStr">
        <is>
          <t>Бонус мережі, грн</t>
        </is>
      </c>
      <c r="AB10" s="88" t="inlineStr">
        <is>
          <t>Прибуток після бонусу, грн</t>
        </is>
      </c>
      <c r="AC10" s="88" t="inlineStr">
        <is>
          <t>Перевірка маржі</t>
        </is>
      </c>
      <c r="AD10" s="88" t="inlineStr">
        <is>
          <t>Полиця з ПДВ, грн</t>
        </is>
      </c>
      <c r="AE10" s="94" t="inlineStr">
        <is>
          <t>Ціна партнеру з ПДВ, грн</t>
        </is>
      </c>
      <c r="AF10" s="94" t="inlineStr">
        <is>
          <t>Бонус мережі, грн</t>
        </is>
      </c>
      <c r="AG10" s="94" t="inlineStr">
        <is>
          <t>Прибуток після бонусу, грн</t>
        </is>
      </c>
      <c r="AH10" s="94" t="inlineStr">
        <is>
          <t>Перевірка маржі</t>
        </is>
      </c>
      <c r="AI10" s="94" t="inlineStr">
        <is>
          <t>Полиця з ПДВ, грн</t>
        </is>
      </c>
    </row>
    <row r="11" ht="43.5" customHeight="1">
      <c r="A11" s="8" t="n">
        <v>1</v>
      </c>
      <c r="B11" s="8" t="inlineStr">
        <is>
          <t>SIAS — рамен у пакеті</t>
        </is>
      </c>
      <c r="C11" s="8" t="inlineStr">
        <is>
          <t>Gouda Cheese 123 г</t>
        </is>
      </c>
      <c r="D11" s="8" t="n">
        <v>123</v>
      </c>
      <c r="E11" s="130" t="n">
        <v>1.018131154266958</v>
      </c>
      <c r="F11" s="131">
        <f>IF(AND(ISNUMBER(E11),ISNUMBER($D$8)),E11*$D$3,NA())</f>
        <v>52.12831509846825</v>
      </c>
      <c r="G11" s="132">
        <f>F11/$D$8</f>
        <v>130.32078774617062</v>
      </c>
      <c r="H11" s="133">
        <f>G11*$D$4</f>
        <v>32.580196936542656</v>
      </c>
      <c r="I11" s="134">
        <f>G11-F11-H11</f>
        <v>45.61227571115972</v>
      </c>
      <c r="J11" s="13">
        <f>I11/G11</f>
        <v>0.35</v>
      </c>
      <c r="K11" s="135">
        <f>G11*$D$6</f>
        <v>182.44910284463887</v>
      </c>
      <c r="L11" s="136">
        <f>F11/(1-$D$4)</f>
        <v>69.504420131291</v>
      </c>
      <c r="M11" s="136">
        <f>L11*$D$6</f>
        <v>97.3061881838074</v>
      </c>
      <c r="N11" s="137">
        <f>G11-F11</f>
        <v>78.19247264770237</v>
      </c>
      <c r="O11" s="138">
        <f>N11-H11</f>
        <v>45.61227571115972</v>
      </c>
      <c r="P11" s="139">
        <f>$F11/(1-$D$4-$P$9)</f>
        <v>115.84070021881833</v>
      </c>
      <c r="Q11" s="140">
        <f>P11*$D$4</f>
        <v>28.96017505470458</v>
      </c>
      <c r="R11" s="141">
        <f>P11-$F11-Q11</f>
        <v>34.7522100656455</v>
      </c>
      <c r="S11" s="44">
        <f>R11/P11</f>
        <v>0.3</v>
      </c>
      <c r="T11" s="139">
        <f>P11*$D$6</f>
        <v>162.17698030634565</v>
      </c>
      <c r="U11" s="139">
        <f>$F11/(1-$D$4-$U$9)</f>
        <v>104.2566301969365</v>
      </c>
      <c r="V11" s="140">
        <f>U11*$D$4</f>
        <v>26.064157549234125</v>
      </c>
      <c r="W11" s="141">
        <f>U11-$F11-V11</f>
        <v>26.064157549234125</v>
      </c>
      <c r="X11" s="44">
        <f>W11/U11</f>
        <v>0.25</v>
      </c>
      <c r="Y11" s="139">
        <f>U11*$D$6</f>
        <v>145.95928227571108</v>
      </c>
      <c r="Z11" s="139">
        <f>$F11/(1-$D$4-$Z$9)</f>
        <v>94.77875472448771</v>
      </c>
      <c r="AA11" s="140">
        <f>Z11*$D$4</f>
        <v>23.694688681121928</v>
      </c>
      <c r="AB11" s="141">
        <f>Z11-$F11-AA11</f>
        <v>18.955750944897535</v>
      </c>
      <c r="AC11" s="44">
        <f>AB11/Z11</f>
        <v>0.19999999999999993</v>
      </c>
      <c r="AD11" s="139">
        <f>Z11*$D$6</f>
        <v>132.6902566142828</v>
      </c>
      <c r="AE11" s="139">
        <f>$F11/(1-$D$4-$AE$9)</f>
        <v>86.88052516411375</v>
      </c>
      <c r="AF11" s="140">
        <f>AE11*$D$4</f>
        <v>21.720131291028437</v>
      </c>
      <c r="AG11" s="141">
        <f>AE11-$F11-AF11</f>
        <v>13.032078774617062</v>
      </c>
      <c r="AH11" s="44">
        <f>AG11/AE11</f>
        <v>0.15</v>
      </c>
      <c r="AI11" s="139">
        <f>AE11*$D$6</f>
        <v>121.63273522975923</v>
      </c>
    </row>
    <row r="12" ht="43.5" customHeight="1">
      <c r="A12" s="8" t="n">
        <v>2</v>
      </c>
      <c r="B12" s="8" t="inlineStr">
        <is>
          <t>SIAS — рамен у пакеті</t>
        </is>
      </c>
      <c r="C12" s="8" t="inlineStr">
        <is>
          <t>Carbonara Spicy 131 г</t>
        </is>
      </c>
      <c r="D12" s="8" t="n">
        <v>131</v>
      </c>
      <c r="E12" s="130" t="n">
        <v>1.018131154266958</v>
      </c>
      <c r="F12" s="131">
        <f>IF(AND(ISNUMBER(E12),ISNUMBER($D$8)),E12*$D$3,NA())</f>
        <v>52.12831509846825</v>
      </c>
      <c r="G12" s="132">
        <f>F12/$D$8</f>
        <v>130.32078774617062</v>
      </c>
      <c r="H12" s="133">
        <f>G12*$D$4</f>
        <v>32.580196936542656</v>
      </c>
      <c r="I12" s="134">
        <f>G12-F12-H12</f>
        <v>45.61227571115972</v>
      </c>
      <c r="J12" s="13">
        <f>I12/G12</f>
        <v>0.35</v>
      </c>
      <c r="K12" s="135">
        <f>G12*$D$6</f>
        <v>182.44910284463887</v>
      </c>
      <c r="L12" s="136">
        <f>F12/(1-$D$4)</f>
        <v>69.504420131291</v>
      </c>
      <c r="M12" s="136">
        <f>L12*$D$6</f>
        <v>97.3061881838074</v>
      </c>
      <c r="N12" s="137">
        <f>G12-F12</f>
        <v>78.19247264770237</v>
      </c>
      <c r="O12" s="138">
        <f>N12-H12</f>
        <v>45.61227571115972</v>
      </c>
      <c r="P12" s="139">
        <f>$F12/(1-$D$4-$P$9)</f>
        <v>115.84070021881833</v>
      </c>
      <c r="Q12" s="140">
        <f>P12*$D$4</f>
        <v>28.96017505470458</v>
      </c>
      <c r="R12" s="141">
        <f>P12-$F12-Q12</f>
        <v>34.7522100656455</v>
      </c>
      <c r="S12" s="44">
        <f>R12/P12</f>
        <v>0.3</v>
      </c>
      <c r="T12" s="139">
        <f>P12*$D$6</f>
        <v>162.17698030634565</v>
      </c>
      <c r="U12" s="139">
        <f>$F12/(1-$D$4-$U$9)</f>
        <v>104.2566301969365</v>
      </c>
      <c r="V12" s="140">
        <f>U12*$D$4</f>
        <v>26.064157549234125</v>
      </c>
      <c r="W12" s="141">
        <f>U12-$F12-V12</f>
        <v>26.064157549234125</v>
      </c>
      <c r="X12" s="44">
        <f>W12/U12</f>
        <v>0.25</v>
      </c>
      <c r="Y12" s="139">
        <f>U12*$D$6</f>
        <v>145.95928227571108</v>
      </c>
      <c r="Z12" s="139">
        <f>$F12/(1-$D$4-$Z$9)</f>
        <v>94.77875472448771</v>
      </c>
      <c r="AA12" s="140">
        <f>Z12*$D$4</f>
        <v>23.694688681121928</v>
      </c>
      <c r="AB12" s="141">
        <f>Z12-$F12-AA12</f>
        <v>18.955750944897535</v>
      </c>
      <c r="AC12" s="44">
        <f>AB12/Z12</f>
        <v>0.19999999999999993</v>
      </c>
      <c r="AD12" s="139">
        <f>Z12*$D$6</f>
        <v>132.6902566142828</v>
      </c>
      <c r="AE12" s="139">
        <f>$F12/(1-$D$4-$AE$9)</f>
        <v>86.88052516411375</v>
      </c>
      <c r="AF12" s="140">
        <f>AE12*$D$4</f>
        <v>21.720131291028437</v>
      </c>
      <c r="AG12" s="141">
        <f>AE12-$F12-AF12</f>
        <v>13.032078774617062</v>
      </c>
      <c r="AH12" s="44">
        <f>AG12/AE12</f>
        <v>0.15</v>
      </c>
      <c r="AI12" s="139">
        <f>AE12*$D$6</f>
        <v>121.63273522975923</v>
      </c>
    </row>
    <row r="13" ht="43.5" customHeight="1">
      <c r="A13" s="8" t="n">
        <v>3</v>
      </c>
      <c r="B13" s="8" t="inlineStr">
        <is>
          <t>SIAS — рамен у пакеті</t>
        </is>
      </c>
      <c r="C13" s="8" t="inlineStr">
        <is>
          <t>Vegetable Flavor 113 г</t>
        </is>
      </c>
      <c r="D13" s="8" t="n">
        <v>113</v>
      </c>
      <c r="E13" s="130" t="n">
        <v>0.8823803336980306</v>
      </c>
      <c r="F13" s="131">
        <f>IF(AND(ISNUMBER(E13),ISNUMBER($D$8)),E13*$D$3,NA())</f>
        <v>45.17787308533919</v>
      </c>
      <c r="G13" s="132">
        <f>F13/$D$8</f>
        <v>112.94468271334797</v>
      </c>
      <c r="H13" s="133">
        <f>G13*$D$4</f>
        <v>28.236170678336993</v>
      </c>
      <c r="I13" s="134">
        <f>G13-F13-H13</f>
        <v>39.5306389496718</v>
      </c>
      <c r="J13" s="13">
        <f>I13/G13</f>
        <v>0.35000000000000003</v>
      </c>
      <c r="K13" s="135">
        <f>G13*$D$6</f>
        <v>158.12255579868716</v>
      </c>
      <c r="L13" s="136">
        <f>F13/(1-$D$4)</f>
        <v>60.23716411378559</v>
      </c>
      <c r="M13" s="136">
        <f>L13*$D$6</f>
        <v>84.33202975929981</v>
      </c>
      <c r="N13" s="137">
        <f>G13-F13</f>
        <v>67.76680962800879</v>
      </c>
      <c r="O13" s="138">
        <f>N13-H13</f>
        <v>39.5306389496718</v>
      </c>
      <c r="P13" s="139">
        <f>$F13/(1-$D$4-$P$9)</f>
        <v>100.39527352297598</v>
      </c>
      <c r="Q13" s="140">
        <f>P13*$D$4</f>
        <v>25.098818380743996</v>
      </c>
      <c r="R13" s="141">
        <f>P13-$F13-Q13</f>
        <v>30.118582056892794</v>
      </c>
      <c r="S13" s="44">
        <f>R13/P13</f>
        <v>0.3</v>
      </c>
      <c r="T13" s="139">
        <f>P13*$D$6</f>
        <v>140.55338293216636</v>
      </c>
      <c r="U13" s="139">
        <f>$F13/(1-$D$4-$U$9)</f>
        <v>90.35574617067839</v>
      </c>
      <c r="V13" s="140">
        <f>U13*$D$4</f>
        <v>22.588936542669597</v>
      </c>
      <c r="W13" s="141">
        <f>U13-$F13-V13</f>
        <v>22.588936542669597</v>
      </c>
      <c r="X13" s="44">
        <f>W13/U13</f>
        <v>0.25</v>
      </c>
      <c r="Y13" s="139">
        <f>U13*$D$6</f>
        <v>126.49804463894974</v>
      </c>
      <c r="Z13" s="139">
        <f>$F13/(1-$D$4-$Z$9)</f>
        <v>82.14158742788943</v>
      </c>
      <c r="AA13" s="140">
        <f>Z13*$D$4</f>
        <v>20.53539685697236</v>
      </c>
      <c r="AB13" s="141">
        <f>Z13-$F13-AA13</f>
        <v>16.42831748557788</v>
      </c>
      <c r="AC13" s="44">
        <f>AB13/Z13</f>
        <v>0.19999999999999993</v>
      </c>
      <c r="AD13" s="139">
        <f>Z13*$D$6</f>
        <v>114.9982223990452</v>
      </c>
      <c r="AE13" s="139">
        <f>$F13/(1-$D$4-$AE$9)</f>
        <v>75.29645514223199</v>
      </c>
      <c r="AF13" s="140">
        <f>AE13*$D$4</f>
        <v>18.824113785557998</v>
      </c>
      <c r="AG13" s="141">
        <f>AE13-$F13-AF13</f>
        <v>11.2944682713348</v>
      </c>
      <c r="AH13" s="44">
        <f>AG13/AE13</f>
        <v>0.15000000000000002</v>
      </c>
      <c r="AI13" s="139">
        <f>AE13*$D$6</f>
        <v>105.41503719912478</v>
      </c>
    </row>
    <row r="14" ht="43.5" customHeight="1">
      <c r="A14" s="8" t="n">
        <v>4</v>
      </c>
      <c r="B14" s="8" t="inlineStr">
        <is>
          <t>SIAS — рамен у пакеті</t>
        </is>
      </c>
      <c r="C14" s="8" t="inlineStr">
        <is>
          <t>Spicy Flavor 112.5 г</t>
        </is>
      </c>
      <c r="D14" s="142" t="n">
        <v>112.5</v>
      </c>
      <c r="E14" s="130" t="n">
        <v>0.8823803336980306</v>
      </c>
      <c r="F14" s="131">
        <f>IF(AND(ISNUMBER(E14),ISNUMBER($D$8)),E14*$D$3,NA())</f>
        <v>45.17787308533919</v>
      </c>
      <c r="G14" s="132">
        <f>F14/$D$8</f>
        <v>112.94468271334797</v>
      </c>
      <c r="H14" s="133">
        <f>G14*$D$4</f>
        <v>28.236170678336993</v>
      </c>
      <c r="I14" s="134">
        <f>G14-F14-H14</f>
        <v>39.5306389496718</v>
      </c>
      <c r="J14" s="13">
        <f>I14/G14</f>
        <v>0.35000000000000003</v>
      </c>
      <c r="K14" s="135">
        <f>G14*$D$6</f>
        <v>158.12255579868716</v>
      </c>
      <c r="L14" s="136">
        <f>F14/(1-$D$4)</f>
        <v>60.23716411378559</v>
      </c>
      <c r="M14" s="136">
        <f>L14*$D$6</f>
        <v>84.33202975929981</v>
      </c>
      <c r="N14" s="137">
        <f>G14-F14</f>
        <v>67.76680962800879</v>
      </c>
      <c r="O14" s="138">
        <f>N14-H14</f>
        <v>39.5306389496718</v>
      </c>
      <c r="P14" s="139">
        <f>$F14/(1-$D$4-$P$9)</f>
        <v>100.39527352297598</v>
      </c>
      <c r="Q14" s="140">
        <f>P14*$D$4</f>
        <v>25.098818380743996</v>
      </c>
      <c r="R14" s="141">
        <f>P14-$F14-Q14</f>
        <v>30.118582056892794</v>
      </c>
      <c r="S14" s="44">
        <f>R14/P14</f>
        <v>0.3</v>
      </c>
      <c r="T14" s="139">
        <f>P14*$D$6</f>
        <v>140.55338293216636</v>
      </c>
      <c r="U14" s="139">
        <f>$F14/(1-$D$4-$U$9)</f>
        <v>90.35574617067839</v>
      </c>
      <c r="V14" s="140">
        <f>U14*$D$4</f>
        <v>22.588936542669597</v>
      </c>
      <c r="W14" s="141">
        <f>U14-$F14-V14</f>
        <v>22.588936542669597</v>
      </c>
      <c r="X14" s="44">
        <f>W14/U14</f>
        <v>0.25</v>
      </c>
      <c r="Y14" s="139">
        <f>U14*$D$6</f>
        <v>126.49804463894974</v>
      </c>
      <c r="Z14" s="139">
        <f>$F14/(1-$D$4-$Z$9)</f>
        <v>82.14158742788943</v>
      </c>
      <c r="AA14" s="140">
        <f>Z14*$D$4</f>
        <v>20.53539685697236</v>
      </c>
      <c r="AB14" s="141">
        <f>Z14-$F14-AA14</f>
        <v>16.42831748557788</v>
      </c>
      <c r="AC14" s="44">
        <f>AB14/Z14</f>
        <v>0.19999999999999993</v>
      </c>
      <c r="AD14" s="139">
        <f>Z14*$D$6</f>
        <v>114.9982223990452</v>
      </c>
      <c r="AE14" s="139">
        <f>$F14/(1-$D$4-$AE$9)</f>
        <v>75.29645514223199</v>
      </c>
      <c r="AF14" s="140">
        <f>AE14*$D$4</f>
        <v>18.824113785557998</v>
      </c>
      <c r="AG14" s="141">
        <f>AE14-$F14-AF14</f>
        <v>11.2944682713348</v>
      </c>
      <c r="AH14" s="44">
        <f>AG14/AE14</f>
        <v>0.15000000000000002</v>
      </c>
      <c r="AI14" s="139">
        <f>AE14*$D$6</f>
        <v>105.41503719912478</v>
      </c>
    </row>
    <row r="15" ht="43.5" customHeight="1">
      <c r="A15" s="8" t="n">
        <v>5</v>
      </c>
      <c r="B15" s="8" t="inlineStr">
        <is>
          <t>SIAS — рамен у пакеті</t>
        </is>
      </c>
      <c r="C15" s="8" t="inlineStr">
        <is>
          <t>Beef Flavor 113 г</t>
        </is>
      </c>
      <c r="D15" s="8" t="n">
        <v>113</v>
      </c>
      <c r="E15" s="130" t="n">
        <v>0.8823803336980306</v>
      </c>
      <c r="F15" s="131">
        <f>IF(AND(ISNUMBER(E15),ISNUMBER($D$8)),E15*$D$3,NA())</f>
        <v>45.17787308533919</v>
      </c>
      <c r="G15" s="132">
        <f>F15/$D$8</f>
        <v>112.94468271334797</v>
      </c>
      <c r="H15" s="133">
        <f>G15*$D$4</f>
        <v>28.236170678336993</v>
      </c>
      <c r="I15" s="134">
        <f>G15-F15-H15</f>
        <v>39.5306389496718</v>
      </c>
      <c r="J15" s="13">
        <f>I15/G15</f>
        <v>0.35000000000000003</v>
      </c>
      <c r="K15" s="135">
        <f>G15*$D$6</f>
        <v>158.12255579868716</v>
      </c>
      <c r="L15" s="136">
        <f>F15/(1-$D$4)</f>
        <v>60.23716411378559</v>
      </c>
      <c r="M15" s="136">
        <f>L15*$D$6</f>
        <v>84.33202975929981</v>
      </c>
      <c r="N15" s="137">
        <f>G15-F15</f>
        <v>67.76680962800879</v>
      </c>
      <c r="O15" s="138">
        <f>N15-H15</f>
        <v>39.5306389496718</v>
      </c>
      <c r="P15" s="139">
        <f>$F15/(1-$D$4-$P$9)</f>
        <v>100.39527352297598</v>
      </c>
      <c r="Q15" s="140">
        <f>P15*$D$4</f>
        <v>25.098818380743996</v>
      </c>
      <c r="R15" s="141">
        <f>P15-$F15-Q15</f>
        <v>30.118582056892794</v>
      </c>
      <c r="S15" s="44">
        <f>R15/P15</f>
        <v>0.3</v>
      </c>
      <c r="T15" s="139">
        <f>P15*$D$6</f>
        <v>140.55338293216636</v>
      </c>
      <c r="U15" s="139">
        <f>$F15/(1-$D$4-$U$9)</f>
        <v>90.35574617067839</v>
      </c>
      <c r="V15" s="140">
        <f>U15*$D$4</f>
        <v>22.588936542669597</v>
      </c>
      <c r="W15" s="141">
        <f>U15-$F15-V15</f>
        <v>22.588936542669597</v>
      </c>
      <c r="X15" s="44">
        <f>W15/U15</f>
        <v>0.25</v>
      </c>
      <c r="Y15" s="139">
        <f>U15*$D$6</f>
        <v>126.49804463894974</v>
      </c>
      <c r="Z15" s="139">
        <f>$F15/(1-$D$4-$Z$9)</f>
        <v>82.14158742788943</v>
      </c>
      <c r="AA15" s="140">
        <f>Z15*$D$4</f>
        <v>20.53539685697236</v>
      </c>
      <c r="AB15" s="141">
        <f>Z15-$F15-AA15</f>
        <v>16.42831748557788</v>
      </c>
      <c r="AC15" s="44">
        <f>AB15/Z15</f>
        <v>0.19999999999999993</v>
      </c>
      <c r="AD15" s="139">
        <f>Z15*$D$6</f>
        <v>114.9982223990452</v>
      </c>
      <c r="AE15" s="139">
        <f>$F15/(1-$D$4-$AE$9)</f>
        <v>75.29645514223199</v>
      </c>
      <c r="AF15" s="140">
        <f>AE15*$D$4</f>
        <v>18.824113785557998</v>
      </c>
      <c r="AG15" s="141">
        <f>AE15-$F15-AF15</f>
        <v>11.2944682713348</v>
      </c>
      <c r="AH15" s="44">
        <f>AG15/AE15</f>
        <v>0.15000000000000002</v>
      </c>
      <c r="AI15" s="139">
        <f>AE15*$D$6</f>
        <v>105.41503719912478</v>
      </c>
    </row>
    <row r="16" ht="43.5" customHeight="1">
      <c r="A16" s="8" t="n">
        <v>6</v>
      </c>
      <c r="B16" s="8" t="inlineStr">
        <is>
          <t>SIAS — рамен у пакеті</t>
        </is>
      </c>
      <c r="C16" s="8" t="inlineStr">
        <is>
          <t>Chicken Flavor 113 г</t>
        </is>
      </c>
      <c r="D16" s="8" t="n">
        <v>113</v>
      </c>
      <c r="E16" s="130" t="n">
        <v>0.8823803336980306</v>
      </c>
      <c r="F16" s="131">
        <f>IF(AND(ISNUMBER(E16),ISNUMBER($D$8)),E16*$D$3,NA())</f>
        <v>45.17787308533919</v>
      </c>
      <c r="G16" s="132">
        <f>F16/$D$8</f>
        <v>112.94468271334797</v>
      </c>
      <c r="H16" s="133">
        <f>G16*$D$4</f>
        <v>28.236170678336993</v>
      </c>
      <c r="I16" s="134">
        <f>G16-F16-H16</f>
        <v>39.5306389496718</v>
      </c>
      <c r="J16" s="13">
        <f>I16/G16</f>
        <v>0.35000000000000003</v>
      </c>
      <c r="K16" s="135">
        <f>G16*$D$6</f>
        <v>158.12255579868716</v>
      </c>
      <c r="L16" s="136">
        <f>F16/(1-$D$4)</f>
        <v>60.23716411378559</v>
      </c>
      <c r="M16" s="136">
        <f>L16*$D$6</f>
        <v>84.33202975929981</v>
      </c>
      <c r="N16" s="137">
        <f>G16-F16</f>
        <v>67.76680962800879</v>
      </c>
      <c r="O16" s="138">
        <f>N16-H16</f>
        <v>39.5306389496718</v>
      </c>
      <c r="P16" s="139">
        <f>$F16/(1-$D$4-$P$9)</f>
        <v>100.39527352297598</v>
      </c>
      <c r="Q16" s="140">
        <f>P16*$D$4</f>
        <v>25.098818380743996</v>
      </c>
      <c r="R16" s="141">
        <f>P16-$F16-Q16</f>
        <v>30.118582056892794</v>
      </c>
      <c r="S16" s="44">
        <f>R16/P16</f>
        <v>0.3</v>
      </c>
      <c r="T16" s="139">
        <f>P16*$D$6</f>
        <v>140.55338293216636</v>
      </c>
      <c r="U16" s="139">
        <f>$F16/(1-$D$4-$U$9)</f>
        <v>90.35574617067839</v>
      </c>
      <c r="V16" s="140">
        <f>U16*$D$4</f>
        <v>22.588936542669597</v>
      </c>
      <c r="W16" s="141">
        <f>U16-$F16-V16</f>
        <v>22.588936542669597</v>
      </c>
      <c r="X16" s="44">
        <f>W16/U16</f>
        <v>0.25</v>
      </c>
      <c r="Y16" s="139">
        <f>U16*$D$6</f>
        <v>126.49804463894974</v>
      </c>
      <c r="Z16" s="139">
        <f>$F16/(1-$D$4-$Z$9)</f>
        <v>82.14158742788943</v>
      </c>
      <c r="AA16" s="140">
        <f>Z16*$D$4</f>
        <v>20.53539685697236</v>
      </c>
      <c r="AB16" s="141">
        <f>Z16-$F16-AA16</f>
        <v>16.42831748557788</v>
      </c>
      <c r="AC16" s="44">
        <f>AB16/Z16</f>
        <v>0.19999999999999993</v>
      </c>
      <c r="AD16" s="139">
        <f>Z16*$D$6</f>
        <v>114.9982223990452</v>
      </c>
      <c r="AE16" s="139">
        <f>$F16/(1-$D$4-$AE$9)</f>
        <v>75.29645514223199</v>
      </c>
      <c r="AF16" s="140">
        <f>AE16*$D$4</f>
        <v>18.824113785557998</v>
      </c>
      <c r="AG16" s="141">
        <f>AE16-$F16-AF16</f>
        <v>11.2944682713348</v>
      </c>
      <c r="AH16" s="44">
        <f>AG16/AE16</f>
        <v>0.15000000000000002</v>
      </c>
      <c r="AI16" s="139">
        <f>AE16*$D$6</f>
        <v>105.41503719912478</v>
      </c>
    </row>
    <row r="19" ht="28.05" customHeight="1">
      <c r="A19" s="27" t="n"/>
      <c r="B19" s="143" t="inlineStr">
        <is>
          <t>Кожен крок формування ціни — за вашим прикладом</t>
        </is>
      </c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 ht="43.95" customHeight="1">
      <c r="A21" s="84" t="inlineStr">
        <is>
          <t>№</t>
        </is>
      </c>
      <c r="B21" s="144" t="inlineStr">
        <is>
          <t>Що рахуємо</t>
        </is>
      </c>
      <c r="D21" s="144" t="inlineStr">
        <is>
          <t>Дія</t>
        </is>
      </c>
      <c r="F21" s="84" t="str">
        <f>C11</f>
        <v>Gouda Cheese 123 г</v>
      </c>
      <c r="G21" s="84" t="str">
        <f>C12</f>
        <v>Carbonara Spicy 131 г</v>
      </c>
      <c r="H21" s="84" t="str">
        <f>C13</f>
        <v>Vegetable Flavor 113 г</v>
      </c>
      <c r="I21" s="84" t="str">
        <f>C14</f>
        <v>Spicy Flavor 112.5 г</v>
      </c>
      <c r="J21" s="84" t="str">
        <f>C15</f>
        <v>Beef Flavor 113 г</v>
      </c>
      <c r="K21" s="84" t="str">
        <f>C16</f>
        <v>Chicken Flavor 113 г</v>
      </c>
    </row>
    <row r="22" ht="31.05" customHeight="1">
      <c r="A22" s="85" t="n">
        <v>1</v>
      </c>
      <c r="B22" s="85" t="inlineStr">
        <is>
          <t>Собівартість в Україні, EUR/уп.</t>
        </is>
      </c>
      <c r="C22" s="145" t="n"/>
      <c r="D22" s="86" t="inlineStr">
        <is>
          <t>Із Self-Cost</t>
        </is>
      </c>
      <c r="E22" s="145" t="n"/>
      <c r="F22" s="146">
        <f>E11</f>
        <v>1.018131154266958</v>
      </c>
      <c r="G22" s="146">
        <f>E12</f>
        <v>1.018131154266958</v>
      </c>
      <c r="H22" s="146">
        <f>E13</f>
        <v>0.882380333698031</v>
      </c>
      <c r="I22" s="146">
        <f>E14</f>
        <v>0.882380333698031</v>
      </c>
      <c r="J22" s="146">
        <f>E15</f>
        <v>0.882380333698031</v>
      </c>
      <c r="K22" s="146">
        <f>E16</f>
        <v>0.882380333698031</v>
      </c>
    </row>
    <row r="23" ht="31.05" customHeight="1">
      <c r="A23" s="85" t="n">
        <v>2</v>
      </c>
      <c r="B23" s="85" t="inlineStr">
        <is>
          <t>Курс, грн/EUR</t>
        </is>
      </c>
      <c r="C23" s="145" t="n"/>
      <c r="D23" s="86" t="inlineStr">
        <is>
          <t>Умова в D3</t>
        </is>
      </c>
      <c r="E23" s="145" t="n"/>
      <c r="F23" s="31">
        <f>$D$3</f>
        <v>51.2</v>
      </c>
      <c r="G23" s="31">
        <f>$D$3</f>
        <v>51.2</v>
      </c>
      <c r="H23" s="31">
        <f>$D$3</f>
        <v>51.2</v>
      </c>
      <c r="I23" s="31">
        <f>$D$3</f>
        <v>51.2</v>
      </c>
      <c r="J23" s="31">
        <f>$D$3</f>
        <v>51.2</v>
      </c>
      <c r="K23" s="31">
        <f>$D$3</f>
        <v>51.2</v>
      </c>
    </row>
    <row r="24" ht="31.05" customHeight="1">
      <c r="A24" s="85" t="n">
        <v>3</v>
      </c>
      <c r="B24" s="85" t="inlineStr">
        <is>
          <t>Собівартість в Україні, грн/уп.</t>
        </is>
      </c>
      <c r="C24" s="145" t="n"/>
      <c r="D24" s="86" t="inlineStr">
        <is>
          <t>Крок 1 × крок 2</t>
        </is>
      </c>
      <c r="E24" s="145" t="n"/>
      <c r="F24" s="147">
        <f>F11</f>
        <v>52.12831509846825</v>
      </c>
      <c r="G24" s="147">
        <f>F12</f>
        <v>52.12831509846825</v>
      </c>
      <c r="H24" s="147">
        <f>F13</f>
        <v>45.17787308533919</v>
      </c>
      <c r="I24" s="147">
        <f>F14</f>
        <v>45.17787308533919</v>
      </c>
      <c r="J24" s="147">
        <f>F15</f>
        <v>45.17787308533919</v>
      </c>
      <c r="K24" s="147">
        <f>F16</f>
        <v>45.17787308533919</v>
      </c>
    </row>
    <row r="25" ht="31.05" customHeight="1">
      <c r="A25" s="85" t="n">
        <v>4</v>
      </c>
      <c r="B25" s="85" t="inlineStr">
        <is>
          <t>Повна ціна партнеру, %</t>
        </is>
      </c>
      <c r="C25" s="145" t="n"/>
      <c r="D25" s="86" t="inlineStr">
        <is>
          <t>База для всіх відсотків</t>
        </is>
      </c>
      <c r="E25" s="145" t="n"/>
      <c r="F25" s="33" t="n">
        <v>1</v>
      </c>
      <c r="G25" s="33" t="n">
        <v>1</v>
      </c>
      <c r="H25" s="33" t="n">
        <v>1</v>
      </c>
      <c r="I25" s="33" t="n">
        <v>1</v>
      </c>
      <c r="J25" s="33" t="n">
        <v>1</v>
      </c>
      <c r="K25" s="33" t="n">
        <v>1</v>
      </c>
    </row>
    <row r="26" ht="31.05" customHeight="1">
      <c r="A26" s="85" t="n">
        <v>5</v>
      </c>
      <c r="B26" s="85" t="inlineStr">
        <is>
          <t>Бонус мережі, %</t>
        </is>
      </c>
      <c r="C26" s="145" t="n"/>
      <c r="D26" s="86" t="inlineStr">
        <is>
          <t>Умова в D4</t>
        </is>
      </c>
      <c r="E26" s="145" t="n"/>
      <c r="F26" s="33">
        <f>$D$4</f>
        <v>0.25</v>
      </c>
      <c r="G26" s="33">
        <f>$D$4</f>
        <v>0.25</v>
      </c>
      <c r="H26" s="33">
        <f>$D$4</f>
        <v>0.25</v>
      </c>
      <c r="I26" s="33">
        <f>$D$4</f>
        <v>0.25</v>
      </c>
      <c r="J26" s="33">
        <f>$D$4</f>
        <v>0.25</v>
      </c>
      <c r="K26" s="33">
        <f>$D$4</f>
        <v>0.25</v>
      </c>
    </row>
    <row r="27" ht="31.05" customHeight="1">
      <c r="A27" s="85" t="n">
        <v>6</v>
      </c>
      <c r="B27" s="85" t="inlineStr">
        <is>
          <t>Частка ціни після бонусу, %</t>
        </is>
      </c>
      <c r="C27" s="145" t="n"/>
      <c r="D27" s="86" t="inlineStr">
        <is>
          <t>Крок 4 − крок 5</t>
        </is>
      </c>
      <c r="E27" s="145" t="n"/>
      <c r="F27" s="33">
        <f>1-$D$4</f>
        <v>0.75</v>
      </c>
      <c r="G27" s="33">
        <f>1-$D$4</f>
        <v>0.75</v>
      </c>
      <c r="H27" s="33">
        <f>1-$D$4</f>
        <v>0.75</v>
      </c>
      <c r="I27" s="33">
        <f>1-$D$4</f>
        <v>0.75</v>
      </c>
      <c r="J27" s="33">
        <f>1-$D$4</f>
        <v>0.75</v>
      </c>
      <c r="K27" s="33">
        <f>1-$D$4</f>
        <v>0.75</v>
      </c>
    </row>
    <row r="28" ht="31.05" customHeight="1">
      <c r="A28" s="85" t="n">
        <v>7</v>
      </c>
      <c r="B28" s="85" t="inlineStr">
        <is>
          <t>Наша цільова маржа, %</t>
        </is>
      </c>
      <c r="C28" s="145" t="n"/>
      <c r="D28" s="86" t="inlineStr">
        <is>
          <t>Умова в D5</t>
        </is>
      </c>
      <c r="E28" s="145" t="n"/>
      <c r="F28" s="33">
        <f>$D$5</f>
        <v>0.35</v>
      </c>
      <c r="G28" s="33">
        <f>$D$5</f>
        <v>0.35</v>
      </c>
      <c r="H28" s="33">
        <f>$D$5</f>
        <v>0.35</v>
      </c>
      <c r="I28" s="33">
        <f>$D$5</f>
        <v>0.35</v>
      </c>
      <c r="J28" s="33">
        <f>$D$5</f>
        <v>0.35</v>
      </c>
      <c r="K28" s="33">
        <f>$D$5</f>
        <v>0.35</v>
      </c>
    </row>
    <row r="29" ht="31.05" customHeight="1">
      <c r="A29" s="85" t="n">
        <v>8</v>
      </c>
      <c r="B29" s="85" t="inlineStr">
        <is>
          <t>Частка ціни для собівартості, %</t>
        </is>
      </c>
      <c r="C29" s="145" t="n"/>
      <c r="D29" s="86" t="inlineStr">
        <is>
          <t>Крок 6 − крок 7</t>
        </is>
      </c>
      <c r="E29" s="145" t="n"/>
      <c r="F29" s="33">
        <f>$D$8</f>
        <v>0.4</v>
      </c>
      <c r="G29" s="33">
        <f>$D$8</f>
        <v>0.4</v>
      </c>
      <c r="H29" s="33">
        <f>$D$8</f>
        <v>0.4</v>
      </c>
      <c r="I29" s="33">
        <f>$D$8</f>
        <v>0.4</v>
      </c>
      <c r="J29" s="33">
        <f>$D$8</f>
        <v>0.4</v>
      </c>
      <c r="K29" s="33">
        <f>$D$8</f>
        <v>0.4</v>
      </c>
    </row>
    <row r="30" ht="31.05" customHeight="1">
      <c r="A30" s="89" t="n">
        <v>9</v>
      </c>
      <c r="B30" s="89" t="inlineStr">
        <is>
          <t>Ціна партнеру з ПДВ, грн/уп.</t>
        </is>
      </c>
      <c r="C30" s="145" t="n"/>
      <c r="D30" s="90" t="inlineStr">
        <is>
          <t>Крок 3 ÷ крок 8</t>
        </is>
      </c>
      <c r="E30" s="145" t="n"/>
      <c r="F30" s="148">
        <f>G11</f>
        <v>130.32078774617062</v>
      </c>
      <c r="G30" s="148">
        <f>G12</f>
        <v>130.32078774617062</v>
      </c>
      <c r="H30" s="148">
        <f>G13</f>
        <v>112.94468271334797</v>
      </c>
      <c r="I30" s="148">
        <f>G14</f>
        <v>112.94468271334797</v>
      </c>
      <c r="J30" s="148">
        <f>G15</f>
        <v>112.94468271334797</v>
      </c>
      <c r="K30" s="148">
        <f>G16</f>
        <v>112.94468271334797</v>
      </c>
    </row>
    <row r="31" ht="31.05" customHeight="1">
      <c r="A31" s="85" t="n">
        <v>10</v>
      </c>
      <c r="B31" s="85" t="inlineStr">
        <is>
          <t>Валовий прибуток до бонусу, грн/уп.</t>
        </is>
      </c>
      <c r="C31" s="145" t="n"/>
      <c r="D31" s="86" t="inlineStr">
        <is>
          <t>Крок 9 − крок 3</t>
        </is>
      </c>
      <c r="E31" s="145" t="n"/>
      <c r="F31" s="147">
        <f>N11</f>
        <v>78.19247264770237</v>
      </c>
      <c r="G31" s="147">
        <f>N12</f>
        <v>78.19247264770237</v>
      </c>
      <c r="H31" s="147">
        <f>N13</f>
        <v>67.76680962800879</v>
      </c>
      <c r="I31" s="147">
        <f>N14</f>
        <v>67.76680962800879</v>
      </c>
      <c r="J31" s="147">
        <f>N15</f>
        <v>67.76680962800879</v>
      </c>
      <c r="K31" s="147">
        <f>N16</f>
        <v>67.76680962800879</v>
      </c>
    </row>
    <row r="32" ht="31.05" customHeight="1">
      <c r="A32" s="85" t="n">
        <v>11</v>
      </c>
      <c r="B32" s="85" t="inlineStr">
        <is>
          <t>Бонус мережі, грн/уп.</t>
        </is>
      </c>
      <c r="C32" s="145" t="n"/>
      <c r="D32" s="86" t="inlineStr">
        <is>
          <t>Крок 9 × крок 5</t>
        </is>
      </c>
      <c r="E32" s="145" t="n"/>
      <c r="F32" s="147">
        <f>H11</f>
        <v>32.580196936542656</v>
      </c>
      <c r="G32" s="147">
        <f>H12</f>
        <v>32.580196936542656</v>
      </c>
      <c r="H32" s="147">
        <f>H13</f>
        <v>28.236170678336993</v>
      </c>
      <c r="I32" s="147">
        <f>H14</f>
        <v>28.236170678336993</v>
      </c>
      <c r="J32" s="147">
        <f>H15</f>
        <v>28.236170678336993</v>
      </c>
      <c r="K32" s="147">
        <f>H16</f>
        <v>28.236170678336993</v>
      </c>
    </row>
    <row r="33" ht="31.05" customHeight="1">
      <c r="A33" s="91" t="n">
        <v>12</v>
      </c>
      <c r="B33" s="91" t="inlineStr">
        <is>
          <t>Нам залишається після собівартості та бонусу, грн/уп.</t>
        </is>
      </c>
      <c r="C33" s="145" t="n"/>
      <c r="D33" s="92" t="inlineStr">
        <is>
          <t>Крок 10 − крок 11</t>
        </is>
      </c>
      <c r="E33" s="145" t="n"/>
      <c r="F33" s="149">
        <f>I11</f>
        <v>45.61227571115972</v>
      </c>
      <c r="G33" s="149">
        <f>I12</f>
        <v>45.61227571115972</v>
      </c>
      <c r="H33" s="149">
        <f>I13</f>
        <v>39.5306389496718</v>
      </c>
      <c r="I33" s="149">
        <f>I14</f>
        <v>39.5306389496718</v>
      </c>
      <c r="J33" s="149">
        <f>I15</f>
        <v>39.5306389496718</v>
      </c>
      <c r="K33" s="149">
        <f>I16</f>
        <v>39.5306389496718</v>
      </c>
    </row>
    <row r="34" ht="31.05" customHeight="1">
      <c r="A34" s="91" t="n">
        <v>13</v>
      </c>
      <c r="B34" s="91" t="inlineStr">
        <is>
          <t>Перевірка нашої маржі після бонусу, %</t>
        </is>
      </c>
      <c r="C34" s="145" t="n"/>
      <c r="D34" s="92" t="inlineStr">
        <is>
          <t>Крок 12 ÷ крок 9</t>
        </is>
      </c>
      <c r="E34" s="145" t="n"/>
      <c r="F34" s="38">
        <f>J11</f>
        <v>0.35</v>
      </c>
      <c r="G34" s="38">
        <f>J12</f>
        <v>0.35</v>
      </c>
      <c r="H34" s="38">
        <f>J13</f>
        <v>0.35000000000000003</v>
      </c>
      <c r="I34" s="38">
        <f>J14</f>
        <v>0.35000000000000003</v>
      </c>
      <c r="J34" s="38">
        <f>J15</f>
        <v>0.35000000000000003</v>
      </c>
      <c r="K34" s="38">
        <f>J16</f>
        <v>0.35000000000000003</v>
      </c>
    </row>
    <row r="35" ht="31.05" customHeight="1">
      <c r="A35" s="85" t="n">
        <v>14</v>
      </c>
      <c r="B35" s="85" t="inlineStr">
        <is>
          <t>Націнка ритейлера для полиці, %</t>
        </is>
      </c>
      <c r="C35" s="145" t="n"/>
      <c r="D35" s="86" t="inlineStr">
        <is>
          <t>Множник D6 − 1</t>
        </is>
      </c>
      <c r="E35" s="145" t="n"/>
      <c r="F35" s="33">
        <f>$D$6-1</f>
        <v>0.3999999999999999</v>
      </c>
      <c r="G35" s="33">
        <f>$D$6-1</f>
        <v>0.3999999999999999</v>
      </c>
      <c r="H35" s="33">
        <f>$D$6-1</f>
        <v>0.3999999999999999</v>
      </c>
      <c r="I35" s="33">
        <f>$D$6-1</f>
        <v>0.3999999999999999</v>
      </c>
      <c r="J35" s="33">
        <f>$D$6-1</f>
        <v>0.3999999999999999</v>
      </c>
      <c r="K35" s="33">
        <f>$D$6-1</f>
        <v>0.3999999999999999</v>
      </c>
    </row>
    <row r="36" ht="31.05" customHeight="1">
      <c r="A36" s="85" t="n">
        <v>15</v>
      </c>
      <c r="B36" s="85" t="inlineStr">
        <is>
          <t>Множник ритейлера</t>
        </is>
      </c>
      <c r="C36" s="145" t="n"/>
      <c r="D36" s="86" t="inlineStr">
        <is>
          <t>1 + крок 14</t>
        </is>
      </c>
      <c r="E36" s="145" t="n"/>
      <c r="F36" s="150">
        <f>$D$6</f>
        <v>1.4</v>
      </c>
      <c r="G36" s="150">
        <f>$D$6</f>
        <v>1.4</v>
      </c>
      <c r="H36" s="150">
        <f>$D$6</f>
        <v>1.4</v>
      </c>
      <c r="I36" s="150">
        <f>$D$6</f>
        <v>1.4</v>
      </c>
      <c r="J36" s="150">
        <f>$D$6</f>
        <v>1.4</v>
      </c>
      <c r="K36" s="150">
        <f>$D$6</f>
        <v>1.4</v>
      </c>
    </row>
    <row r="37" ht="31.05" customHeight="1">
      <c r="A37" s="89" t="n">
        <v>16</v>
      </c>
      <c r="B37" s="89" t="inlineStr">
        <is>
          <t>Ціна на полиці з ПДВ, грн/уп.</t>
        </is>
      </c>
      <c r="C37" s="145" t="n"/>
      <c r="D37" s="90" t="inlineStr">
        <is>
          <t>Крок 9 × крок 15</t>
        </is>
      </c>
      <c r="E37" s="145" t="n"/>
      <c r="F37" s="148">
        <f>K11</f>
        <v>182.44910284463887</v>
      </c>
      <c r="G37" s="148">
        <f>K12</f>
        <v>182.44910284463887</v>
      </c>
      <c r="H37" s="148">
        <f>K13</f>
        <v>158.12255579868716</v>
      </c>
      <c r="I37" s="148">
        <f>K14</f>
        <v>158.12255579868716</v>
      </c>
      <c r="J37" s="148">
        <f>K15</f>
        <v>158.12255579868716</v>
      </c>
      <c r="K37" s="148">
        <f>K16</f>
        <v>158.12255579868716</v>
      </c>
    </row>
    <row r="38" ht="31.05" customHeight="1">
      <c r="A38" s="85" t="n">
        <v>17</v>
      </c>
      <c r="B38" s="85" t="inlineStr">
        <is>
          <t>Ціна партнеру при нульовому нашому прибутку, грн/уп.</t>
        </is>
      </c>
      <c r="C38" s="145" t="n"/>
      <c r="D38" s="86" t="inlineStr">
        <is>
          <t>Крок 3 ÷ крок 6</t>
        </is>
      </c>
      <c r="E38" s="145" t="n"/>
      <c r="F38" s="147">
        <f>L11</f>
        <v>69.504420131291</v>
      </c>
      <c r="G38" s="147">
        <f>L12</f>
        <v>69.504420131291</v>
      </c>
      <c r="H38" s="147">
        <f>L13</f>
        <v>60.23716411378559</v>
      </c>
      <c r="I38" s="147">
        <f>L14</f>
        <v>60.23716411378559</v>
      </c>
      <c r="J38" s="147">
        <f>L15</f>
        <v>60.23716411378559</v>
      </c>
      <c r="K38" s="147">
        <f>L16</f>
        <v>60.23716411378559</v>
      </c>
    </row>
    <row r="39" ht="31.05" customHeight="1">
      <c r="A39" s="85" t="n">
        <v>18</v>
      </c>
      <c r="B39" s="85" t="inlineStr">
        <is>
          <t>Полиця при нульовому нашому прибутку, грн/уп.</t>
        </is>
      </c>
      <c r="C39" s="145" t="n"/>
      <c r="D39" s="86" t="inlineStr">
        <is>
          <t>Крок 17 × крок 15</t>
        </is>
      </c>
      <c r="E39" s="145" t="n"/>
      <c r="F39" s="147">
        <f>M11</f>
        <v>97.3061881838074</v>
      </c>
      <c r="G39" s="147">
        <f>M12</f>
        <v>97.3061881838074</v>
      </c>
      <c r="H39" s="147">
        <f>M13</f>
        <v>84.33202975929981</v>
      </c>
      <c r="I39" s="147">
        <f>M14</f>
        <v>84.33202975929981</v>
      </c>
      <c r="J39" s="147">
        <f>M15</f>
        <v>84.33202975929981</v>
      </c>
      <c r="K39" s="147">
        <f>M16</f>
        <v>84.33202975929981</v>
      </c>
    </row>
  </sheetData>
  <mergeCells count="73">
    <mergeCell ref="L2:M2"/>
    <mergeCell ref="U9:Y9"/>
    <mergeCell ref="Z9:AD9"/>
    <mergeCell ref="L7:M7"/>
    <mergeCell ref="B7:C7"/>
    <mergeCell ref="B25:C25"/>
    <mergeCell ref="B3:C3"/>
    <mergeCell ref="D34:E34"/>
    <mergeCell ref="B22:C22"/>
    <mergeCell ref="D22:E22"/>
    <mergeCell ref="B31:C31"/>
    <mergeCell ref="E7:K7"/>
    <mergeCell ref="D36:E36"/>
    <mergeCell ref="B27:C27"/>
    <mergeCell ref="D31:E31"/>
    <mergeCell ref="P9:T9"/>
    <mergeCell ref="D21:E21"/>
    <mergeCell ref="B39:C39"/>
    <mergeCell ref="L3:M3"/>
    <mergeCell ref="B21:C21"/>
    <mergeCell ref="B2:C2"/>
    <mergeCell ref="A9:D9"/>
    <mergeCell ref="G9:J9"/>
    <mergeCell ref="N3:O3"/>
    <mergeCell ref="D35:E35"/>
    <mergeCell ref="E3:K3"/>
    <mergeCell ref="D27:E27"/>
    <mergeCell ref="N2:O2"/>
    <mergeCell ref="B23:C23"/>
    <mergeCell ref="D32:E32"/>
    <mergeCell ref="L5:M5"/>
    <mergeCell ref="D26:E26"/>
    <mergeCell ref="N5:O5"/>
    <mergeCell ref="B8:C8"/>
    <mergeCell ref="E9:F9"/>
    <mergeCell ref="E5:K5"/>
    <mergeCell ref="B38:C38"/>
    <mergeCell ref="E8:K8"/>
    <mergeCell ref="B29:C29"/>
    <mergeCell ref="L4:M4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30:E30"/>
    <mergeCell ref="B33:C33"/>
    <mergeCell ref="D24:E24"/>
    <mergeCell ref="L6:M6"/>
    <mergeCell ref="D33:E33"/>
    <mergeCell ref="B5:C5"/>
    <mergeCell ref="D29:E29"/>
    <mergeCell ref="D23:E23"/>
    <mergeCell ref="D38:E38"/>
    <mergeCell ref="B36:C36"/>
    <mergeCell ref="E6:K6"/>
    <mergeCell ref="B32:C32"/>
    <mergeCell ref="B26:C26"/>
    <mergeCell ref="E2:K2"/>
    <mergeCell ref="B19:K19"/>
    <mergeCell ref="B35:C35"/>
    <mergeCell ref="B4:C4"/>
    <mergeCell ref="N4:O4"/>
  </mergeCells>
  <conditionalFormatting sqref="E33:K36">
    <cfRule type="expression" priority="2" dxfId="4">
      <formula>$D$2="Збірний 17 м³"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223A5E"/>
    <outlinePr summaryBelow="1" summaryRight="1"/>
    <pageSetUpPr fitToPage="1"/>
  </sheetPr>
  <dimension ref="B2:P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8" customHeight="1"/>
    <row r="2" ht="28" customHeight="1">
      <c r="B2" s="151" t="inlineStr">
        <is>
          <t>SIAS · было → стало · от себестоимости в Украине до полки · 6 паллет</t>
        </is>
      </c>
    </row>
    <row r="3" ht="28" customHeight="1">
      <c r="B3" s="152" t="str">
        <f>"Чтобы полка стала "&amp;ROUND(C16,0)&amp;" ₴, закупка SIAS должна упасть с €"&amp;MIN(C7:C8)&amp;"–€"&amp;MAX(C7:C8)&amp;" до €"&amp;ROUND(C22,2)&amp;" за пачку (−"&amp;ROUND((1-C22/MIN(C7:C8))*100,0)&amp;"…"&amp;ROUND((1-C22/MAX(C7:C8))*100,0)&amp;"%). Маржа остаётся "&amp;ROUND(E16*100,0)&amp;"%."</f>
        <v>Чтобы полка стала 120 ₴, закупка SIAS должна упасть с €0.65–€0.75 до €0.32 за пачку (−51…57%). Маржа остаётся 30%.</v>
      </c>
      <c r="C3" s="153" t="n"/>
      <c r="D3" s="153" t="n"/>
      <c r="E3" s="153" t="n"/>
      <c r="F3" s="153" t="n"/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</row>
    <row r="5" ht="32" customHeight="1">
      <c r="B5" s="154" t="inlineStr"/>
      <c r="C5" s="154" t="inlineStr">
        <is>
          <t>Закупка SIAS</t>
        </is>
      </c>
      <c r="D5" s="155" t="n"/>
      <c r="E5" s="154" t="inlineStr">
        <is>
          <t>Себестоимость в Украине (СС)</t>
        </is>
      </c>
      <c r="F5" s="155" t="n"/>
      <c r="G5" s="154" t="inlineStr">
        <is>
          <t>Цена партнёру (магазину)</t>
        </is>
      </c>
      <c r="H5" s="155" t="n"/>
      <c r="I5" s="154" t="inlineStr">
        <is>
          <t>Бонус сети</t>
        </is>
      </c>
      <c r="J5" s="155" t="n"/>
      <c r="K5" s="154" t="inlineStr">
        <is>
          <t>Наша прибыль</t>
        </is>
      </c>
      <c r="L5" s="155" t="n"/>
      <c r="M5" s="154" t="inlineStr">
        <is>
          <t>Наценка магазина</t>
        </is>
      </c>
      <c r="N5" s="155" t="n"/>
      <c r="O5" s="154" t="inlineStr">
        <is>
          <t>ПОЛКА с НДС</t>
        </is>
      </c>
      <c r="P5" s="155" t="n"/>
    </row>
    <row r="6" ht="18" customHeight="1">
      <c r="B6" s="154" t="inlineStr">
        <is>
          <t>Вариант</t>
        </is>
      </c>
      <c r="C6" s="156" t="inlineStr">
        <is>
          <t>€</t>
        </is>
      </c>
      <c r="D6" s="156" t="inlineStr">
        <is>
          <t>₴</t>
        </is>
      </c>
      <c r="E6" s="156" t="inlineStr">
        <is>
          <t>€</t>
        </is>
      </c>
      <c r="F6" s="156" t="inlineStr">
        <is>
          <t>₴</t>
        </is>
      </c>
      <c r="G6" s="156" t="inlineStr">
        <is>
          <t>€</t>
        </is>
      </c>
      <c r="H6" s="156" t="inlineStr">
        <is>
          <t>₴</t>
        </is>
      </c>
      <c r="I6" s="156" t="inlineStr">
        <is>
          <t>€</t>
        </is>
      </c>
      <c r="J6" s="156" t="inlineStr">
        <is>
          <t>₴</t>
        </is>
      </c>
      <c r="K6" s="156" t="inlineStr">
        <is>
          <t>€</t>
        </is>
      </c>
      <c r="L6" s="156" t="inlineStr">
        <is>
          <t>₴</t>
        </is>
      </c>
      <c r="M6" s="156" t="inlineStr">
        <is>
          <t>€</t>
        </is>
      </c>
      <c r="N6" s="156" t="inlineStr">
        <is>
          <t>₴</t>
        </is>
      </c>
      <c r="O6" s="156" t="inlineStr">
        <is>
          <t>€</t>
        </is>
      </c>
      <c r="P6" s="156" t="inlineStr">
        <is>
          <t>₴</t>
        </is>
      </c>
    </row>
    <row r="7" ht="30" customHeight="1">
      <c r="B7" s="157" t="inlineStr">
        <is>
          <t>ДО · Vegetable, Spicy, Beef, Chicken</t>
        </is>
      </c>
      <c r="C7" s="158" t="n">
        <v>0.65</v>
      </c>
      <c r="D7" s="159">
        <f>C7*K16</f>
        <v>33.28</v>
      </c>
      <c r="E7" s="160">
        <f>'Финмодель 6 паллет'!E13</f>
        <v>1.134046875</v>
      </c>
      <c r="F7" s="161">
        <f>E7*K16</f>
        <v>58.063199999999995</v>
      </c>
      <c r="G7" s="162">
        <f>H7/K16</f>
        <v>2.520104166666666</v>
      </c>
      <c r="H7" s="161">
        <f>F7/(1-G16-E16)</f>
        <v>129.0293333333333</v>
      </c>
      <c r="I7" s="162">
        <f>J7/K16</f>
        <v>0.6300260416666665</v>
      </c>
      <c r="J7" s="159">
        <f>H7*G16</f>
        <v>32.25733333333333</v>
      </c>
      <c r="K7" s="162">
        <f>L7/K16</f>
        <v>0.7560312499999997</v>
      </c>
      <c r="L7" s="159">
        <f>H7-F7-J7</f>
        <v>38.70879999999999</v>
      </c>
      <c r="M7" s="162">
        <f>N7/K16</f>
        <v>1.0080416666666663</v>
      </c>
      <c r="N7" s="159">
        <f>H7*(I16-1)</f>
        <v>51.61173333333331</v>
      </c>
      <c r="O7" s="162">
        <f>P7/K16</f>
        <v>3.5281458333333324</v>
      </c>
      <c r="P7" s="163">
        <f>H7*I16</f>
        <v>180.64106666666663</v>
      </c>
    </row>
    <row r="8" ht="30" customHeight="1">
      <c r="B8" s="164" t="inlineStr">
        <is>
          <t>ДО · Gouda Cheese, Carbonara Spicy</t>
        </is>
      </c>
      <c r="C8" s="158" t="n">
        <v>0.75</v>
      </c>
      <c r="D8" s="165">
        <f>C8*K16</f>
        <v>38.400000000000006</v>
      </c>
      <c r="E8" s="160">
        <f>'Финмодель 6 паллет'!E11</f>
        <v>1.308515625</v>
      </c>
      <c r="F8" s="166">
        <f>E8*K16</f>
        <v>66.99600000000001</v>
      </c>
      <c r="G8" s="167">
        <f>H8/K16</f>
        <v>2.9078125000000004</v>
      </c>
      <c r="H8" s="166">
        <f>F8/(1-G16-E16)</f>
        <v>148.88000000000002</v>
      </c>
      <c r="I8" s="167">
        <f>J8/K16</f>
        <v>0.7269531250000001</v>
      </c>
      <c r="J8" s="165">
        <f>H8*G16</f>
        <v>37.220000000000006</v>
      </c>
      <c r="K8" s="167">
        <f>L8/K16</f>
        <v>0.8723437500000001</v>
      </c>
      <c r="L8" s="165">
        <f>H8-F8-J8</f>
        <v>44.66400000000001</v>
      </c>
      <c r="M8" s="167">
        <f>N8/K16</f>
        <v>1.163125</v>
      </c>
      <c r="N8" s="165">
        <f>H8*(I16-1)</f>
        <v>59.552</v>
      </c>
      <c r="O8" s="167">
        <f>P8/K16</f>
        <v>4.0709375</v>
      </c>
      <c r="P8" s="168">
        <f>H8*I16</f>
        <v>208.43200000000002</v>
      </c>
    </row>
    <row r="9" ht="30" customHeight="1">
      <c r="B9" s="169" t="inlineStr">
        <is>
          <t>ПОСЛЕ · запрос SIAS (все 6 SKU)</t>
        </is>
      </c>
      <c r="C9" s="170">
        <f>C22</f>
        <v>0.32</v>
      </c>
      <c r="D9" s="171">
        <f>C9*K16</f>
        <v>16.384</v>
      </c>
      <c r="E9" s="172">
        <f>F9/K16</f>
        <v>0.7453031249999998</v>
      </c>
      <c r="F9" s="173">
        <f>(C9*K16+(E19+G19+I19)/(M19*O19)*K16+(C9+E19*K19/(M19*O19))*C19*K16+(C9+E19*K19/(M19*O19))*(1+C19)*O16*K16)*(1+M16)</f>
        <v>38.15951999999999</v>
      </c>
      <c r="G9" s="174">
        <f>H9/K16</f>
        <v>1.6562291666666664</v>
      </c>
      <c r="H9" s="173">
        <f>F9/(1-G16-E16)</f>
        <v>84.79893333333332</v>
      </c>
      <c r="I9" s="174">
        <f>J9/K16</f>
        <v>0.4140572916666666</v>
      </c>
      <c r="J9" s="171">
        <f>H9*G16</f>
        <v>21.19973333333333</v>
      </c>
      <c r="K9" s="174">
        <f>L9/K16</f>
        <v>0.49686874999999997</v>
      </c>
      <c r="L9" s="171">
        <f>H9-F9-J9</f>
        <v>25.43968</v>
      </c>
      <c r="M9" s="174">
        <f>N9/K16</f>
        <v>0.6624916666666665</v>
      </c>
      <c r="N9" s="171">
        <f>H9*(I16-1)</f>
        <v>33.919573333333325</v>
      </c>
      <c r="O9" s="174">
        <f>P9/K16</f>
        <v>2.318720833333333</v>
      </c>
      <c r="P9" s="175">
        <f>H9*I16</f>
        <v>118.71850666666664</v>
      </c>
    </row>
    <row r="10" ht="24" customHeight="1">
      <c r="B10" s="176" t="inlineStr">
        <is>
          <t>ИЗМЕНЕНИЕ: ПОСЛЕ − ДО (4 SKU)</t>
        </is>
      </c>
      <c r="C10" s="177">
        <f>C9-C7</f>
        <v>-0.33</v>
      </c>
      <c r="D10" s="178">
        <f>D9-D7</f>
        <v>-16.896</v>
      </c>
      <c r="E10" s="177">
        <f>E9-E7</f>
        <v>-0.38874375000000005</v>
      </c>
      <c r="F10" s="178">
        <f>F9-F7</f>
        <v>-19.90368</v>
      </c>
      <c r="G10" s="177">
        <f>G9-G7</f>
        <v>-0.8638749999999997</v>
      </c>
      <c r="H10" s="178">
        <f>H9-H7</f>
        <v>-44.23039999999999</v>
      </c>
      <c r="I10" s="177">
        <f>I9-I7</f>
        <v>-0.21596874999999993</v>
      </c>
      <c r="J10" s="178">
        <f>J9-J7</f>
        <v>-11.057599999999997</v>
      </c>
      <c r="K10" s="177">
        <f>K9-K7</f>
        <v>-0.25916249999999974</v>
      </c>
      <c r="L10" s="178">
        <f>L9-L7</f>
        <v>-13.26911999999999</v>
      </c>
      <c r="M10" s="177">
        <f>M9-M7</f>
        <v>-0.3455499999999998</v>
      </c>
      <c r="N10" s="178">
        <f>N9-N7</f>
        <v>-17.692159999999987</v>
      </c>
      <c r="O10" s="177">
        <f>O9-O7</f>
        <v>-1.2094249999999995</v>
      </c>
      <c r="P10" s="178">
        <f>P9-P7</f>
        <v>-61.92255999999999</v>
      </c>
    </row>
    <row r="11" ht="26" customHeight="1">
      <c r="B11" s="179" t="inlineStr">
        <is>
          <t>Читайте по строке слева направо: закупка → себестоимость в Украине → цена партнёру = СС ÷ (1 − бонус − маржа) → бонус, наша прибыль, наценка → полка. Каждая цифра дана в € и ₴.</t>
        </is>
      </c>
    </row>
    <row r="13">
      <c r="B13" s="180" t="inlineStr">
        <is>
          <t>ИСХОДНЫЕ ДАННЫЕ — жёлтое можно менять, зелёное из вкладки «Финмодель 6 паллет»</t>
        </is>
      </c>
      <c r="C13" s="181" t="n"/>
      <c r="D13" s="181" t="n"/>
      <c r="E13" s="181" t="n"/>
      <c r="F13" s="181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</row>
    <row r="15" ht="22" customHeight="1">
      <c r="C15" s="182" t="inlineStr">
        <is>
          <t>Полка, ₴</t>
        </is>
      </c>
      <c r="E15" s="182" t="inlineStr">
        <is>
          <t>Наша маржа</t>
        </is>
      </c>
      <c r="G15" s="182" t="inlineStr">
        <is>
          <t>Бонус сети</t>
        </is>
      </c>
      <c r="I15" s="182" t="inlineStr">
        <is>
          <t>Множитель полки</t>
        </is>
      </c>
      <c r="K15" s="182" t="inlineStr">
        <is>
          <t>Курс ₴/€</t>
        </is>
      </c>
      <c r="M15" s="182" t="inlineStr">
        <is>
          <t>Финансирование</t>
        </is>
      </c>
      <c r="O15" s="182" t="inlineStr">
        <is>
          <t>Импортный ПДВ</t>
        </is>
      </c>
    </row>
    <row r="16" ht="22" customHeight="1">
      <c r="B16" s="183" t="inlineStr">
        <is>
          <t>Цель расчёта</t>
        </is>
      </c>
      <c r="C16" s="184" t="n">
        <v>120</v>
      </c>
      <c r="D16" s="185" t="n"/>
      <c r="E16" s="186" t="n">
        <v>0.3</v>
      </c>
      <c r="F16" s="185" t="n"/>
      <c r="G16" s="187">
        <f>'Финмодель 6 паллет'!D4</f>
        <v>0.25</v>
      </c>
      <c r="H16" s="188" t="n"/>
      <c r="I16" s="189">
        <f>'Финмодель 6 паллет'!D6</f>
        <v>1.4</v>
      </c>
      <c r="J16" s="188" t="n"/>
      <c r="K16" s="190">
        <f>'Финмодель 6 паллет'!D3</f>
        <v>51.2</v>
      </c>
      <c r="L16" s="188" t="n"/>
      <c r="M16" s="186" t="n">
        <v>0.025</v>
      </c>
      <c r="N16" s="185" t="n"/>
      <c r="O16" s="186" t="n">
        <v>0.2</v>
      </c>
      <c r="P16" s="185" t="n"/>
    </row>
    <row r="18" hidden="1" ht="22" customHeight="1">
      <c r="C18" s="182" t="inlineStr">
        <is>
          <t>Пошлина</t>
        </is>
      </c>
      <c r="E18" s="182" t="inlineStr">
        <is>
          <t>Перевозка партии, €</t>
        </is>
      </c>
      <c r="G18" s="182" t="inlineStr">
        <is>
          <t>Брокер, €</t>
        </is>
      </c>
      <c r="I18" s="182" t="inlineStr">
        <is>
          <t>Прочие, €</t>
        </is>
      </c>
      <c r="K18" s="182" t="inlineStr">
        <is>
          <t>Доля фрахта в таможне</t>
        </is>
      </c>
      <c r="M18" s="182" t="inlineStr">
        <is>
          <t>Паллет в партии</t>
        </is>
      </c>
      <c r="O18" s="182" t="inlineStr">
        <is>
          <t>Пачек на паллете</t>
        </is>
      </c>
    </row>
    <row r="19" hidden="1" ht="22" customHeight="1">
      <c r="B19" s="183" t="inlineStr">
        <is>
          <t>Расходы партии (Self-Cost_Sias)</t>
        </is>
      </c>
      <c r="C19" s="186" t="n">
        <v>0</v>
      </c>
      <c r="D19" s="185" t="n"/>
      <c r="E19" s="191" t="n">
        <v>2600</v>
      </c>
      <c r="F19" s="185" t="n"/>
      <c r="G19" s="191" t="n">
        <v>288</v>
      </c>
      <c r="H19" s="185" t="n"/>
      <c r="I19" s="191" t="n">
        <v>42</v>
      </c>
      <c r="J19" s="185" t="n"/>
      <c r="K19" s="192" t="n">
        <v>0.7</v>
      </c>
      <c r="L19" s="185" t="n"/>
      <c r="M19" s="191" t="n">
        <v>6</v>
      </c>
      <c r="N19" s="185" t="n"/>
      <c r="O19" s="191" t="n">
        <v>1600</v>
      </c>
      <c r="P19" s="185" t="n"/>
    </row>
    <row r="21">
      <c r="B21" s="180" t="inlineStr">
        <is>
          <t>КАК ПОЛУЧЕН ЗАПРОС: из полки 120 ₴ обратно к закупке</t>
        </is>
      </c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</row>
    <row r="22" ht="30" customHeight="1">
      <c r="B22" s="193" t="inlineStr">
        <is>
          <t>Запрос SIAS, €/уп. (вниз до евроцента)</t>
        </is>
      </c>
      <c r="C22" s="194">
        <f>ROUNDDOWN(((C16/I16*(1-G16-E16))/K16/(1+M16)-(E19+G19+I19+E19*K19*(C19+O16*(1+C19)))/(M19*O19))/((1+C19)*(1+O16)),2)</f>
        <v>0.32</v>
      </c>
      <c r="D22" s="195" t="n"/>
      <c r="E22" s="196" t="inlineStr">
        <is>
          <t>Считаем от полки 120 ₴ назад: цена партнёру → допустимая себестоимость → предельная закупка, округлено вниз до евроцента.</t>
        </is>
      </c>
    </row>
    <row r="23" ht="30" customHeight="1">
      <c r="B23" s="197" t="inlineStr">
        <is>
          <t>Предельная закупка до округления, €/уп.</t>
        </is>
      </c>
      <c r="C23" s="198">
        <f>((C16/I16*(1-G16-E16))/K16/(1+M16)-(E19+G19+I19+E19*K19*(C19+O16*(1+C19)))/(M19*O19))/((1+C19)*(1+O16))</f>
        <v>0.3265407229965157</v>
      </c>
      <c r="D23" s="199" t="n"/>
    </row>
    <row r="24" ht="28" customHeight="1">
      <c r="B24" s="200" t="inlineStr">
        <is>
          <t>Допущения: бонус и множитель — по модели (не подтверждены сетями); импортный ПДВ входит в себестоимость, как в Self-Cost; без листинг-фи, промо и отсрочки; согласие SIAS не получено — цена для переговоров.</t>
        </is>
      </c>
    </row>
  </sheetData>
  <mergeCells count="44">
    <mergeCell ref="K16:L16"/>
    <mergeCell ref="B11:P11"/>
    <mergeCell ref="B2:P2"/>
    <mergeCell ref="C15:D15"/>
    <mergeCell ref="I15:J15"/>
    <mergeCell ref="O19:P19"/>
    <mergeCell ref="K15:L15"/>
    <mergeCell ref="C5:D5"/>
    <mergeCell ref="E5:F5"/>
    <mergeCell ref="K5:L5"/>
    <mergeCell ref="O15:P15"/>
    <mergeCell ref="O18:P18"/>
    <mergeCell ref="M5:N5"/>
    <mergeCell ref="B13:P13"/>
    <mergeCell ref="C16:D16"/>
    <mergeCell ref="I16:J16"/>
    <mergeCell ref="O5:P5"/>
    <mergeCell ref="E19:F19"/>
    <mergeCell ref="G19:H19"/>
    <mergeCell ref="C22:D22"/>
    <mergeCell ref="G18:H18"/>
    <mergeCell ref="I18:J18"/>
    <mergeCell ref="M16:N16"/>
    <mergeCell ref="O16:P16"/>
    <mergeCell ref="M15:N15"/>
    <mergeCell ref="B24:P24"/>
    <mergeCell ref="E15:F15"/>
    <mergeCell ref="G15:H15"/>
    <mergeCell ref="G5:H5"/>
    <mergeCell ref="E22:P22"/>
    <mergeCell ref="I5:J5"/>
    <mergeCell ref="M18:N18"/>
    <mergeCell ref="C23:D23"/>
    <mergeCell ref="E16:F16"/>
    <mergeCell ref="G16:H16"/>
    <mergeCell ref="B3:P3"/>
    <mergeCell ref="C19:D19"/>
    <mergeCell ref="I19:J19"/>
    <mergeCell ref="K19:L19"/>
    <mergeCell ref="M19:N19"/>
    <mergeCell ref="C18:D18"/>
    <mergeCell ref="E18:F18"/>
    <mergeCell ref="K18:L18"/>
    <mergeCell ref="B21:P2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223A5E"/>
    <outlinePr summaryBelow="1" summaryRight="1"/>
    <pageSetUpPr fitToPage="1"/>
  </sheetPr>
  <dimension ref="B2:P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 ht="8" customHeight="1"/>
    <row r="2" ht="28" customHeight="1">
      <c r="B2" s="151" t="inlineStr">
        <is>
          <t>SIAS · было → стало · от себестоимости в Украине до полки · 33 паллеты (Full Truck)</t>
        </is>
      </c>
    </row>
    <row r="3" ht="28" customHeight="1">
      <c r="B3" s="152" t="str">
        <f>"Чтобы полка стала "&amp;ROUND(C16,0)&amp;" ₴, закупка SIAS должна упасть с €"&amp;MIN(C7:C8)&amp;"–€"&amp;MAX(C7:C8)&amp;" до €"&amp;ROUND(C22,2)&amp;" за пачку (−"&amp;ROUND((1-C22/MIN(C7:C8))*100,0)&amp;"…"&amp;ROUND((1-C22/MAX(C7:C8))*100,0)&amp;"%). Маржа остаётся "&amp;ROUND(E16*100,0)&amp;"%."</f>
        <v>Чтобы полка стала 120 ₴, закупка SIAS должна упасть с €0.65–€0.75 до €0.54 за пачку (−17…28%). Маржа остаётся 30%.</v>
      </c>
      <c r="C3" s="153" t="n"/>
      <c r="D3" s="153" t="n"/>
      <c r="E3" s="153" t="n"/>
      <c r="F3" s="153" t="n"/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</row>
    <row r="5" ht="32" customHeight="1">
      <c r="B5" s="154" t="inlineStr"/>
      <c r="C5" s="154" t="inlineStr">
        <is>
          <t>Закупка SIAS</t>
        </is>
      </c>
      <c r="D5" s="155" t="n"/>
      <c r="E5" s="154" t="inlineStr">
        <is>
          <t>Себестоимость в Украине (СС)</t>
        </is>
      </c>
      <c r="F5" s="155" t="n"/>
      <c r="G5" s="154" t="inlineStr">
        <is>
          <t>Цена партнёру (магазину)</t>
        </is>
      </c>
      <c r="H5" s="155" t="n"/>
      <c r="I5" s="154" t="inlineStr">
        <is>
          <t>Бонус сети</t>
        </is>
      </c>
      <c r="J5" s="155" t="n"/>
      <c r="K5" s="154" t="inlineStr">
        <is>
          <t>Наша прибыль</t>
        </is>
      </c>
      <c r="L5" s="155" t="n"/>
      <c r="M5" s="154" t="inlineStr">
        <is>
          <t>Наценка магазина</t>
        </is>
      </c>
      <c r="N5" s="155" t="n"/>
      <c r="O5" s="154" t="inlineStr">
        <is>
          <t>ПОЛКА с НДС</t>
        </is>
      </c>
      <c r="P5" s="155" t="n"/>
    </row>
    <row r="6" ht="18" customHeight="1">
      <c r="B6" s="154" t="inlineStr">
        <is>
          <t>Вариант</t>
        </is>
      </c>
      <c r="C6" s="156" t="inlineStr">
        <is>
          <t>€</t>
        </is>
      </c>
      <c r="D6" s="156" t="inlineStr">
        <is>
          <t>₴</t>
        </is>
      </c>
      <c r="E6" s="156" t="inlineStr">
        <is>
          <t>€</t>
        </is>
      </c>
      <c r="F6" s="156" t="inlineStr">
        <is>
          <t>₴</t>
        </is>
      </c>
      <c r="G6" s="156" t="inlineStr">
        <is>
          <t>€</t>
        </is>
      </c>
      <c r="H6" s="156" t="inlineStr">
        <is>
          <t>₴</t>
        </is>
      </c>
      <c r="I6" s="156" t="inlineStr">
        <is>
          <t>€</t>
        </is>
      </c>
      <c r="J6" s="156" t="inlineStr">
        <is>
          <t>₴</t>
        </is>
      </c>
      <c r="K6" s="156" t="inlineStr">
        <is>
          <t>€</t>
        </is>
      </c>
      <c r="L6" s="156" t="inlineStr">
        <is>
          <t>₴</t>
        </is>
      </c>
      <c r="M6" s="156" t="inlineStr">
        <is>
          <t>€</t>
        </is>
      </c>
      <c r="N6" s="156" t="inlineStr">
        <is>
          <t>₴</t>
        </is>
      </c>
      <c r="O6" s="156" t="inlineStr">
        <is>
          <t>€</t>
        </is>
      </c>
      <c r="P6" s="156" t="inlineStr">
        <is>
          <t>₴</t>
        </is>
      </c>
    </row>
    <row r="7" ht="30" customHeight="1">
      <c r="B7" s="157" t="inlineStr">
        <is>
          <t>ДО · Vegetable, Spicy, Beef, Chicken</t>
        </is>
      </c>
      <c r="C7" s="158" t="n">
        <v>0.65</v>
      </c>
      <c r="D7" s="159">
        <f>C7*K16</f>
        <v>33.28</v>
      </c>
      <c r="E7" s="160">
        <f>'Финмодель 33 паллет'!E13</f>
        <v>0.882380333698031</v>
      </c>
      <c r="F7" s="161">
        <f>E7*K16</f>
        <v>45.17787308533919</v>
      </c>
      <c r="G7" s="162">
        <f>H7/K16</f>
        <v>1.9608451859956246</v>
      </c>
      <c r="H7" s="161">
        <f>F7/(1-G16-E16)</f>
        <v>100.39527352297598</v>
      </c>
      <c r="I7" s="162">
        <f>J7/K16</f>
        <v>0.49021129649890616</v>
      </c>
      <c r="J7" s="159">
        <f>H7*G16</f>
        <v>25.098818380743996</v>
      </c>
      <c r="K7" s="162">
        <f>L7/K16</f>
        <v>0.5882535557986873</v>
      </c>
      <c r="L7" s="159">
        <f>H7-F7-J7</f>
        <v>30.118582056892794</v>
      </c>
      <c r="M7" s="162">
        <f>N7/K16</f>
        <v>0.7843380743982498</v>
      </c>
      <c r="N7" s="159">
        <f>H7*(I16-1)</f>
        <v>40.15810940919039</v>
      </c>
      <c r="O7" s="162">
        <f>P7/K16</f>
        <v>2.745183260393874</v>
      </c>
      <c r="P7" s="163">
        <f>H7*I16</f>
        <v>140.55338293216636</v>
      </c>
    </row>
    <row r="8" ht="30" customHeight="1">
      <c r="B8" s="164" t="inlineStr">
        <is>
          <t>ДО · Gouda Cheese, Carbonara Spicy</t>
        </is>
      </c>
      <c r="C8" s="158" t="n">
        <v>0.75</v>
      </c>
      <c r="D8" s="165">
        <f>C8*K16</f>
        <v>38.400000000000006</v>
      </c>
      <c r="E8" s="160">
        <f>'Финмодель 33 паллет'!E11</f>
        <v>1.018131154266958</v>
      </c>
      <c r="F8" s="166">
        <f>E8*K16</f>
        <v>52.12831509846825</v>
      </c>
      <c r="G8" s="167">
        <f>H8/K16</f>
        <v>2.2625136761487954</v>
      </c>
      <c r="H8" s="166">
        <f>F8/(1-G16-E16)</f>
        <v>115.84070021881833</v>
      </c>
      <c r="I8" s="167">
        <f>J8/K16</f>
        <v>0.5656284190371988</v>
      </c>
      <c r="J8" s="165">
        <f>H8*G16</f>
        <v>28.96017505470458</v>
      </c>
      <c r="K8" s="167">
        <f>L8/K16</f>
        <v>0.6787541028446387</v>
      </c>
      <c r="L8" s="165">
        <f>H8-F8-J8</f>
        <v>34.7522100656455</v>
      </c>
      <c r="M8" s="167">
        <f>N8/K16</f>
        <v>0.905005470459518</v>
      </c>
      <c r="N8" s="165">
        <f>H8*(I16-1)</f>
        <v>46.33628008752732</v>
      </c>
      <c r="O8" s="167">
        <f>P8/K16</f>
        <v>3.1675191466083135</v>
      </c>
      <c r="P8" s="168">
        <f>H8*I16</f>
        <v>162.17698030634565</v>
      </c>
    </row>
    <row r="9" ht="30" customHeight="1">
      <c r="B9" s="169" t="inlineStr">
        <is>
          <t>ПОСЛЕ · запрос SIAS (все 6 SKU)</t>
        </is>
      </c>
      <c r="C9" s="170">
        <f>C22</f>
        <v>0.54</v>
      </c>
      <c r="D9" s="171">
        <f>C9*K16</f>
        <v>27.648000000000003</v>
      </c>
      <c r="E9" s="172">
        <f>F9/K16</f>
        <v>0.7524897727272728</v>
      </c>
      <c r="F9" s="173">
        <f>(C9*K16+(E19+G19+I19)/(M19*O19)*K16+(C9+E19*K19/(M19*O19))*C19*K16+(C9+E19*K19/(M19*O19))*(1+C19)*O16*K16)*(1+M16)</f>
        <v>38.52747636363637</v>
      </c>
      <c r="G9" s="174">
        <f>H9/K16</f>
        <v>1.672199494949495</v>
      </c>
      <c r="H9" s="173">
        <f>F9/(1-G16-E16)</f>
        <v>85.61661414141415</v>
      </c>
      <c r="I9" s="174">
        <f>J9/K16</f>
        <v>0.41804987373737373</v>
      </c>
      <c r="J9" s="171">
        <f>H9*G16</f>
        <v>21.404153535353537</v>
      </c>
      <c r="K9" s="174">
        <f>L9/K16</f>
        <v>0.5016598484848485</v>
      </c>
      <c r="L9" s="171">
        <f>H9-F9-J9</f>
        <v>25.684984242424242</v>
      </c>
      <c r="M9" s="174">
        <f>N9/K16</f>
        <v>0.6688797979797979</v>
      </c>
      <c r="N9" s="171">
        <f>H9*(I16-1)</f>
        <v>34.246645656565654</v>
      </c>
      <c r="O9" s="174">
        <f>P9/K16</f>
        <v>2.3410792929292925</v>
      </c>
      <c r="P9" s="175">
        <f>H9*I16</f>
        <v>119.8632597979798</v>
      </c>
    </row>
    <row r="10" ht="24" customHeight="1">
      <c r="B10" s="176" t="inlineStr">
        <is>
          <t>ИЗМЕНЕНИЕ: ПОСЛЕ − ДО (4 SKU)</t>
        </is>
      </c>
      <c r="C10" s="177">
        <f>C9-C7</f>
        <v>-0.10999999999999999</v>
      </c>
      <c r="D10" s="178">
        <f>D9-D7</f>
        <v>-5.631999999999998</v>
      </c>
      <c r="E10" s="177">
        <f>E9-E7</f>
        <v>-0.12989056097075824</v>
      </c>
      <c r="F10" s="178">
        <f>F9-F7</f>
        <v>-6.650396721702826</v>
      </c>
      <c r="G10" s="177">
        <f>G9-G7</f>
        <v>-0.2886456910461297</v>
      </c>
      <c r="H10" s="178">
        <f>H9-H7</f>
        <v>-14.778659381561837</v>
      </c>
      <c r="I10" s="177">
        <f>I9-I7</f>
        <v>-0.07216142276153242</v>
      </c>
      <c r="J10" s="178">
        <f>J9-J7</f>
        <v>-3.6946648453904594</v>
      </c>
      <c r="K10" s="177">
        <f>K9-K7</f>
        <v>-0.08659370731383886</v>
      </c>
      <c r="L10" s="178">
        <f>L9-L7</f>
        <v>-4.433597814468552</v>
      </c>
      <c r="M10" s="177">
        <f>M9-M7</f>
        <v>-0.11545827641845186</v>
      </c>
      <c r="N10" s="178">
        <f>N9-N7</f>
        <v>-5.911463752624734</v>
      </c>
      <c r="O10" s="177">
        <f>O9-O7</f>
        <v>-0.40410396746458144</v>
      </c>
      <c r="P10" s="178">
        <f>P9-P7</f>
        <v>-20.690123134186564</v>
      </c>
    </row>
    <row r="11" ht="26" customHeight="1">
      <c r="B11" s="179" t="inlineStr">
        <is>
          <t>Читайте по строке слева направо: закупка → себестоимость в Украине → цена партнёру = СС ÷ (1 − бонус − маржа) → бонус, наша прибыль, наценка → полка. Каждая цифра дана в € и ₴.</t>
        </is>
      </c>
    </row>
    <row r="13">
      <c r="B13" s="180" t="inlineStr">
        <is>
          <t>ИСХОДНЫЕ ДАННЫЕ — жёлтое можно менять, зелёное из вкладки «Финмодель 33 паллет»</t>
        </is>
      </c>
      <c r="C13" s="181" t="n"/>
      <c r="D13" s="181" t="n"/>
      <c r="E13" s="181" t="n"/>
      <c r="F13" s="181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</row>
    <row r="15" ht="22" customHeight="1">
      <c r="C15" s="182" t="inlineStr">
        <is>
          <t>Полка, ₴</t>
        </is>
      </c>
      <c r="E15" s="182" t="inlineStr">
        <is>
          <t>Наша маржа</t>
        </is>
      </c>
      <c r="G15" s="182" t="inlineStr">
        <is>
          <t>Бонус сети</t>
        </is>
      </c>
      <c r="I15" s="182" t="inlineStr">
        <is>
          <t>Множитель полки</t>
        </is>
      </c>
      <c r="K15" s="182" t="inlineStr">
        <is>
          <t>Курс ₴/€</t>
        </is>
      </c>
      <c r="M15" s="182" t="inlineStr">
        <is>
          <t>Финансирование</t>
        </is>
      </c>
      <c r="O15" s="182" t="inlineStr">
        <is>
          <t>Импортный ПДВ</t>
        </is>
      </c>
    </row>
    <row r="16" ht="22" customHeight="1">
      <c r="B16" s="183" t="inlineStr">
        <is>
          <t>Цель расчёта</t>
        </is>
      </c>
      <c r="C16" s="184" t="n">
        <v>120</v>
      </c>
      <c r="D16" s="185" t="n"/>
      <c r="E16" s="186" t="n">
        <v>0.3</v>
      </c>
      <c r="F16" s="185" t="n"/>
      <c r="G16" s="187">
        <f>'Финмодель 33 паллет'!D4</f>
        <v>0.25</v>
      </c>
      <c r="H16" s="188" t="n"/>
      <c r="I16" s="189">
        <f>'Финмодель 33 паллет'!D6</f>
        <v>1.4</v>
      </c>
      <c r="J16" s="188" t="n"/>
      <c r="K16" s="190">
        <f>'Финмодель 33 паллет'!D3</f>
        <v>51.2</v>
      </c>
      <c r="L16" s="188" t="n"/>
      <c r="M16" s="186" t="n">
        <v>0.025</v>
      </c>
      <c r="N16" s="185" t="n"/>
      <c r="O16" s="186" t="n">
        <v>0.2</v>
      </c>
      <c r="P16" s="185" t="n"/>
    </row>
    <row r="18" hidden="1" ht="22" customHeight="1">
      <c r="C18" s="182" t="inlineStr">
        <is>
          <t>Пошлина</t>
        </is>
      </c>
      <c r="E18" s="182" t="inlineStr">
        <is>
          <t>Перевозка партии, €</t>
        </is>
      </c>
      <c r="G18" s="182" t="inlineStr">
        <is>
          <t>Брокер, €</t>
        </is>
      </c>
      <c r="I18" s="182" t="inlineStr">
        <is>
          <t>Прочие, €</t>
        </is>
      </c>
      <c r="K18" s="182" t="inlineStr">
        <is>
          <t>Доля фрахта в таможне</t>
        </is>
      </c>
      <c r="M18" s="182" t="inlineStr">
        <is>
          <t>Паллет в партии</t>
        </is>
      </c>
      <c r="O18" s="182" t="inlineStr">
        <is>
          <t>Пачек на паллете</t>
        </is>
      </c>
    </row>
    <row r="19" hidden="1" ht="22" customHeight="1">
      <c r="B19" s="183" t="inlineStr">
        <is>
          <t>Расходы партии (Self-Cost_Sias)</t>
        </is>
      </c>
      <c r="C19" s="186" t="n">
        <v>0</v>
      </c>
      <c r="D19" s="185" t="n"/>
      <c r="E19" s="191" t="n">
        <v>3700</v>
      </c>
      <c r="F19" s="185" t="n"/>
      <c r="G19" s="191" t="n">
        <v>288</v>
      </c>
      <c r="H19" s="185" t="n"/>
      <c r="I19" s="191" t="n">
        <v>42</v>
      </c>
      <c r="J19" s="185" t="n"/>
      <c r="K19" s="192" t="n">
        <v>0.7</v>
      </c>
      <c r="L19" s="185" t="n"/>
      <c r="M19" s="191" t="n">
        <v>33</v>
      </c>
      <c r="N19" s="185" t="n"/>
      <c r="O19" s="191" t="n">
        <v>1600</v>
      </c>
      <c r="P19" s="185" t="n"/>
    </row>
    <row r="21">
      <c r="B21" s="180" t="inlineStr">
        <is>
          <t>КАК ПОЛУЧЕН ЗАПРОС: из полки 120 ₴ обратно к закупке</t>
        </is>
      </c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</row>
    <row r="22" ht="30" customHeight="1">
      <c r="B22" s="193" t="inlineStr">
        <is>
          <t>Запрос SIAS, €/уп. (вниз до евроцента)</t>
        </is>
      </c>
      <c r="C22" s="194">
        <f>ROUNDDOWN(((C16/I16*(1-G16-E16))/K16/(1+M16)-(E19+G19+I19+E19*K19*(C19+O16*(1+C19)))/(M19*O19))/((1+C19)*(1+O16)),2)</f>
        <v>0.54</v>
      </c>
      <c r="D22" s="195" t="n"/>
      <c r="E22" s="196" t="inlineStr">
        <is>
          <t>Считаем от полки 120 ₴ назад: цена партнёру → допустимая себестоимость → предельная закупка, округлено вниз до евроцента.</t>
        </is>
      </c>
    </row>
    <row r="23" ht="30" customHeight="1">
      <c r="B23" s="197" t="inlineStr">
        <is>
          <t>Предельная закупка до округления, €/уп.</t>
        </is>
      </c>
      <c r="C23" s="198">
        <f>((C16/I16*(1-G16-E16))/K16/(1+M16)-(E19+G19+I19+E19*K19*(C19+O16*(1+C19)))/(M19*O19))/((1+C19)*(1+O16))</f>
        <v>0.5406979199662126</v>
      </c>
      <c r="D23" s="199" t="n"/>
    </row>
    <row r="24" ht="28" customHeight="1">
      <c r="B24" s="200" t="inlineStr">
        <is>
          <t>Допущения: бонус и множитель — по модели (не подтверждены сетями); импортный ПДВ входит в себестоимость, как в Self-Cost; без листинг-фи, промо и отсрочки; согласие SIAS не получено — цена для переговоров.</t>
        </is>
      </c>
    </row>
  </sheetData>
  <mergeCells count="44">
    <mergeCell ref="K16:L16"/>
    <mergeCell ref="B11:P11"/>
    <mergeCell ref="B2:P2"/>
    <mergeCell ref="C15:D15"/>
    <mergeCell ref="I15:J15"/>
    <mergeCell ref="O19:P19"/>
    <mergeCell ref="K15:L15"/>
    <mergeCell ref="C5:D5"/>
    <mergeCell ref="E5:F5"/>
    <mergeCell ref="K5:L5"/>
    <mergeCell ref="O15:P15"/>
    <mergeCell ref="O18:P18"/>
    <mergeCell ref="M5:N5"/>
    <mergeCell ref="B13:P13"/>
    <mergeCell ref="C16:D16"/>
    <mergeCell ref="I16:J16"/>
    <mergeCell ref="O5:P5"/>
    <mergeCell ref="E19:F19"/>
    <mergeCell ref="G19:H19"/>
    <mergeCell ref="C22:D22"/>
    <mergeCell ref="G18:H18"/>
    <mergeCell ref="I18:J18"/>
    <mergeCell ref="M16:N16"/>
    <mergeCell ref="O16:P16"/>
    <mergeCell ref="M15:N15"/>
    <mergeCell ref="B24:P24"/>
    <mergeCell ref="E15:F15"/>
    <mergeCell ref="G15:H15"/>
    <mergeCell ref="G5:H5"/>
    <mergeCell ref="E22:P22"/>
    <mergeCell ref="I5:J5"/>
    <mergeCell ref="M18:N18"/>
    <mergeCell ref="C23:D23"/>
    <mergeCell ref="E16:F16"/>
    <mergeCell ref="G16:H16"/>
    <mergeCell ref="B3:P3"/>
    <mergeCell ref="C19:D19"/>
    <mergeCell ref="I19:J19"/>
    <mergeCell ref="K19:L19"/>
    <mergeCell ref="M19:N19"/>
    <mergeCell ref="C18:D18"/>
    <mergeCell ref="E18:F18"/>
    <mergeCell ref="K18:L18"/>
    <mergeCell ref="B21:P2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2026-10-07T08:30:36Z</dcterms:created>
  <dcterms:modified xmlns:dcterms="http://purl.org/dc/terms/" xmlns:xsi="http://www.w3.org/2001/XMLSchema-instance" xsi:type="dcterms:W3CDTF">2026-10-07T08:30:36Z</dcterms:modified>
  <cp:lastModifiedBy>Чаплигін lлля</cp:lastModifiedBy>
</cp:coreProperties>
</file>