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3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+#,##0.00&quot; ₴&quot;;-#,##0.00&quot; ₴&quot;"/>
    <numFmt numFmtId="186" formatCode="&quot;маржа &quot;0%"/>
  </numFmts>
  <fonts count="56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223A5E"/>
      <sz val="9"/>
    </font>
    <font>
      <name val="Arial"/>
      <b val="1"/>
      <color rgb="005E6D7E"/>
      <sz val="9"/>
    </font>
    <font>
      <name val="Arial"/>
      <b val="1"/>
      <color rgb="00172B46"/>
      <sz val="14"/>
    </font>
    <font>
      <name val="Arial"/>
      <color rgb="005E6D7E"/>
      <sz val="8"/>
    </font>
    <font>
      <name val="Arial"/>
      <b val="1"/>
      <color rgb="00223A5E"/>
      <sz val="14"/>
    </font>
    <font>
      <name val="Arial"/>
      <b val="1"/>
      <color rgb="00172B46"/>
      <sz val="17"/>
    </font>
    <font>
      <name val="Arial"/>
      <b val="1"/>
      <color rgb="00172B46"/>
      <sz val="13"/>
    </font>
    <font>
      <name val="Arial"/>
      <color rgb="003E8E96"/>
      <sz val="10"/>
    </font>
    <font>
      <name val="Arial"/>
      <color rgb="0046538A"/>
      <sz val="10"/>
    </font>
    <font>
      <name val="Arial"/>
      <b val="1"/>
      <color rgb="00223A5E"/>
      <sz val="13"/>
    </font>
    <font>
      <name val="Arial"/>
      <b val="1"/>
      <color rgb="00223A5E"/>
      <sz val="10"/>
    </font>
    <font>
      <name val="Arial"/>
      <color rgb="00C4820A"/>
      <sz val="10"/>
    </font>
    <font>
      <name val="Arial"/>
      <color rgb="00F9A50B"/>
      <sz val="10"/>
    </font>
    <font>
      <name val="Arial"/>
      <color rgb="008890B0"/>
      <sz val="10"/>
    </font>
    <font>
      <name val="Arial"/>
      <b val="1"/>
      <color rgb="00FFFFFF"/>
      <sz val="9"/>
    </font>
    <font>
      <name val="Arial"/>
      <color rgb="00008000"/>
      <sz val="10"/>
    </font>
    <font>
      <name val="Arial"/>
      <b val="1"/>
      <color rgb="000000FF"/>
      <sz val="11"/>
    </font>
    <font>
      <name val="Arial"/>
      <color rgb="00172B46"/>
      <sz val="11"/>
    </font>
    <font>
      <name val="Arial"/>
      <b val="1"/>
      <color rgb="00172B46"/>
      <sz val="11"/>
    </font>
    <font>
      <name val="Arial"/>
      <color rgb="00008000"/>
      <sz val="11"/>
    </font>
    <font>
      <name val="Arial"/>
      <b val="1"/>
      <color rgb="005E6D7E"/>
      <sz val="8"/>
    </font>
    <font>
      <name val="Arial"/>
      <b val="1"/>
      <color rgb="00008000"/>
      <sz val="11"/>
    </font>
    <font>
      <name val="Arial"/>
      <i val="1"/>
      <color rgb="005E6D7E"/>
      <sz val="8"/>
    </font>
    <font>
      <name val="Arial"/>
      <i val="1"/>
      <color rgb="005E6D7E"/>
      <sz val="9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FCE3A6"/>
      </patternFill>
    </fill>
    <fill>
      <patternFill patternType="solid">
        <fgColor rgb="003E5A85"/>
      </patternFill>
    </fill>
    <fill>
      <patternFill patternType="solid">
        <fgColor rgb="00F2F5F9"/>
      </patternFill>
    </fill>
    <fill>
      <patternFill patternType="solid">
        <fgColor rgb="00FFF4D2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bottom style="medium">
        <color rgb="00223A5E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194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2" fillId="0" borderId="24" applyAlignment="1" pivotButton="0" quotePrefix="0" xfId="0">
      <alignment horizontal="left" vertical="center" wrapText="1"/>
    </xf>
    <xf numFmtId="0" fontId="0" fillId="0" borderId="24" pivotButton="0" quotePrefix="0" xfId="0"/>
    <xf numFmtId="0" fontId="33" fillId="0" borderId="0" applyAlignment="1" pivotButton="0" quotePrefix="0" xfId="0">
      <alignment horizontal="center" vertical="center" wrapText="1"/>
    </xf>
    <xf numFmtId="171" fontId="34" fillId="25" borderId="25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178" fontId="34" fillId="25" borderId="25" applyAlignment="1" pivotButton="0" quotePrefix="0" xfId="0">
      <alignment horizontal="center" vertical="center" wrapText="1"/>
    </xf>
    <xf numFmtId="172" fontId="37" fillId="26" borderId="25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171" fontId="38" fillId="0" borderId="25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173" fontId="39" fillId="0" borderId="0" applyAlignment="1" pivotButton="0" quotePrefix="0" xfId="0">
      <alignment horizontal="center" vertical="center" wrapText="1"/>
    </xf>
    <xf numFmtId="173" fontId="40" fillId="0" borderId="0" applyAlignment="1" pivotButton="0" quotePrefix="0" xfId="0">
      <alignment horizontal="center" vertical="center" wrapText="1"/>
    </xf>
    <xf numFmtId="173" fontId="42" fillId="0" borderId="0" applyAlignment="1" pivotButton="0" quotePrefix="0" xfId="0">
      <alignment horizontal="center" vertical="center" wrapText="1"/>
    </xf>
    <xf numFmtId="173" fontId="43" fillId="0" borderId="0" applyAlignment="1" pivotButton="0" quotePrefix="0" xfId="0">
      <alignment horizontal="center" vertical="center" wrapText="1"/>
    </xf>
    <xf numFmtId="173" fontId="44" fillId="0" borderId="0" applyAlignment="1" pivotButton="0" quotePrefix="0" xfId="0">
      <alignment horizontal="center" vertical="center" wrapText="1"/>
    </xf>
    <xf numFmtId="173" fontId="45" fillId="0" borderId="0" applyAlignment="1" pivotButton="0" quotePrefix="0" xfId="0">
      <alignment horizontal="center" vertical="center" wrapText="1"/>
    </xf>
    <xf numFmtId="0" fontId="46" fillId="27" borderId="0" applyAlignment="1" pivotButton="0" quotePrefix="0" xfId="0">
      <alignment horizontal="center" vertical="center" wrapText="1"/>
    </xf>
    <xf numFmtId="0" fontId="47" fillId="28" borderId="0" applyAlignment="1" pivotButton="0" quotePrefix="0" xfId="0">
      <alignment horizontal="left" vertical="center" wrapText="1"/>
    </xf>
    <xf numFmtId="172" fontId="48" fillId="29" borderId="25" applyAlignment="1" pivotButton="0" quotePrefix="0" xfId="0">
      <alignment horizontal="center" vertical="center" wrapText="1"/>
    </xf>
    <xf numFmtId="172" fontId="49" fillId="28" borderId="0" applyAlignment="1" pivotButton="0" quotePrefix="0" xfId="0">
      <alignment horizontal="center" vertical="center" wrapText="1"/>
    </xf>
    <xf numFmtId="9" fontId="50" fillId="28" borderId="0" applyAlignment="1" pivotButton="0" quotePrefix="0" xfId="0">
      <alignment horizontal="center" vertical="center" wrapText="1"/>
    </xf>
    <xf numFmtId="171" fontId="51" fillId="28" borderId="0" applyAlignment="1" pivotButton="0" quotePrefix="0" xfId="0">
      <alignment horizontal="center" vertical="center" wrapText="1"/>
    </xf>
    <xf numFmtId="185" fontId="49" fillId="28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left" vertical="center" wrapText="1"/>
    </xf>
    <xf numFmtId="172" fontId="49" fillId="0" borderId="0" applyAlignment="1" pivotButton="0" quotePrefix="0" xfId="0">
      <alignment horizontal="center" vertical="center" wrapText="1"/>
    </xf>
    <xf numFmtId="9" fontId="50" fillId="0" borderId="0" applyAlignment="1" pivotButton="0" quotePrefix="0" xfId="0">
      <alignment horizontal="center" vertical="center" wrapText="1"/>
    </xf>
    <xf numFmtId="171" fontId="51" fillId="0" borderId="0" applyAlignment="1" pivotButton="0" quotePrefix="0" xfId="0">
      <alignment horizontal="center" vertical="center" wrapText="1"/>
    </xf>
    <xf numFmtId="185" fontId="49" fillId="0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center" vertical="center" wrapText="1"/>
    </xf>
    <xf numFmtId="171" fontId="48" fillId="29" borderId="25" applyAlignment="1" pivotButton="0" quotePrefix="0" xfId="0">
      <alignment horizontal="center" vertical="center" wrapText="1"/>
    </xf>
    <xf numFmtId="173" fontId="48" fillId="29" borderId="25" applyAlignment="1" pivotButton="0" quotePrefix="0" xfId="0">
      <alignment horizontal="center" vertical="center" wrapText="1"/>
    </xf>
    <xf numFmtId="173" fontId="53" fillId="28" borderId="25" applyAlignment="1" pivotButton="0" quotePrefix="0" xfId="0">
      <alignment horizontal="center" vertical="center" wrapText="1"/>
    </xf>
    <xf numFmtId="170" fontId="53" fillId="28" borderId="25" applyAlignment="1" pivotButton="0" quotePrefix="0" xfId="0">
      <alignment horizontal="center" vertical="center" wrapText="1"/>
    </xf>
    <xf numFmtId="2" fontId="53" fillId="28" borderId="25" applyAlignment="1" pivotButton="0" quotePrefix="0" xfId="0">
      <alignment horizontal="center" vertical="center" wrapText="1"/>
    </xf>
    <xf numFmtId="3" fontId="48" fillId="29" borderId="25" applyAlignment="1" pivotButton="0" quotePrefix="0" xfId="0">
      <alignment horizontal="center" vertical="center" wrapText="1"/>
    </xf>
    <xf numFmtId="2" fontId="48" fillId="29" borderId="25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186" fontId="48" fillId="29" borderId="25" applyAlignment="1" pivotButton="0" quotePrefix="0" xfId="0">
      <alignment horizontal="center" vertical="center" wrapText="1"/>
    </xf>
    <xf numFmtId="0" fontId="55" fillId="0" borderId="0" applyAlignment="1" pivotButton="0" quotePrefix="0" xfId="0">
      <alignment horizontal="left" vertical="center" wrapText="1"/>
    </xf>
    <xf numFmtId="172" fontId="38" fillId="25" borderId="25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1.308515625</v>
      </c>
      <c r="F11" s="131">
        <f>IF(AND(ISNUMBER(E11),ISNUMBER($D$8)),E11*$D$3,NA())</f>
        <v>66.99600000000001</v>
      </c>
      <c r="G11" s="132">
        <f>F11/$D$8</f>
        <v>167.49</v>
      </c>
      <c r="H11" s="133">
        <f>G11*$D$4</f>
        <v>41.8725</v>
      </c>
      <c r="I11" s="134">
        <f>G11-F11-H11</f>
        <v>58.6215</v>
      </c>
      <c r="J11" s="13">
        <f>I11/G11</f>
        <v>0.35</v>
      </c>
      <c r="K11" s="135">
        <f>G11*$D$6</f>
        <v>234.486</v>
      </c>
      <c r="L11" s="136">
        <f>F11/(1-$D$4)</f>
        <v>89.32800000000002</v>
      </c>
      <c r="M11" s="136">
        <f>L11*$D$6</f>
        <v>125.05920000000002</v>
      </c>
      <c r="N11" s="137">
        <f>G11-F11</f>
        <v>100.494</v>
      </c>
      <c r="O11" s="138">
        <f>N11-H11</f>
        <v>58.6215</v>
      </c>
      <c r="P11" s="139">
        <f>$F11/(1-$D$4-$P$9)</f>
        <v>148.88000000000002</v>
      </c>
      <c r="Q11" s="140">
        <f>P11*$D$4</f>
        <v>37.220000000000006</v>
      </c>
      <c r="R11" s="141">
        <f>P11-$F11-Q11</f>
        <v>44.66400000000001</v>
      </c>
      <c r="S11" s="44">
        <f>R11/P11</f>
        <v>0.3</v>
      </c>
      <c r="T11" s="139">
        <f>P11*$D$6</f>
        <v>208.43200000000002</v>
      </c>
      <c r="U11" s="139">
        <f>$F11/(1-$D$4-$U$9)</f>
        <v>133.99200000000002</v>
      </c>
      <c r="V11" s="140">
        <f>U11*$D$4</f>
        <v>33.498000000000005</v>
      </c>
      <c r="W11" s="141">
        <f>U11-$F11-V11</f>
        <v>33.498000000000005</v>
      </c>
      <c r="X11" s="44">
        <f>W11/U11</f>
        <v>0.25</v>
      </c>
      <c r="Y11" s="139">
        <f>U11*$D$6</f>
        <v>187.58880000000002</v>
      </c>
      <c r="Z11" s="139">
        <f>$F11/(1-$D$4-$Z$9)</f>
        <v>121.81090909090909</v>
      </c>
      <c r="AA11" s="140">
        <f>Z11*$D$4</f>
        <v>30.452727272727273</v>
      </c>
      <c r="AB11" s="141">
        <f>Z11-$F11-AA11</f>
        <v>24.36218181818181</v>
      </c>
      <c r="AC11" s="44">
        <f>AB11/Z11</f>
        <v>0.19999999999999993</v>
      </c>
      <c r="AD11" s="139">
        <f>Z11*$D$6</f>
        <v>170.5352727272727</v>
      </c>
      <c r="AE11" s="139">
        <f>$F11/(1-$D$4-$AE$9)</f>
        <v>111.66000000000003</v>
      </c>
      <c r="AF11" s="140">
        <f>AE11*$D$4</f>
        <v>27.915000000000006</v>
      </c>
      <c r="AG11" s="141">
        <f>AE11-$F11-AF11</f>
        <v>16.74900000000001</v>
      </c>
      <c r="AH11" s="44">
        <f>AG11/AE11</f>
        <v>0.15000000000000005</v>
      </c>
      <c r="AI11" s="139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1.308515625</v>
      </c>
      <c r="F12" s="131">
        <f>IF(AND(ISNUMBER(E12),ISNUMBER($D$8)),E12*$D$3,NA())</f>
        <v>66.99600000000001</v>
      </c>
      <c r="G12" s="132">
        <f>F12/$D$8</f>
        <v>167.49</v>
      </c>
      <c r="H12" s="133">
        <f>G12*$D$4</f>
        <v>41.8725</v>
      </c>
      <c r="I12" s="134">
        <f>G12-F12-H12</f>
        <v>58.6215</v>
      </c>
      <c r="J12" s="13">
        <f>I12/G12</f>
        <v>0.35</v>
      </c>
      <c r="K12" s="135">
        <f>G12*$D$6</f>
        <v>234.486</v>
      </c>
      <c r="L12" s="136">
        <f>F12/(1-$D$4)</f>
        <v>89.32800000000002</v>
      </c>
      <c r="M12" s="136">
        <f>L12*$D$6</f>
        <v>125.05920000000002</v>
      </c>
      <c r="N12" s="137">
        <f>G12-F12</f>
        <v>100.494</v>
      </c>
      <c r="O12" s="138">
        <f>N12-H12</f>
        <v>58.6215</v>
      </c>
      <c r="P12" s="139">
        <f>$F12/(1-$D$4-$P$9)</f>
        <v>148.88000000000002</v>
      </c>
      <c r="Q12" s="140">
        <f>P12*$D$4</f>
        <v>37.220000000000006</v>
      </c>
      <c r="R12" s="141">
        <f>P12-$F12-Q12</f>
        <v>44.66400000000001</v>
      </c>
      <c r="S12" s="44">
        <f>R12/P12</f>
        <v>0.3</v>
      </c>
      <c r="T12" s="139">
        <f>P12*$D$6</f>
        <v>208.43200000000002</v>
      </c>
      <c r="U12" s="139">
        <f>$F12/(1-$D$4-$U$9)</f>
        <v>133.99200000000002</v>
      </c>
      <c r="V12" s="140">
        <f>U12*$D$4</f>
        <v>33.498000000000005</v>
      </c>
      <c r="W12" s="141">
        <f>U12-$F12-V12</f>
        <v>33.498000000000005</v>
      </c>
      <c r="X12" s="44">
        <f>W12/U12</f>
        <v>0.25</v>
      </c>
      <c r="Y12" s="139">
        <f>U12*$D$6</f>
        <v>187.58880000000002</v>
      </c>
      <c r="Z12" s="139">
        <f>$F12/(1-$D$4-$Z$9)</f>
        <v>121.81090909090909</v>
      </c>
      <c r="AA12" s="140">
        <f>Z12*$D$4</f>
        <v>30.452727272727273</v>
      </c>
      <c r="AB12" s="141">
        <f>Z12-$F12-AA12</f>
        <v>24.36218181818181</v>
      </c>
      <c r="AC12" s="44">
        <f>AB12/Z12</f>
        <v>0.19999999999999993</v>
      </c>
      <c r="AD12" s="139">
        <f>Z12*$D$6</f>
        <v>170.5352727272727</v>
      </c>
      <c r="AE12" s="139">
        <f>$F12/(1-$D$4-$AE$9)</f>
        <v>111.66000000000003</v>
      </c>
      <c r="AF12" s="140">
        <f>AE12*$D$4</f>
        <v>27.915000000000006</v>
      </c>
      <c r="AG12" s="141">
        <f>AE12-$F12-AF12</f>
        <v>16.74900000000001</v>
      </c>
      <c r="AH12" s="44">
        <f>AG12/AE12</f>
        <v>0.15000000000000005</v>
      </c>
      <c r="AI12" s="139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1.134046875</v>
      </c>
      <c r="F13" s="131">
        <f>IF(AND(ISNUMBER(E13),ISNUMBER($D$8)),E13*$D$3,NA())</f>
        <v>58.063199999999995</v>
      </c>
      <c r="G13" s="132">
        <f>F13/$D$8</f>
        <v>145.158</v>
      </c>
      <c r="H13" s="133">
        <f>G13*$D$4</f>
        <v>36.2895</v>
      </c>
      <c r="I13" s="134">
        <f>G13-F13-H13</f>
        <v>50.805299999999995</v>
      </c>
      <c r="J13" s="13">
        <f>I13/G13</f>
        <v>0.35</v>
      </c>
      <c r="K13" s="135">
        <f>G13*$D$6</f>
        <v>203.22119999999998</v>
      </c>
      <c r="L13" s="136">
        <f>F13/(1-$D$4)</f>
        <v>77.4176</v>
      </c>
      <c r="M13" s="136">
        <f>L13*$D$6</f>
        <v>108.38463999999999</v>
      </c>
      <c r="N13" s="137">
        <f>G13-F13</f>
        <v>87.09479999999999</v>
      </c>
      <c r="O13" s="138">
        <f>N13-H13</f>
        <v>50.805299999999995</v>
      </c>
      <c r="P13" s="139">
        <f>$F13/(1-$D$4-$P$9)</f>
        <v>129.0293333333333</v>
      </c>
      <c r="Q13" s="140">
        <f>P13*$D$4</f>
        <v>32.25733333333333</v>
      </c>
      <c r="R13" s="141">
        <f>P13-$F13-Q13</f>
        <v>38.70879999999999</v>
      </c>
      <c r="S13" s="44">
        <f>R13/P13</f>
        <v>0.3</v>
      </c>
      <c r="T13" s="139">
        <f>P13*$D$6</f>
        <v>180.64106666666663</v>
      </c>
      <c r="U13" s="139">
        <f>$F13/(1-$D$4-$U$9)</f>
        <v>116.12639999999999</v>
      </c>
      <c r="V13" s="140">
        <f>U13*$D$4</f>
        <v>29.031599999999997</v>
      </c>
      <c r="W13" s="141">
        <f>U13-$F13-V13</f>
        <v>29.031599999999997</v>
      </c>
      <c r="X13" s="44">
        <f>W13/U13</f>
        <v>0.25</v>
      </c>
      <c r="Y13" s="139">
        <f>U13*$D$6</f>
        <v>162.57695999999999</v>
      </c>
      <c r="Z13" s="139">
        <f>$F13/(1-$D$4-$Z$9)</f>
        <v>105.56945454545453</v>
      </c>
      <c r="AA13" s="140">
        <f>Z13*$D$4</f>
        <v>26.392363636363633</v>
      </c>
      <c r="AB13" s="141">
        <f>Z13-$F13-AA13</f>
        <v>21.113890909090905</v>
      </c>
      <c r="AC13" s="44">
        <f>AB13/Z13</f>
        <v>0.19999999999999998</v>
      </c>
      <c r="AD13" s="139">
        <f>Z13*$D$6</f>
        <v>147.79723636363633</v>
      </c>
      <c r="AE13" s="139">
        <f>$F13/(1-$D$4-$AE$9)</f>
        <v>96.77199999999999</v>
      </c>
      <c r="AF13" s="140">
        <f>AE13*$D$4</f>
        <v>24.192999999999998</v>
      </c>
      <c r="AG13" s="141">
        <f>AE13-$F13-AF13</f>
        <v>14.515799999999999</v>
      </c>
      <c r="AH13" s="44">
        <f>AG13/AE13</f>
        <v>0.15</v>
      </c>
      <c r="AI13" s="139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1.134046875</v>
      </c>
      <c r="F14" s="131">
        <f>IF(AND(ISNUMBER(E14),ISNUMBER($D$8)),E14*$D$3,NA())</f>
        <v>58.063199999999995</v>
      </c>
      <c r="G14" s="132">
        <f>F14/$D$8</f>
        <v>145.158</v>
      </c>
      <c r="H14" s="133">
        <f>G14*$D$4</f>
        <v>36.2895</v>
      </c>
      <c r="I14" s="134">
        <f>G14-F14-H14</f>
        <v>50.805299999999995</v>
      </c>
      <c r="J14" s="13">
        <f>I14/G14</f>
        <v>0.35</v>
      </c>
      <c r="K14" s="135">
        <f>G14*$D$6</f>
        <v>203.22119999999998</v>
      </c>
      <c r="L14" s="136">
        <f>F14/(1-$D$4)</f>
        <v>77.4176</v>
      </c>
      <c r="M14" s="136">
        <f>L14*$D$6</f>
        <v>108.38463999999999</v>
      </c>
      <c r="N14" s="137">
        <f>G14-F14</f>
        <v>87.09479999999999</v>
      </c>
      <c r="O14" s="138">
        <f>N14-H14</f>
        <v>50.805299999999995</v>
      </c>
      <c r="P14" s="139">
        <f>$F14/(1-$D$4-$P$9)</f>
        <v>129.0293333333333</v>
      </c>
      <c r="Q14" s="140">
        <f>P14*$D$4</f>
        <v>32.25733333333333</v>
      </c>
      <c r="R14" s="141">
        <f>P14-$F14-Q14</f>
        <v>38.70879999999999</v>
      </c>
      <c r="S14" s="44">
        <f>R14/P14</f>
        <v>0.3</v>
      </c>
      <c r="T14" s="139">
        <f>P14*$D$6</f>
        <v>180.64106666666663</v>
      </c>
      <c r="U14" s="139">
        <f>$F14/(1-$D$4-$U$9)</f>
        <v>116.12639999999999</v>
      </c>
      <c r="V14" s="140">
        <f>U14*$D$4</f>
        <v>29.031599999999997</v>
      </c>
      <c r="W14" s="141">
        <f>U14-$F14-V14</f>
        <v>29.031599999999997</v>
      </c>
      <c r="X14" s="44">
        <f>W14/U14</f>
        <v>0.25</v>
      </c>
      <c r="Y14" s="139">
        <f>U14*$D$6</f>
        <v>162.57695999999999</v>
      </c>
      <c r="Z14" s="139">
        <f>$F14/(1-$D$4-$Z$9)</f>
        <v>105.56945454545453</v>
      </c>
      <c r="AA14" s="140">
        <f>Z14*$D$4</f>
        <v>26.392363636363633</v>
      </c>
      <c r="AB14" s="141">
        <f>Z14-$F14-AA14</f>
        <v>21.113890909090905</v>
      </c>
      <c r="AC14" s="44">
        <f>AB14/Z14</f>
        <v>0.19999999999999998</v>
      </c>
      <c r="AD14" s="139">
        <f>Z14*$D$6</f>
        <v>147.79723636363633</v>
      </c>
      <c r="AE14" s="139">
        <f>$F14/(1-$D$4-$AE$9)</f>
        <v>96.77199999999999</v>
      </c>
      <c r="AF14" s="140">
        <f>AE14*$D$4</f>
        <v>24.192999999999998</v>
      </c>
      <c r="AG14" s="141">
        <f>AE14-$F14-AF14</f>
        <v>14.515799999999999</v>
      </c>
      <c r="AH14" s="44">
        <f>AG14/AE14</f>
        <v>0.15</v>
      </c>
      <c r="AI14" s="139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1.134046875</v>
      </c>
      <c r="F15" s="131">
        <f>IF(AND(ISNUMBER(E15),ISNUMBER($D$8)),E15*$D$3,NA())</f>
        <v>58.063199999999995</v>
      </c>
      <c r="G15" s="132">
        <f>F15/$D$8</f>
        <v>145.158</v>
      </c>
      <c r="H15" s="133">
        <f>G15*$D$4</f>
        <v>36.2895</v>
      </c>
      <c r="I15" s="134">
        <f>G15-F15-H15</f>
        <v>50.805299999999995</v>
      </c>
      <c r="J15" s="13">
        <f>I15/G15</f>
        <v>0.35</v>
      </c>
      <c r="K15" s="135">
        <f>G15*$D$6</f>
        <v>203.22119999999998</v>
      </c>
      <c r="L15" s="136">
        <f>F15/(1-$D$4)</f>
        <v>77.4176</v>
      </c>
      <c r="M15" s="136">
        <f>L15*$D$6</f>
        <v>108.38463999999999</v>
      </c>
      <c r="N15" s="137">
        <f>G15-F15</f>
        <v>87.09479999999999</v>
      </c>
      <c r="O15" s="138">
        <f>N15-H15</f>
        <v>50.805299999999995</v>
      </c>
      <c r="P15" s="139">
        <f>$F15/(1-$D$4-$P$9)</f>
        <v>129.0293333333333</v>
      </c>
      <c r="Q15" s="140">
        <f>P15*$D$4</f>
        <v>32.25733333333333</v>
      </c>
      <c r="R15" s="141">
        <f>P15-$F15-Q15</f>
        <v>38.70879999999999</v>
      </c>
      <c r="S15" s="44">
        <f>R15/P15</f>
        <v>0.3</v>
      </c>
      <c r="T15" s="139">
        <f>P15*$D$6</f>
        <v>180.64106666666663</v>
      </c>
      <c r="U15" s="139">
        <f>$F15/(1-$D$4-$U$9)</f>
        <v>116.12639999999999</v>
      </c>
      <c r="V15" s="140">
        <f>U15*$D$4</f>
        <v>29.031599999999997</v>
      </c>
      <c r="W15" s="141">
        <f>U15-$F15-V15</f>
        <v>29.031599999999997</v>
      </c>
      <c r="X15" s="44">
        <f>W15/U15</f>
        <v>0.25</v>
      </c>
      <c r="Y15" s="139">
        <f>U15*$D$6</f>
        <v>162.57695999999999</v>
      </c>
      <c r="Z15" s="139">
        <f>$F15/(1-$D$4-$Z$9)</f>
        <v>105.56945454545453</v>
      </c>
      <c r="AA15" s="140">
        <f>Z15*$D$4</f>
        <v>26.392363636363633</v>
      </c>
      <c r="AB15" s="141">
        <f>Z15-$F15-AA15</f>
        <v>21.113890909090905</v>
      </c>
      <c r="AC15" s="44">
        <f>AB15/Z15</f>
        <v>0.19999999999999998</v>
      </c>
      <c r="AD15" s="139">
        <f>Z15*$D$6</f>
        <v>147.79723636363633</v>
      </c>
      <c r="AE15" s="139">
        <f>$F15/(1-$D$4-$AE$9)</f>
        <v>96.77199999999999</v>
      </c>
      <c r="AF15" s="140">
        <f>AE15*$D$4</f>
        <v>24.192999999999998</v>
      </c>
      <c r="AG15" s="141">
        <f>AE15-$F15-AF15</f>
        <v>14.515799999999999</v>
      </c>
      <c r="AH15" s="44">
        <f>AG15/AE15</f>
        <v>0.15</v>
      </c>
      <c r="AI15" s="139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1.134046875</v>
      </c>
      <c r="F16" s="131">
        <f>IF(AND(ISNUMBER(E16),ISNUMBER($D$8)),E16*$D$3,NA())</f>
        <v>58.063199999999995</v>
      </c>
      <c r="G16" s="132">
        <f>F16/$D$8</f>
        <v>145.158</v>
      </c>
      <c r="H16" s="133">
        <f>G16*$D$4</f>
        <v>36.2895</v>
      </c>
      <c r="I16" s="134">
        <f>G16-F16-H16</f>
        <v>50.805299999999995</v>
      </c>
      <c r="J16" s="13">
        <f>I16/G16</f>
        <v>0.35</v>
      </c>
      <c r="K16" s="135">
        <f>G16*$D$6</f>
        <v>203.22119999999998</v>
      </c>
      <c r="L16" s="136">
        <f>F16/(1-$D$4)</f>
        <v>77.4176</v>
      </c>
      <c r="M16" s="136">
        <f>L16*$D$6</f>
        <v>108.38463999999999</v>
      </c>
      <c r="N16" s="137">
        <f>G16-F16</f>
        <v>87.09479999999999</v>
      </c>
      <c r="O16" s="138">
        <f>N16-H16</f>
        <v>50.805299999999995</v>
      </c>
      <c r="P16" s="139">
        <f>$F16/(1-$D$4-$P$9)</f>
        <v>129.0293333333333</v>
      </c>
      <c r="Q16" s="140">
        <f>P16*$D$4</f>
        <v>32.25733333333333</v>
      </c>
      <c r="R16" s="141">
        <f>P16-$F16-Q16</f>
        <v>38.70879999999999</v>
      </c>
      <c r="S16" s="44">
        <f>R16/P16</f>
        <v>0.3</v>
      </c>
      <c r="T16" s="139">
        <f>P16*$D$6</f>
        <v>180.64106666666663</v>
      </c>
      <c r="U16" s="139">
        <f>$F16/(1-$D$4-$U$9)</f>
        <v>116.12639999999999</v>
      </c>
      <c r="V16" s="140">
        <f>U16*$D$4</f>
        <v>29.031599999999997</v>
      </c>
      <c r="W16" s="141">
        <f>U16-$F16-V16</f>
        <v>29.031599999999997</v>
      </c>
      <c r="X16" s="44">
        <f>W16/U16</f>
        <v>0.25</v>
      </c>
      <c r="Y16" s="139">
        <f>U16*$D$6</f>
        <v>162.57695999999999</v>
      </c>
      <c r="Z16" s="139">
        <f>$F16/(1-$D$4-$Z$9)</f>
        <v>105.56945454545453</v>
      </c>
      <c r="AA16" s="140">
        <f>Z16*$D$4</f>
        <v>26.392363636363633</v>
      </c>
      <c r="AB16" s="141">
        <f>Z16-$F16-AA16</f>
        <v>21.113890909090905</v>
      </c>
      <c r="AC16" s="44">
        <f>AB16/Z16</f>
        <v>0.19999999999999998</v>
      </c>
      <c r="AD16" s="139">
        <f>Z16*$D$6</f>
        <v>147.79723636363633</v>
      </c>
      <c r="AE16" s="139">
        <f>$F16/(1-$D$4-$AE$9)</f>
        <v>96.77199999999999</v>
      </c>
      <c r="AF16" s="140">
        <f>AE16*$D$4</f>
        <v>24.192999999999998</v>
      </c>
      <c r="AG16" s="141">
        <f>AE16-$F16-AF16</f>
        <v>14.515799999999999</v>
      </c>
      <c r="AH16" s="44">
        <f>AG16/AE16</f>
        <v>0.15</v>
      </c>
      <c r="AI16" s="139">
        <f>AE16*$D$6</f>
        <v>135.4808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1.308515625</v>
      </c>
      <c r="G22" s="146">
        <f>E12</f>
        <v>1.308515625</v>
      </c>
      <c r="H22" s="146">
        <f>E13</f>
        <v>1.134046875</v>
      </c>
      <c r="I22" s="146">
        <f>E14</f>
        <v>1.134046875</v>
      </c>
      <c r="J22" s="146">
        <f>E15</f>
        <v>1.134046875</v>
      </c>
      <c r="K22" s="146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66.99600000000001</v>
      </c>
      <c r="G24" s="147">
        <f>F12</f>
        <v>66.99600000000001</v>
      </c>
      <c r="H24" s="147">
        <f>F13</f>
        <v>58.063199999999995</v>
      </c>
      <c r="I24" s="147">
        <f>F14</f>
        <v>58.063199999999995</v>
      </c>
      <c r="J24" s="147">
        <f>F15</f>
        <v>58.063199999999995</v>
      </c>
      <c r="K24" s="147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167.49</v>
      </c>
      <c r="G30" s="148">
        <f>G12</f>
        <v>167.49</v>
      </c>
      <c r="H30" s="148">
        <f>G13</f>
        <v>145.158</v>
      </c>
      <c r="I30" s="148">
        <f>G14</f>
        <v>145.158</v>
      </c>
      <c r="J30" s="148">
        <f>G15</f>
        <v>145.158</v>
      </c>
      <c r="K30" s="148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100.494</v>
      </c>
      <c r="G31" s="147">
        <f>N12</f>
        <v>100.494</v>
      </c>
      <c r="H31" s="147">
        <f>N13</f>
        <v>87.09479999999999</v>
      </c>
      <c r="I31" s="147">
        <f>N14</f>
        <v>87.09479999999999</v>
      </c>
      <c r="J31" s="147">
        <f>N15</f>
        <v>87.09479999999999</v>
      </c>
      <c r="K31" s="147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41.8725</v>
      </c>
      <c r="G32" s="147">
        <f>H12</f>
        <v>41.8725</v>
      </c>
      <c r="H32" s="147">
        <f>H13</f>
        <v>36.2895</v>
      </c>
      <c r="I32" s="147">
        <f>H14</f>
        <v>36.2895</v>
      </c>
      <c r="J32" s="147">
        <f>H15</f>
        <v>36.2895</v>
      </c>
      <c r="K32" s="147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58.6215</v>
      </c>
      <c r="G33" s="149">
        <f>I12</f>
        <v>58.6215</v>
      </c>
      <c r="H33" s="149">
        <f>I13</f>
        <v>50.805299999999995</v>
      </c>
      <c r="I33" s="149">
        <f>I14</f>
        <v>50.805299999999995</v>
      </c>
      <c r="J33" s="149">
        <f>I15</f>
        <v>50.805299999999995</v>
      </c>
      <c r="K33" s="149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234.486</v>
      </c>
      <c r="G37" s="148">
        <f>K12</f>
        <v>234.486</v>
      </c>
      <c r="H37" s="148">
        <f>K13</f>
        <v>203.22119999999998</v>
      </c>
      <c r="I37" s="148">
        <f>K14</f>
        <v>203.22119999999998</v>
      </c>
      <c r="J37" s="148">
        <f>K15</f>
        <v>203.22119999999998</v>
      </c>
      <c r="K37" s="148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89.32800000000002</v>
      </c>
      <c r="G38" s="147">
        <f>L12</f>
        <v>89.32800000000002</v>
      </c>
      <c r="H38" s="147">
        <f>L13</f>
        <v>77.4176</v>
      </c>
      <c r="I38" s="147">
        <f>L14</f>
        <v>77.4176</v>
      </c>
      <c r="J38" s="147">
        <f>L15</f>
        <v>77.4176</v>
      </c>
      <c r="K38" s="147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125.05920000000002</v>
      </c>
      <c r="G39" s="147">
        <f>M12</f>
        <v>125.05920000000002</v>
      </c>
      <c r="H39" s="147">
        <f>M13</f>
        <v>108.38463999999999</v>
      </c>
      <c r="I39" s="147">
        <f>M14</f>
        <v>108.38463999999999</v>
      </c>
      <c r="J39" s="147">
        <f>M15</f>
        <v>108.38463999999999</v>
      </c>
      <c r="K39" s="147">
        <f>M16</f>
        <v>108.38463999999999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1.018131154266958</v>
      </c>
      <c r="F11" s="131">
        <f>IF(AND(ISNUMBER(E11),ISNUMBER($D$8)),E11*$D$3,NA())</f>
        <v>52.12831509846825</v>
      </c>
      <c r="G11" s="132">
        <f>F11/$D$8</f>
        <v>130.32078774617062</v>
      </c>
      <c r="H11" s="133">
        <f>G11*$D$4</f>
        <v>32.580196936542656</v>
      </c>
      <c r="I11" s="134">
        <f>G11-F11-H11</f>
        <v>45.61227571115972</v>
      </c>
      <c r="J11" s="13">
        <f>I11/G11</f>
        <v>0.35</v>
      </c>
      <c r="K11" s="135">
        <f>G11*$D$6</f>
        <v>182.44910284463887</v>
      </c>
      <c r="L11" s="136">
        <f>F11/(1-$D$4)</f>
        <v>69.504420131291</v>
      </c>
      <c r="M11" s="136">
        <f>L11*$D$6</f>
        <v>97.3061881838074</v>
      </c>
      <c r="N11" s="137">
        <f>G11-F11</f>
        <v>78.19247264770237</v>
      </c>
      <c r="O11" s="138">
        <f>N11-H11</f>
        <v>45.61227571115972</v>
      </c>
      <c r="P11" s="139">
        <f>$F11/(1-$D$4-$P$9)</f>
        <v>115.84070021881833</v>
      </c>
      <c r="Q11" s="140">
        <f>P11*$D$4</f>
        <v>28.96017505470458</v>
      </c>
      <c r="R11" s="141">
        <f>P11-$F11-Q11</f>
        <v>34.7522100656455</v>
      </c>
      <c r="S11" s="44">
        <f>R11/P11</f>
        <v>0.3</v>
      </c>
      <c r="T11" s="139">
        <f>P11*$D$6</f>
        <v>162.17698030634565</v>
      </c>
      <c r="U11" s="139">
        <f>$F11/(1-$D$4-$U$9)</f>
        <v>104.2566301969365</v>
      </c>
      <c r="V11" s="140">
        <f>U11*$D$4</f>
        <v>26.064157549234125</v>
      </c>
      <c r="W11" s="141">
        <f>U11-$F11-V11</f>
        <v>26.064157549234125</v>
      </c>
      <c r="X11" s="44">
        <f>W11/U11</f>
        <v>0.25</v>
      </c>
      <c r="Y11" s="139">
        <f>U11*$D$6</f>
        <v>145.95928227571108</v>
      </c>
      <c r="Z11" s="139">
        <f>$F11/(1-$D$4-$Z$9)</f>
        <v>94.77875472448771</v>
      </c>
      <c r="AA11" s="140">
        <f>Z11*$D$4</f>
        <v>23.694688681121928</v>
      </c>
      <c r="AB11" s="141">
        <f>Z11-$F11-AA11</f>
        <v>18.955750944897535</v>
      </c>
      <c r="AC11" s="44">
        <f>AB11/Z11</f>
        <v>0.19999999999999993</v>
      </c>
      <c r="AD11" s="139">
        <f>Z11*$D$6</f>
        <v>132.6902566142828</v>
      </c>
      <c r="AE11" s="139">
        <f>$F11/(1-$D$4-$AE$9)</f>
        <v>86.88052516411375</v>
      </c>
      <c r="AF11" s="140">
        <f>AE11*$D$4</f>
        <v>21.720131291028437</v>
      </c>
      <c r="AG11" s="141">
        <f>AE11-$F11-AF11</f>
        <v>13.032078774617062</v>
      </c>
      <c r="AH11" s="44">
        <f>AG11/AE11</f>
        <v>0.15</v>
      </c>
      <c r="AI11" s="139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1.018131154266958</v>
      </c>
      <c r="F12" s="131">
        <f>IF(AND(ISNUMBER(E12),ISNUMBER($D$8)),E12*$D$3,NA())</f>
        <v>52.12831509846825</v>
      </c>
      <c r="G12" s="132">
        <f>F12/$D$8</f>
        <v>130.32078774617062</v>
      </c>
      <c r="H12" s="133">
        <f>G12*$D$4</f>
        <v>32.580196936542656</v>
      </c>
      <c r="I12" s="134">
        <f>G12-F12-H12</f>
        <v>45.61227571115972</v>
      </c>
      <c r="J12" s="13">
        <f>I12/G12</f>
        <v>0.35</v>
      </c>
      <c r="K12" s="135">
        <f>G12*$D$6</f>
        <v>182.44910284463887</v>
      </c>
      <c r="L12" s="136">
        <f>F12/(1-$D$4)</f>
        <v>69.504420131291</v>
      </c>
      <c r="M12" s="136">
        <f>L12*$D$6</f>
        <v>97.3061881838074</v>
      </c>
      <c r="N12" s="137">
        <f>G12-F12</f>
        <v>78.19247264770237</v>
      </c>
      <c r="O12" s="138">
        <f>N12-H12</f>
        <v>45.61227571115972</v>
      </c>
      <c r="P12" s="139">
        <f>$F12/(1-$D$4-$P$9)</f>
        <v>115.84070021881833</v>
      </c>
      <c r="Q12" s="140">
        <f>P12*$D$4</f>
        <v>28.96017505470458</v>
      </c>
      <c r="R12" s="141">
        <f>P12-$F12-Q12</f>
        <v>34.7522100656455</v>
      </c>
      <c r="S12" s="44">
        <f>R12/P12</f>
        <v>0.3</v>
      </c>
      <c r="T12" s="139">
        <f>P12*$D$6</f>
        <v>162.17698030634565</v>
      </c>
      <c r="U12" s="139">
        <f>$F12/(1-$D$4-$U$9)</f>
        <v>104.2566301969365</v>
      </c>
      <c r="V12" s="140">
        <f>U12*$D$4</f>
        <v>26.064157549234125</v>
      </c>
      <c r="W12" s="141">
        <f>U12-$F12-V12</f>
        <v>26.064157549234125</v>
      </c>
      <c r="X12" s="44">
        <f>W12/U12</f>
        <v>0.25</v>
      </c>
      <c r="Y12" s="139">
        <f>U12*$D$6</f>
        <v>145.95928227571108</v>
      </c>
      <c r="Z12" s="139">
        <f>$F12/(1-$D$4-$Z$9)</f>
        <v>94.77875472448771</v>
      </c>
      <c r="AA12" s="140">
        <f>Z12*$D$4</f>
        <v>23.694688681121928</v>
      </c>
      <c r="AB12" s="141">
        <f>Z12-$F12-AA12</f>
        <v>18.955750944897535</v>
      </c>
      <c r="AC12" s="44">
        <f>AB12/Z12</f>
        <v>0.19999999999999993</v>
      </c>
      <c r="AD12" s="139">
        <f>Z12*$D$6</f>
        <v>132.6902566142828</v>
      </c>
      <c r="AE12" s="139">
        <f>$F12/(1-$D$4-$AE$9)</f>
        <v>86.88052516411375</v>
      </c>
      <c r="AF12" s="140">
        <f>AE12*$D$4</f>
        <v>21.720131291028437</v>
      </c>
      <c r="AG12" s="141">
        <f>AE12-$F12-AF12</f>
        <v>13.032078774617062</v>
      </c>
      <c r="AH12" s="44">
        <f>AG12/AE12</f>
        <v>0.15</v>
      </c>
      <c r="AI12" s="139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0.8823803336980306</v>
      </c>
      <c r="F13" s="131">
        <f>IF(AND(ISNUMBER(E13),ISNUMBER($D$8)),E13*$D$3,NA())</f>
        <v>45.17787308533919</v>
      </c>
      <c r="G13" s="132">
        <f>F13/$D$8</f>
        <v>112.94468271334797</v>
      </c>
      <c r="H13" s="133">
        <f>G13*$D$4</f>
        <v>28.236170678336993</v>
      </c>
      <c r="I13" s="134">
        <f>G13-F13-H13</f>
        <v>39.5306389496718</v>
      </c>
      <c r="J13" s="13">
        <f>I13/G13</f>
        <v>0.35000000000000003</v>
      </c>
      <c r="K13" s="135">
        <f>G13*$D$6</f>
        <v>158.12255579868716</v>
      </c>
      <c r="L13" s="136">
        <f>F13/(1-$D$4)</f>
        <v>60.23716411378559</v>
      </c>
      <c r="M13" s="136">
        <f>L13*$D$6</f>
        <v>84.33202975929981</v>
      </c>
      <c r="N13" s="137">
        <f>G13-F13</f>
        <v>67.76680962800879</v>
      </c>
      <c r="O13" s="138">
        <f>N13-H13</f>
        <v>39.5306389496718</v>
      </c>
      <c r="P13" s="139">
        <f>$F13/(1-$D$4-$P$9)</f>
        <v>100.39527352297598</v>
      </c>
      <c r="Q13" s="140">
        <f>P13*$D$4</f>
        <v>25.098818380743996</v>
      </c>
      <c r="R13" s="141">
        <f>P13-$F13-Q13</f>
        <v>30.118582056892794</v>
      </c>
      <c r="S13" s="44">
        <f>R13/P13</f>
        <v>0.3</v>
      </c>
      <c r="T13" s="139">
        <f>P13*$D$6</f>
        <v>140.55338293216636</v>
      </c>
      <c r="U13" s="139">
        <f>$F13/(1-$D$4-$U$9)</f>
        <v>90.35574617067839</v>
      </c>
      <c r="V13" s="140">
        <f>U13*$D$4</f>
        <v>22.588936542669597</v>
      </c>
      <c r="W13" s="141">
        <f>U13-$F13-V13</f>
        <v>22.588936542669597</v>
      </c>
      <c r="X13" s="44">
        <f>W13/U13</f>
        <v>0.25</v>
      </c>
      <c r="Y13" s="139">
        <f>U13*$D$6</f>
        <v>126.49804463894974</v>
      </c>
      <c r="Z13" s="139">
        <f>$F13/(1-$D$4-$Z$9)</f>
        <v>82.14158742788943</v>
      </c>
      <c r="AA13" s="140">
        <f>Z13*$D$4</f>
        <v>20.53539685697236</v>
      </c>
      <c r="AB13" s="141">
        <f>Z13-$F13-AA13</f>
        <v>16.42831748557788</v>
      </c>
      <c r="AC13" s="44">
        <f>AB13/Z13</f>
        <v>0.19999999999999993</v>
      </c>
      <c r="AD13" s="139">
        <f>Z13*$D$6</f>
        <v>114.9982223990452</v>
      </c>
      <c r="AE13" s="139">
        <f>$F13/(1-$D$4-$AE$9)</f>
        <v>75.29645514223199</v>
      </c>
      <c r="AF13" s="140">
        <f>AE13*$D$4</f>
        <v>18.824113785557998</v>
      </c>
      <c r="AG13" s="141">
        <f>AE13-$F13-AF13</f>
        <v>11.2944682713348</v>
      </c>
      <c r="AH13" s="44">
        <f>AG13/AE13</f>
        <v>0.15000000000000002</v>
      </c>
      <c r="AI13" s="139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0.8823803336980306</v>
      </c>
      <c r="F14" s="131">
        <f>IF(AND(ISNUMBER(E14),ISNUMBER($D$8)),E14*$D$3,NA())</f>
        <v>45.17787308533919</v>
      </c>
      <c r="G14" s="132">
        <f>F14/$D$8</f>
        <v>112.94468271334797</v>
      </c>
      <c r="H14" s="133">
        <f>G14*$D$4</f>
        <v>28.236170678336993</v>
      </c>
      <c r="I14" s="134">
        <f>G14-F14-H14</f>
        <v>39.5306389496718</v>
      </c>
      <c r="J14" s="13">
        <f>I14/G14</f>
        <v>0.35000000000000003</v>
      </c>
      <c r="K14" s="135">
        <f>G14*$D$6</f>
        <v>158.12255579868716</v>
      </c>
      <c r="L14" s="136">
        <f>F14/(1-$D$4)</f>
        <v>60.23716411378559</v>
      </c>
      <c r="M14" s="136">
        <f>L14*$D$6</f>
        <v>84.33202975929981</v>
      </c>
      <c r="N14" s="137">
        <f>G14-F14</f>
        <v>67.76680962800879</v>
      </c>
      <c r="O14" s="138">
        <f>N14-H14</f>
        <v>39.5306389496718</v>
      </c>
      <c r="P14" s="139">
        <f>$F14/(1-$D$4-$P$9)</f>
        <v>100.39527352297598</v>
      </c>
      <c r="Q14" s="140">
        <f>P14*$D$4</f>
        <v>25.098818380743996</v>
      </c>
      <c r="R14" s="141">
        <f>P14-$F14-Q14</f>
        <v>30.118582056892794</v>
      </c>
      <c r="S14" s="44">
        <f>R14/P14</f>
        <v>0.3</v>
      </c>
      <c r="T14" s="139">
        <f>P14*$D$6</f>
        <v>140.55338293216636</v>
      </c>
      <c r="U14" s="139">
        <f>$F14/(1-$D$4-$U$9)</f>
        <v>90.35574617067839</v>
      </c>
      <c r="V14" s="140">
        <f>U14*$D$4</f>
        <v>22.588936542669597</v>
      </c>
      <c r="W14" s="141">
        <f>U14-$F14-V14</f>
        <v>22.588936542669597</v>
      </c>
      <c r="X14" s="44">
        <f>W14/U14</f>
        <v>0.25</v>
      </c>
      <c r="Y14" s="139">
        <f>U14*$D$6</f>
        <v>126.49804463894974</v>
      </c>
      <c r="Z14" s="139">
        <f>$F14/(1-$D$4-$Z$9)</f>
        <v>82.14158742788943</v>
      </c>
      <c r="AA14" s="140">
        <f>Z14*$D$4</f>
        <v>20.53539685697236</v>
      </c>
      <c r="AB14" s="141">
        <f>Z14-$F14-AA14</f>
        <v>16.42831748557788</v>
      </c>
      <c r="AC14" s="44">
        <f>AB14/Z14</f>
        <v>0.19999999999999993</v>
      </c>
      <c r="AD14" s="139">
        <f>Z14*$D$6</f>
        <v>114.9982223990452</v>
      </c>
      <c r="AE14" s="139">
        <f>$F14/(1-$D$4-$AE$9)</f>
        <v>75.29645514223199</v>
      </c>
      <c r="AF14" s="140">
        <f>AE14*$D$4</f>
        <v>18.824113785557998</v>
      </c>
      <c r="AG14" s="141">
        <f>AE14-$F14-AF14</f>
        <v>11.2944682713348</v>
      </c>
      <c r="AH14" s="44">
        <f>AG14/AE14</f>
        <v>0.15000000000000002</v>
      </c>
      <c r="AI14" s="139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0.8823803336980306</v>
      </c>
      <c r="F15" s="131">
        <f>IF(AND(ISNUMBER(E15),ISNUMBER($D$8)),E15*$D$3,NA())</f>
        <v>45.17787308533919</v>
      </c>
      <c r="G15" s="132">
        <f>F15/$D$8</f>
        <v>112.94468271334797</v>
      </c>
      <c r="H15" s="133">
        <f>G15*$D$4</f>
        <v>28.236170678336993</v>
      </c>
      <c r="I15" s="134">
        <f>G15-F15-H15</f>
        <v>39.5306389496718</v>
      </c>
      <c r="J15" s="13">
        <f>I15/G15</f>
        <v>0.35000000000000003</v>
      </c>
      <c r="K15" s="135">
        <f>G15*$D$6</f>
        <v>158.12255579868716</v>
      </c>
      <c r="L15" s="136">
        <f>F15/(1-$D$4)</f>
        <v>60.23716411378559</v>
      </c>
      <c r="M15" s="136">
        <f>L15*$D$6</f>
        <v>84.33202975929981</v>
      </c>
      <c r="N15" s="137">
        <f>G15-F15</f>
        <v>67.76680962800879</v>
      </c>
      <c r="O15" s="138">
        <f>N15-H15</f>
        <v>39.5306389496718</v>
      </c>
      <c r="P15" s="139">
        <f>$F15/(1-$D$4-$P$9)</f>
        <v>100.39527352297598</v>
      </c>
      <c r="Q15" s="140">
        <f>P15*$D$4</f>
        <v>25.098818380743996</v>
      </c>
      <c r="R15" s="141">
        <f>P15-$F15-Q15</f>
        <v>30.118582056892794</v>
      </c>
      <c r="S15" s="44">
        <f>R15/P15</f>
        <v>0.3</v>
      </c>
      <c r="T15" s="139">
        <f>P15*$D$6</f>
        <v>140.55338293216636</v>
      </c>
      <c r="U15" s="139">
        <f>$F15/(1-$D$4-$U$9)</f>
        <v>90.35574617067839</v>
      </c>
      <c r="V15" s="140">
        <f>U15*$D$4</f>
        <v>22.588936542669597</v>
      </c>
      <c r="W15" s="141">
        <f>U15-$F15-V15</f>
        <v>22.588936542669597</v>
      </c>
      <c r="X15" s="44">
        <f>W15/U15</f>
        <v>0.25</v>
      </c>
      <c r="Y15" s="139">
        <f>U15*$D$6</f>
        <v>126.49804463894974</v>
      </c>
      <c r="Z15" s="139">
        <f>$F15/(1-$D$4-$Z$9)</f>
        <v>82.14158742788943</v>
      </c>
      <c r="AA15" s="140">
        <f>Z15*$D$4</f>
        <v>20.53539685697236</v>
      </c>
      <c r="AB15" s="141">
        <f>Z15-$F15-AA15</f>
        <v>16.42831748557788</v>
      </c>
      <c r="AC15" s="44">
        <f>AB15/Z15</f>
        <v>0.19999999999999993</v>
      </c>
      <c r="AD15" s="139">
        <f>Z15*$D$6</f>
        <v>114.9982223990452</v>
      </c>
      <c r="AE15" s="139">
        <f>$F15/(1-$D$4-$AE$9)</f>
        <v>75.29645514223199</v>
      </c>
      <c r="AF15" s="140">
        <f>AE15*$D$4</f>
        <v>18.824113785557998</v>
      </c>
      <c r="AG15" s="141">
        <f>AE15-$F15-AF15</f>
        <v>11.2944682713348</v>
      </c>
      <c r="AH15" s="44">
        <f>AG15/AE15</f>
        <v>0.15000000000000002</v>
      </c>
      <c r="AI15" s="139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0.8823803336980306</v>
      </c>
      <c r="F16" s="131">
        <f>IF(AND(ISNUMBER(E16),ISNUMBER($D$8)),E16*$D$3,NA())</f>
        <v>45.17787308533919</v>
      </c>
      <c r="G16" s="132">
        <f>F16/$D$8</f>
        <v>112.94468271334797</v>
      </c>
      <c r="H16" s="133">
        <f>G16*$D$4</f>
        <v>28.236170678336993</v>
      </c>
      <c r="I16" s="134">
        <f>G16-F16-H16</f>
        <v>39.5306389496718</v>
      </c>
      <c r="J16" s="13">
        <f>I16/G16</f>
        <v>0.35000000000000003</v>
      </c>
      <c r="K16" s="135">
        <f>G16*$D$6</f>
        <v>158.12255579868716</v>
      </c>
      <c r="L16" s="136">
        <f>F16/(1-$D$4)</f>
        <v>60.23716411378559</v>
      </c>
      <c r="M16" s="136">
        <f>L16*$D$6</f>
        <v>84.33202975929981</v>
      </c>
      <c r="N16" s="137">
        <f>G16-F16</f>
        <v>67.76680962800879</v>
      </c>
      <c r="O16" s="138">
        <f>N16-H16</f>
        <v>39.5306389496718</v>
      </c>
      <c r="P16" s="139">
        <f>$F16/(1-$D$4-$P$9)</f>
        <v>100.39527352297598</v>
      </c>
      <c r="Q16" s="140">
        <f>P16*$D$4</f>
        <v>25.098818380743996</v>
      </c>
      <c r="R16" s="141">
        <f>P16-$F16-Q16</f>
        <v>30.118582056892794</v>
      </c>
      <c r="S16" s="44">
        <f>R16/P16</f>
        <v>0.3</v>
      </c>
      <c r="T16" s="139">
        <f>P16*$D$6</f>
        <v>140.55338293216636</v>
      </c>
      <c r="U16" s="139">
        <f>$F16/(1-$D$4-$U$9)</f>
        <v>90.35574617067839</v>
      </c>
      <c r="V16" s="140">
        <f>U16*$D$4</f>
        <v>22.588936542669597</v>
      </c>
      <c r="W16" s="141">
        <f>U16-$F16-V16</f>
        <v>22.588936542669597</v>
      </c>
      <c r="X16" s="44">
        <f>W16/U16</f>
        <v>0.25</v>
      </c>
      <c r="Y16" s="139">
        <f>U16*$D$6</f>
        <v>126.49804463894974</v>
      </c>
      <c r="Z16" s="139">
        <f>$F16/(1-$D$4-$Z$9)</f>
        <v>82.14158742788943</v>
      </c>
      <c r="AA16" s="140">
        <f>Z16*$D$4</f>
        <v>20.53539685697236</v>
      </c>
      <c r="AB16" s="141">
        <f>Z16-$F16-AA16</f>
        <v>16.42831748557788</v>
      </c>
      <c r="AC16" s="44">
        <f>AB16/Z16</f>
        <v>0.19999999999999993</v>
      </c>
      <c r="AD16" s="139">
        <f>Z16*$D$6</f>
        <v>114.9982223990452</v>
      </c>
      <c r="AE16" s="139">
        <f>$F16/(1-$D$4-$AE$9)</f>
        <v>75.29645514223199</v>
      </c>
      <c r="AF16" s="140">
        <f>AE16*$D$4</f>
        <v>18.824113785557998</v>
      </c>
      <c r="AG16" s="141">
        <f>AE16-$F16-AF16</f>
        <v>11.2944682713348</v>
      </c>
      <c r="AH16" s="44">
        <f>AG16/AE16</f>
        <v>0.15000000000000002</v>
      </c>
      <c r="AI16" s="139">
        <f>AE16*$D$6</f>
        <v>105.41503719912478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1.018131154266958</v>
      </c>
      <c r="G22" s="146">
        <f>E12</f>
        <v>1.018131154266958</v>
      </c>
      <c r="H22" s="146">
        <f>E13</f>
        <v>0.882380333698031</v>
      </c>
      <c r="I22" s="146">
        <f>E14</f>
        <v>0.882380333698031</v>
      </c>
      <c r="J22" s="146">
        <f>E15</f>
        <v>0.882380333698031</v>
      </c>
      <c r="K22" s="146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52.12831509846825</v>
      </c>
      <c r="G24" s="147">
        <f>F12</f>
        <v>52.12831509846825</v>
      </c>
      <c r="H24" s="147">
        <f>F13</f>
        <v>45.17787308533919</v>
      </c>
      <c r="I24" s="147">
        <f>F14</f>
        <v>45.17787308533919</v>
      </c>
      <c r="J24" s="147">
        <f>F15</f>
        <v>45.17787308533919</v>
      </c>
      <c r="K24" s="147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130.32078774617062</v>
      </c>
      <c r="G30" s="148">
        <f>G12</f>
        <v>130.32078774617062</v>
      </c>
      <c r="H30" s="148">
        <f>G13</f>
        <v>112.94468271334797</v>
      </c>
      <c r="I30" s="148">
        <f>G14</f>
        <v>112.94468271334797</v>
      </c>
      <c r="J30" s="148">
        <f>G15</f>
        <v>112.94468271334797</v>
      </c>
      <c r="K30" s="148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78.19247264770237</v>
      </c>
      <c r="G31" s="147">
        <f>N12</f>
        <v>78.19247264770237</v>
      </c>
      <c r="H31" s="147">
        <f>N13</f>
        <v>67.76680962800879</v>
      </c>
      <c r="I31" s="147">
        <f>N14</f>
        <v>67.76680962800879</v>
      </c>
      <c r="J31" s="147">
        <f>N15</f>
        <v>67.76680962800879</v>
      </c>
      <c r="K31" s="147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32.580196936542656</v>
      </c>
      <c r="G32" s="147">
        <f>H12</f>
        <v>32.580196936542656</v>
      </c>
      <c r="H32" s="147">
        <f>H13</f>
        <v>28.236170678336993</v>
      </c>
      <c r="I32" s="147">
        <f>H14</f>
        <v>28.236170678336993</v>
      </c>
      <c r="J32" s="147">
        <f>H15</f>
        <v>28.236170678336993</v>
      </c>
      <c r="K32" s="147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45.61227571115972</v>
      </c>
      <c r="G33" s="149">
        <f>I12</f>
        <v>45.61227571115972</v>
      </c>
      <c r="H33" s="149">
        <f>I13</f>
        <v>39.5306389496718</v>
      </c>
      <c r="I33" s="149">
        <f>I14</f>
        <v>39.5306389496718</v>
      </c>
      <c r="J33" s="149">
        <f>I15</f>
        <v>39.5306389496718</v>
      </c>
      <c r="K33" s="149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182.44910284463887</v>
      </c>
      <c r="G37" s="148">
        <f>K12</f>
        <v>182.44910284463887</v>
      </c>
      <c r="H37" s="148">
        <f>K13</f>
        <v>158.12255579868716</v>
      </c>
      <c r="I37" s="148">
        <f>K14</f>
        <v>158.12255579868716</v>
      </c>
      <c r="J37" s="148">
        <f>K15</f>
        <v>158.12255579868716</v>
      </c>
      <c r="K37" s="148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69.504420131291</v>
      </c>
      <c r="G38" s="147">
        <f>L12</f>
        <v>69.504420131291</v>
      </c>
      <c r="H38" s="147">
        <f>L13</f>
        <v>60.23716411378559</v>
      </c>
      <c r="I38" s="147">
        <f>L14</f>
        <v>60.23716411378559</v>
      </c>
      <c r="J38" s="147">
        <f>L15</f>
        <v>60.23716411378559</v>
      </c>
      <c r="K38" s="147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97.3061881838074</v>
      </c>
      <c r="G39" s="147">
        <f>M12</f>
        <v>97.3061881838074</v>
      </c>
      <c r="H39" s="147">
        <f>M13</f>
        <v>84.33202975929981</v>
      </c>
      <c r="I39" s="147">
        <f>M14</f>
        <v>84.33202975929981</v>
      </c>
      <c r="J39" s="147">
        <f>M15</f>
        <v>84.33202975929981</v>
      </c>
      <c r="K39" s="147">
        <f>M16</f>
        <v>84.33202975929981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3.5" customWidth="1" min="3" max="3"/>
    <col width="17" customWidth="1" min="4" max="4"/>
    <col width="3.5" customWidth="1" min="5" max="5"/>
    <col width="17" customWidth="1" min="6" max="6"/>
    <col width="3.5" customWidth="1" min="7" max="7"/>
    <col width="17" customWidth="1" min="8" max="8"/>
    <col width="3.5" customWidth="1" min="9" max="9"/>
    <col width="17" customWidth="1" min="10" max="10"/>
    <col width="3.5" customWidth="1" min="11" max="11"/>
    <col width="17" customWidth="1" min="12" max="12"/>
    <col width="3.5" customWidth="1" min="13" max="13"/>
    <col width="17" customWidth="1" min="14" max="14"/>
    <col width="2" customWidth="1" min="15" max="15"/>
  </cols>
  <sheetData>
    <row r="1" ht="8" customHeight="1"/>
    <row r="2" ht="28" customHeight="1">
      <c r="B2" s="151" t="inlineStr">
        <is>
          <t>SIAS · закупка для полки 120 грн · 6 паллет</t>
        </is>
      </c>
    </row>
    <row r="3" ht="26" customHeight="1">
      <c r="B3" s="152" t="str">
        <f>"Запрос €"&amp;ROUND(L7,2)&amp;" за пачку → полка "&amp;ROUND(N12,2)&amp;" ₴ при марже "&amp;ROUND(J12/(F12/(1-F26-D26))*100,0)&amp;"%. Сейчас у SIAS €"&amp;MIN(D17:D22)&amp;"–€"&amp;MAX(D17:D22)&amp;" → снижение на "&amp;ROUND((1-L7/MIN(D17:D22))*100,0)&amp;"…"&amp;ROUND((1-L7/MAX(D17:D22))*100,0)&amp;"%."</f>
        <v>Запрос €0.32 за пачку → полка 118.72 ₴ при марже 30%. Сейчас у SIAS €0.65–€0.75 → снижение на 51…57%.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20" customHeight="1">
      <c r="B5" s="154" t="inlineStr">
        <is>
          <t>РАСЧЁТ ОДНОЙ ЛИНИЕЙ — от полки к закупочной цене</t>
        </is>
      </c>
      <c r="C5" s="155" t="n"/>
      <c r="D5" s="155" t="n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</row>
    <row r="6" ht="28" customHeight="1">
      <c r="B6" s="156" t="inlineStr">
        <is>
          <t>Полка (цель)</t>
        </is>
      </c>
      <c r="D6" s="156" t="inlineStr">
        <is>
          <t>Цена партнёру</t>
        </is>
      </c>
      <c r="F6" s="156" t="inlineStr">
        <is>
          <t>Макс. себестоимость</t>
        </is>
      </c>
      <c r="H6" s="156" t="inlineStr">
        <is>
          <t>Она же в €, без фин.</t>
        </is>
      </c>
      <c r="J6" s="156" t="inlineStr">
        <is>
          <t>Предельная закупка</t>
        </is>
      </c>
      <c r="L6" s="156" t="inlineStr">
        <is>
          <t>ЗАПРОС SIAS</t>
        </is>
      </c>
    </row>
    <row r="7" ht="40" customHeight="1">
      <c r="B7" s="157">
        <f>B26</f>
        <v>120</v>
      </c>
      <c r="C7" s="158" t="inlineStr">
        <is>
          <t>→</t>
        </is>
      </c>
      <c r="D7" s="157">
        <f>B7/H26</f>
        <v>85.71428571428572</v>
      </c>
      <c r="E7" s="158" t="inlineStr">
        <is>
          <t>→</t>
        </is>
      </c>
      <c r="F7" s="157">
        <f>D7*(1-F26-D26)</f>
        <v>38.57142857142858</v>
      </c>
      <c r="G7" s="158" t="inlineStr">
        <is>
          <t>→</t>
        </is>
      </c>
      <c r="H7" s="159">
        <f>F7/J26/(1+L26)</f>
        <v>0.7349738675958188</v>
      </c>
      <c r="I7" s="158" t="inlineStr">
        <is>
          <t>→</t>
        </is>
      </c>
      <c r="J7" s="159">
        <f>(H7-($F$28+$H$28+$J$28+$F$28*$L$28*($D$28+$B$28*(1+$D$28)))/($B$30*$D$30))/((1+D28)*(1+B28))</f>
        <v>0.3265407229965157</v>
      </c>
      <c r="K7" s="158" t="inlineStr">
        <is>
          <t>→</t>
        </is>
      </c>
      <c r="L7" s="160">
        <f>ROUNDDOWN(J7,2)</f>
        <v>0.32</v>
      </c>
    </row>
    <row r="8" ht="34" customHeight="1">
      <c r="B8" s="161" t="str">
        <f>"цель, с НДС"</f>
        <v>цель, с НДС</v>
      </c>
      <c r="D8" s="161" t="str">
        <f>"÷ множитель полки "&amp;H26</f>
        <v>÷ множитель полки 1.4</v>
      </c>
      <c r="F8" s="161" t="str">
        <f>"× "&amp;ROUND((1-F26-D26)*100,0)&amp;"% (100 − бонус − маржа)"</f>
        <v>× 45% (100 − бонус − маржа)</v>
      </c>
      <c r="H8" s="161" t="str">
        <f>"÷ курс "&amp;J26&amp;" и ÷ (1+"&amp;ROUND(L26*100,1)&amp;"% фин.)"</f>
        <v>÷ курс 51.2 и ÷ (1+2.5% фин.)</v>
      </c>
      <c r="J8" s="161" t="str">
        <f>"− расходы партии "&amp;ROUND(($F$28+$H$28+$J$28+$F$28*$L$28*($D$28+$B$28*(1+$D$28)))/($B$30*$D$30),3)&amp;" €/пачку; ÷ "&amp;ROUND((1+D28)*(1+B28),2)&amp;" (ПДВ)"</f>
        <v>− расходы партии 0.343 €/пачку; ÷ 1.2 (ПДВ)</v>
      </c>
      <c r="L8" s="161" t="str">
        <f>"вниз до евроцента"</f>
        <v>вниз до евроцента</v>
      </c>
    </row>
    <row r="10" ht="20" customHeight="1">
      <c r="B10" s="154" t="inlineStr">
        <is>
          <t>ИЗ ЧЕГО СОСТОИТ ПОЛКА ПРИ ЗАПРОСЕ — ₴ за пачку и доля полки</t>
        </is>
      </c>
      <c r="C10" s="155" t="n"/>
      <c r="D10" s="155" t="n"/>
      <c r="E10" s="155" t="n"/>
      <c r="F10" s="155" t="n"/>
      <c r="G10" s="155" t="n"/>
      <c r="H10" s="155" t="n"/>
      <c r="I10" s="155" t="n"/>
      <c r="J10" s="155" t="n"/>
      <c r="K10" s="155" t="n"/>
      <c r="L10" s="155" t="n"/>
      <c r="M10" s="155" t="n"/>
      <c r="N10" s="155" t="n"/>
    </row>
    <row r="11" ht="28" customHeight="1">
      <c r="B11" s="156" t="inlineStr">
        <is>
          <t>Товар SIAS</t>
        </is>
      </c>
      <c r="D11" s="156" t="inlineStr">
        <is>
          <t>Логистика, ПДВ, фін.</t>
        </is>
      </c>
      <c r="F11" s="156" t="inlineStr">
        <is>
          <t>ИТОГО: себестоимость (СС)</t>
        </is>
      </c>
      <c r="H11" s="156" t="inlineStr">
        <is>
          <t>Бонус сети</t>
        </is>
      </c>
      <c r="J11" s="156" t="inlineStr">
        <is>
          <t>Наша прибыль</t>
        </is>
      </c>
      <c r="L11" s="156" t="inlineStr">
        <is>
          <t>Наценка магазина</t>
        </is>
      </c>
      <c r="N11" s="156" t="inlineStr">
        <is>
          <t>ИТОГО: ПОЛКА</t>
        </is>
      </c>
    </row>
    <row r="12" ht="32" customHeight="1">
      <c r="B12" s="162">
        <f>L7*J26</f>
        <v>16.384</v>
      </c>
      <c r="C12" s="163" t="inlineStr">
        <is>
          <t>+</t>
        </is>
      </c>
      <c r="D12" s="162">
        <f>F12-B12</f>
        <v>21.775519999999993</v>
      </c>
      <c r="E12" s="163" t="inlineStr">
        <is>
          <t>=</t>
        </is>
      </c>
      <c r="F12" s="157">
        <f>(L7*J26+($F$28+$H$28+$J$28)/($B$30*$D$30)*J26+(L7+$F$28*$L$28/($B$30*$D$30))*$D$28*J26+(L7+$F$28*$L$28/($B$30*$D$30))*(1+$D$28)*$B$28*J26)*(1+L26)</f>
        <v>38.15951999999999</v>
      </c>
      <c r="G12" s="163" t="inlineStr">
        <is>
          <t>+</t>
        </is>
      </c>
      <c r="H12" s="162">
        <f>F12/(1-F26-D26)*F26</f>
        <v>21.19973333333333</v>
      </c>
      <c r="I12" s="163" t="inlineStr">
        <is>
          <t>+</t>
        </is>
      </c>
      <c r="J12" s="162">
        <f>F12/(1-F26-D26)-F12-H12</f>
        <v>25.43968</v>
      </c>
      <c r="K12" s="163" t="inlineStr">
        <is>
          <t>+</t>
        </is>
      </c>
      <c r="L12" s="162">
        <f>F12/(1-F26-D26)*(H26-1)</f>
        <v>33.919573333333325</v>
      </c>
      <c r="M12" s="163" t="inlineStr">
        <is>
          <t>=</t>
        </is>
      </c>
      <c r="N12" s="157">
        <f>F12/(1-F26-D26)*H26</f>
        <v>118.71850666666664</v>
      </c>
    </row>
    <row r="13" ht="18" customHeight="1">
      <c r="B13" s="164">
        <f>B12/$N$12</f>
        <v>0.13800712677428112</v>
      </c>
      <c r="D13" s="165">
        <f>D12/$N$12</f>
        <v>0.18342144465429033</v>
      </c>
      <c r="F13" s="166">
        <f>F12/$N$12</f>
        <v>0.32142857142857145</v>
      </c>
      <c r="H13" s="167">
        <f>H12/$N$12</f>
        <v>0.17857142857142858</v>
      </c>
      <c r="J13" s="168">
        <f>J12/$N$12</f>
        <v>0.21428571428571433</v>
      </c>
      <c r="L13" s="169">
        <f>L12/$N$12</f>
        <v>0.2857142857142857</v>
      </c>
      <c r="N13" s="166">
        <f>N12/$N$12</f>
        <v>1</v>
      </c>
    </row>
    <row r="15" ht="20" customHeight="1">
      <c r="B15" s="154" t="inlineStr">
        <is>
          <t>ПО КАЖДОМУ SKU — цена закупки сейчас и в запросе</t>
        </is>
      </c>
      <c r="C15" s="155" t="n"/>
      <c r="D15" s="155" t="n"/>
      <c r="E15" s="155" t="n"/>
      <c r="F15" s="155" t="n"/>
      <c r="G15" s="155" t="n"/>
      <c r="H15" s="155" t="n"/>
      <c r="I15" s="155" t="n"/>
      <c r="J15" s="155" t="n"/>
      <c r="K15" s="155" t="n"/>
      <c r="L15" s="155" t="n"/>
      <c r="M15" s="155" t="n"/>
      <c r="N15" s="155" t="n"/>
    </row>
    <row r="16" ht="32" customHeight="1">
      <c r="B16" s="170" t="inlineStr">
        <is>
          <t>Продукт SIAS</t>
        </is>
      </c>
      <c r="D16" s="170" t="inlineStr">
        <is>
          <t>Цена сейчас, €/уп.</t>
        </is>
      </c>
      <c r="F16" s="170" t="inlineStr">
        <is>
          <t>Запрос, €/уп.</t>
        </is>
      </c>
      <c r="H16" s="170" t="inlineStr">
        <is>
          <t>Снижение</t>
        </is>
      </c>
      <c r="J16" s="170" t="inlineStr">
        <is>
          <t>Полка сейчас (маржа 30 %), ₴</t>
        </is>
      </c>
      <c r="L16" s="170" t="inlineStr">
        <is>
          <t>Отрыв от цели 120, ₴</t>
        </is>
      </c>
    </row>
    <row r="17" ht="22" customHeight="1">
      <c r="B17" s="171" t="str">
        <f>'Финмодель 6 паллет'!C11</f>
        <v>Gouda Cheese 123 г</v>
      </c>
      <c r="D17" s="172" t="n">
        <v>0.75</v>
      </c>
      <c r="F17" s="173">
        <f>$L$7</f>
        <v>0.32</v>
      </c>
      <c r="H17" s="174">
        <f>1-F17/D17</f>
        <v>0.5733333333333333</v>
      </c>
      <c r="J17" s="175">
        <f>'Финмодель 6 паллет'!T11</f>
        <v>208.43200000000002</v>
      </c>
      <c r="L17" s="176">
        <f>J17-$B$26</f>
        <v>88.43200000000002</v>
      </c>
    </row>
    <row r="18" ht="22" customHeight="1">
      <c r="B18" s="177" t="str">
        <f>'Финмодель 6 паллет'!C12</f>
        <v>Carbonara Spicy 131 г</v>
      </c>
      <c r="D18" s="172" t="n">
        <v>0.75</v>
      </c>
      <c r="F18" s="178">
        <f>$L$7</f>
        <v>0.32</v>
      </c>
      <c r="H18" s="179">
        <f>1-F18/D18</f>
        <v>0.5733333333333333</v>
      </c>
      <c r="J18" s="180">
        <f>'Финмодель 6 паллет'!T12</f>
        <v>208.43200000000002</v>
      </c>
      <c r="L18" s="181">
        <f>J18-$B$26</f>
        <v>88.43200000000002</v>
      </c>
    </row>
    <row r="19" ht="22" customHeight="1">
      <c r="B19" s="171" t="str">
        <f>'Финмодель 6 паллет'!C13</f>
        <v>Vegetable Flavor 113 г</v>
      </c>
      <c r="D19" s="172" t="n">
        <v>0.65</v>
      </c>
      <c r="F19" s="173">
        <f>$L$7</f>
        <v>0.32</v>
      </c>
      <c r="H19" s="174">
        <f>1-F19/D19</f>
        <v>0.5076923076923077</v>
      </c>
      <c r="J19" s="175">
        <f>'Финмодель 6 паллет'!T13</f>
        <v>180.64106666666663</v>
      </c>
      <c r="L19" s="176">
        <f>J19-$B$26</f>
        <v>60.64106666666663</v>
      </c>
    </row>
    <row r="20" ht="22" customHeight="1">
      <c r="B20" s="177" t="str">
        <f>'Финмодель 6 паллет'!C14</f>
        <v>Spicy Flavor 112.5 г</v>
      </c>
      <c r="D20" s="172" t="n">
        <v>0.65</v>
      </c>
      <c r="F20" s="178">
        <f>$L$7</f>
        <v>0.32</v>
      </c>
      <c r="H20" s="179">
        <f>1-F20/D20</f>
        <v>0.5076923076923077</v>
      </c>
      <c r="J20" s="180">
        <f>'Финмодель 6 паллет'!T14</f>
        <v>180.64106666666663</v>
      </c>
      <c r="L20" s="181">
        <f>J20-$B$26</f>
        <v>60.64106666666663</v>
      </c>
    </row>
    <row r="21" ht="22" customHeight="1">
      <c r="B21" s="171" t="str">
        <f>'Финмодель 6 паллет'!C15</f>
        <v>Beef Flavor 113 г</v>
      </c>
      <c r="D21" s="172" t="n">
        <v>0.65</v>
      </c>
      <c r="F21" s="173">
        <f>$L$7</f>
        <v>0.32</v>
      </c>
      <c r="H21" s="174">
        <f>1-F21/D21</f>
        <v>0.5076923076923077</v>
      </c>
      <c r="J21" s="175">
        <f>'Финмодель 6 паллет'!T15</f>
        <v>180.64106666666663</v>
      </c>
      <c r="L21" s="176">
        <f>J21-$B$26</f>
        <v>60.64106666666663</v>
      </c>
    </row>
    <row r="22" ht="22" customHeight="1">
      <c r="B22" s="177" t="str">
        <f>'Финмодель 6 паллет'!C16</f>
        <v>Chicken Flavor 113 г</v>
      </c>
      <c r="D22" s="172" t="n">
        <v>0.65</v>
      </c>
      <c r="F22" s="178">
        <f>$L$7</f>
        <v>0.32</v>
      </c>
      <c r="H22" s="179">
        <f>1-F22/D22</f>
        <v>0.5076923076923077</v>
      </c>
      <c r="J22" s="180">
        <f>'Финмодель 6 паллет'!T16</f>
        <v>180.64106666666663</v>
      </c>
      <c r="L22" s="181">
        <f>J22-$B$26</f>
        <v>60.64106666666663</v>
      </c>
    </row>
    <row r="24" ht="20" customHeight="1">
      <c r="B24" s="154" t="inlineStr">
        <is>
          <t>ИСХОДНЫЕ ДАННЫЕ — жёлтое можно менять, зелёное — из вкладки «Финмодель 6 паллет», остальное — формулы</t>
        </is>
      </c>
      <c r="C24" s="155" t="n"/>
      <c r="D24" s="155" t="n"/>
      <c r="E24" s="155" t="n"/>
      <c r="F24" s="155" t="n"/>
      <c r="G24" s="155" t="n"/>
      <c r="H24" s="155" t="n"/>
      <c r="I24" s="155" t="n"/>
      <c r="J24" s="155" t="n"/>
      <c r="K24" s="155" t="n"/>
      <c r="L24" s="155" t="n"/>
      <c r="M24" s="155" t="n"/>
      <c r="N24" s="155" t="n"/>
    </row>
    <row r="25" ht="18" customHeight="1">
      <c r="B25" s="182" t="inlineStr">
        <is>
          <t>Полка, ₴</t>
        </is>
      </c>
      <c r="D25" s="182" t="inlineStr">
        <is>
          <t>Наша маржа</t>
        </is>
      </c>
      <c r="F25" s="182" t="inlineStr">
        <is>
          <t>Бонус сети</t>
        </is>
      </c>
      <c r="H25" s="182" t="inlineStr">
        <is>
          <t>Множитель полки</t>
        </is>
      </c>
      <c r="J25" s="182" t="inlineStr">
        <is>
          <t>Курс, ₴/€</t>
        </is>
      </c>
      <c r="L25" s="182" t="inlineStr">
        <is>
          <t>Финансирование</t>
        </is>
      </c>
    </row>
    <row r="26" ht="22" customHeight="1">
      <c r="B26" s="183" t="n">
        <v>120</v>
      </c>
      <c r="D26" s="184" t="n">
        <v>0.3</v>
      </c>
      <c r="F26" s="185">
        <f>'Финмодель 6 паллет'!D4</f>
        <v>0.25</v>
      </c>
      <c r="H26" s="186">
        <f>'Финмодель 6 паллет'!D6</f>
        <v>1.4</v>
      </c>
      <c r="J26" s="187">
        <f>'Финмодель 6 паллет'!D3</f>
        <v>51.2</v>
      </c>
      <c r="L26" s="184" t="n">
        <v>0.025</v>
      </c>
    </row>
    <row r="27" ht="18" customHeight="1">
      <c r="B27" s="182" t="inlineStr">
        <is>
          <t>Импортный ПДВ</t>
        </is>
      </c>
      <c r="D27" s="182" t="inlineStr">
        <is>
          <t>Пошлина</t>
        </is>
      </c>
      <c r="F27" s="182" t="inlineStr">
        <is>
          <t>Перевозка партии, €</t>
        </is>
      </c>
      <c r="H27" s="182" t="inlineStr">
        <is>
          <t>Брокер, €</t>
        </is>
      </c>
      <c r="J27" s="182" t="inlineStr">
        <is>
          <t>Прочие расходы, €</t>
        </is>
      </c>
      <c r="L27" s="182" t="inlineStr">
        <is>
          <t>Доля фрахта в таможне</t>
        </is>
      </c>
    </row>
    <row r="28" ht="22" customHeight="1">
      <c r="B28" s="184" t="n">
        <v>0.2</v>
      </c>
      <c r="D28" s="184" t="n">
        <v>0</v>
      </c>
      <c r="F28" s="188" t="n">
        <v>2600</v>
      </c>
      <c r="H28" s="188" t="n">
        <v>288</v>
      </c>
      <c r="J28" s="188" t="n">
        <v>42</v>
      </c>
      <c r="L28" s="189" t="n">
        <v>0.7</v>
      </c>
    </row>
    <row r="29" ht="18" customHeight="1">
      <c r="B29" s="182" t="inlineStr">
        <is>
          <t>Паллет в партии</t>
        </is>
      </c>
      <c r="D29" s="182" t="inlineStr">
        <is>
          <t>Пачек на паллете</t>
        </is>
      </c>
    </row>
    <row r="30" ht="22" customHeight="1">
      <c r="B30" s="188" t="n">
        <v>6</v>
      </c>
      <c r="D30" s="188" t="n">
        <v>1600</v>
      </c>
      <c r="F30" s="190" t="inlineStr">
        <is>
          <t>Источник чисел: Self-Cost_Sias (перевозка, брокер, прочие, ПДВ, фінансування, пачек на паллете).</t>
        </is>
      </c>
    </row>
    <row r="32" ht="20" customHeight="1">
      <c r="B32" s="154" t="inlineStr">
        <is>
          <t>ЕСЛИ НАША МАРЖА ДРУГАЯ — запрос при той же полке</t>
        </is>
      </c>
      <c r="C32" s="155" t="n"/>
      <c r="D32" s="155" t="n"/>
      <c r="E32" s="155" t="n"/>
      <c r="F32" s="155" t="n"/>
      <c r="G32" s="155" t="n"/>
      <c r="H32" s="155" t="n"/>
      <c r="I32" s="155" t="n"/>
      <c r="J32" s="155" t="n"/>
      <c r="K32" s="155" t="n"/>
      <c r="L32" s="155" t="n"/>
      <c r="M32" s="155" t="n"/>
      <c r="N32" s="155" t="n"/>
    </row>
    <row r="33" ht="22" customHeight="1">
      <c r="B33" s="191" t="n">
        <v>0.35</v>
      </c>
      <c r="D33" s="191" t="n">
        <v>0.25</v>
      </c>
      <c r="F33" s="191" t="n">
        <v>0.2</v>
      </c>
      <c r="H33" s="191" t="n">
        <v>0.15</v>
      </c>
      <c r="J33" s="192" t="inlineStr">
        <is>
          <t>запрос, €/уп.: чем ниже наша маржа, тем выше допустимая закупка</t>
        </is>
      </c>
    </row>
    <row r="34" ht="28" customHeight="1">
      <c r="B34" s="193">
        <f>ROUNDDOWN((($B$26/$H$26*(1-$F$26-B33))/$J$26/(1+$L$26)-($F$28+$H$28+$J$28+$F$28*$L$28*($D$28+$B$28*(1+$D$28)))/($B$30*$D$30))/((1+$D$28)*(1+$B$28)),2)</f>
        <v>0.25</v>
      </c>
      <c r="D34" s="193">
        <f>ROUNDDOWN((($B$26/$H$26*(1-$F$26-D33))/$J$26/(1+$L$26)-($F$28+$H$28+$J$28+$F$28*$L$28*($D$28+$B$28*(1+$D$28)))/($B$30*$D$30))/((1+$D$28)*(1+$B$28)),2)</f>
        <v>0.39</v>
      </c>
      <c r="F34" s="193">
        <f>ROUNDDOWN((($B$26/$H$26*(1-$F$26-F33))/$J$26/(1+$L$26)-($F$28+$H$28+$J$28+$F$28*$L$28*($D$28+$B$28*(1+$D$28)))/($B$30*$D$30))/((1+$D$28)*(1+$B$28)),2)</f>
        <v>0.46</v>
      </c>
      <c r="H34" s="193">
        <f>ROUNDDOWN((($B$26/$H$26*(1-$F$26-H33))/$J$26/(1+$L$26)-($F$28+$H$28+$J$28+$F$28*$L$28*($D$28+$B$28*(1+$D$28)))/($B$30*$D$30))/((1+$D$28)*(1+$B$28)),2)</f>
        <v>0.53</v>
      </c>
    </row>
    <row r="36" ht="30" customHeight="1">
      <c r="B36" s="190" t="inlineStr">
        <is>
          <t>Допущения: бонус и множитель — по модели (не подтверждены сетями); импортный ПДВ входит в себестоимость, как в Self-Cost (если возмещается — допустимая закупка выше); без листинг-фи, промо и отсрочки; согласие SIAS не получено — цена для переговоров.</t>
        </is>
      </c>
    </row>
  </sheetData>
  <mergeCells count="10">
    <mergeCell ref="B5:N5"/>
    <mergeCell ref="B36:N36"/>
    <mergeCell ref="J33:N34"/>
    <mergeCell ref="B24:N24"/>
    <mergeCell ref="B32:N32"/>
    <mergeCell ref="B15:N15"/>
    <mergeCell ref="B3:N3"/>
    <mergeCell ref="B2:N2"/>
    <mergeCell ref="B10:N10"/>
    <mergeCell ref="F30:N30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3.5" customWidth="1" min="3" max="3"/>
    <col width="17" customWidth="1" min="4" max="4"/>
    <col width="3.5" customWidth="1" min="5" max="5"/>
    <col width="17" customWidth="1" min="6" max="6"/>
    <col width="3.5" customWidth="1" min="7" max="7"/>
    <col width="17" customWidth="1" min="8" max="8"/>
    <col width="3.5" customWidth="1" min="9" max="9"/>
    <col width="17" customWidth="1" min="10" max="10"/>
    <col width="3.5" customWidth="1" min="11" max="11"/>
    <col width="17" customWidth="1" min="12" max="12"/>
    <col width="3.5" customWidth="1" min="13" max="13"/>
    <col width="17" customWidth="1" min="14" max="14"/>
    <col width="2" customWidth="1" min="15" max="15"/>
  </cols>
  <sheetData>
    <row r="1" ht="8" customHeight="1"/>
    <row r="2" ht="28" customHeight="1">
      <c r="B2" s="151" t="inlineStr">
        <is>
          <t>SIAS · закупка для полки 120 грн · 33 паллеты (Full Truck)</t>
        </is>
      </c>
    </row>
    <row r="3" ht="26" customHeight="1">
      <c r="B3" s="152" t="str">
        <f>"Запрос €"&amp;ROUND(L7,2)&amp;" за пачку → полка "&amp;ROUND(N12,2)&amp;" ₴ при марже "&amp;ROUND(J12/(F12/(1-F26-D26))*100,0)&amp;"%. Сейчас у SIAS €"&amp;MIN(D17:D22)&amp;"–€"&amp;MAX(D17:D22)&amp;" → снижение на "&amp;ROUND((1-L7/MIN(D17:D22))*100,0)&amp;"…"&amp;ROUND((1-L7/MAX(D17:D22))*100,0)&amp;"%."</f>
        <v>Запрос €0.54 за пачку → полка 119.86 ₴ при марже 30%. Сейчас у SIAS €0.65–€0.75 → снижение на 17…28%.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20" customHeight="1">
      <c r="B5" s="154" t="inlineStr">
        <is>
          <t>РАСЧЁТ ОДНОЙ ЛИНИЕЙ — от полки к закупочной цене</t>
        </is>
      </c>
      <c r="C5" s="155" t="n"/>
      <c r="D5" s="155" t="n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</row>
    <row r="6" ht="28" customHeight="1">
      <c r="B6" s="156" t="inlineStr">
        <is>
          <t>Полка (цель)</t>
        </is>
      </c>
      <c r="D6" s="156" t="inlineStr">
        <is>
          <t>Цена партнёру</t>
        </is>
      </c>
      <c r="F6" s="156" t="inlineStr">
        <is>
          <t>Макс. себестоимость</t>
        </is>
      </c>
      <c r="H6" s="156" t="inlineStr">
        <is>
          <t>Она же в €, без фин.</t>
        </is>
      </c>
      <c r="J6" s="156" t="inlineStr">
        <is>
          <t>Предельная закупка</t>
        </is>
      </c>
      <c r="L6" s="156" t="inlineStr">
        <is>
          <t>ЗАПРОС SIAS</t>
        </is>
      </c>
    </row>
    <row r="7" ht="40" customHeight="1">
      <c r="B7" s="157">
        <f>B26</f>
        <v>120</v>
      </c>
      <c r="C7" s="158" t="inlineStr">
        <is>
          <t>→</t>
        </is>
      </c>
      <c r="D7" s="157">
        <f>B7/H26</f>
        <v>85.71428571428572</v>
      </c>
      <c r="E7" s="158" t="inlineStr">
        <is>
          <t>→</t>
        </is>
      </c>
      <c r="F7" s="157">
        <f>D7*(1-F26-D26)</f>
        <v>38.57142857142858</v>
      </c>
      <c r="G7" s="158" t="inlineStr">
        <is>
          <t>→</t>
        </is>
      </c>
      <c r="H7" s="159">
        <f>F7/J26/(1+L26)</f>
        <v>0.7349738675958188</v>
      </c>
      <c r="I7" s="158" t="inlineStr">
        <is>
          <t>→</t>
        </is>
      </c>
      <c r="J7" s="159">
        <f>(H7-($F$28+$H$28+$J$28+$F$28*$L$28*($D$28+$B$28*(1+$D$28)))/($B$30*$D$30))/((1+D28)*(1+B28))</f>
        <v>0.5406979199662126</v>
      </c>
      <c r="K7" s="158" t="inlineStr">
        <is>
          <t>→</t>
        </is>
      </c>
      <c r="L7" s="160">
        <f>ROUNDDOWN(J7,2)</f>
        <v>0.54</v>
      </c>
    </row>
    <row r="8" ht="34" customHeight="1">
      <c r="B8" s="161" t="str">
        <f>"цель, с НДС"</f>
        <v>цель, с НДС</v>
      </c>
      <c r="D8" s="161" t="str">
        <f>"÷ множитель полки "&amp;H26</f>
        <v>÷ множитель полки 1.4</v>
      </c>
      <c r="F8" s="161" t="str">
        <f>"× "&amp;ROUND((1-F26-D26)*100,0)&amp;"% (100 − бонус − маржа)"</f>
        <v>× 45% (100 − бонус − маржа)</v>
      </c>
      <c r="H8" s="161" t="str">
        <f>"÷ курс "&amp;J26&amp;" и ÷ (1+"&amp;ROUND(L26*100,1)&amp;"% фин.)"</f>
        <v>÷ курс 51.2 и ÷ (1+2.5% фин.)</v>
      </c>
      <c r="J8" s="161" t="str">
        <f>"− расходы партии "&amp;ROUND(($F$28+$H$28+$J$28+$F$28*$L$28*($D$28+$B$28*(1+$D$28)))/($B$30*$D$30),3)&amp;" €/пачку; ÷ "&amp;ROUND((1+D28)*(1+B28),2)&amp;" (ПДВ)"</f>
        <v>− расходы партии 0.086 €/пачку; ÷ 1.2 (ПДВ)</v>
      </c>
      <c r="L8" s="161" t="str">
        <f>"вниз до евроцента"</f>
        <v>вниз до евроцента</v>
      </c>
    </row>
    <row r="10" ht="20" customHeight="1">
      <c r="B10" s="154" t="inlineStr">
        <is>
          <t>ИЗ ЧЕГО СОСТОИТ ПОЛКА ПРИ ЗАПРОСЕ — ₴ за пачку и доля полки</t>
        </is>
      </c>
      <c r="C10" s="155" t="n"/>
      <c r="D10" s="155" t="n"/>
      <c r="E10" s="155" t="n"/>
      <c r="F10" s="155" t="n"/>
      <c r="G10" s="155" t="n"/>
      <c r="H10" s="155" t="n"/>
      <c r="I10" s="155" t="n"/>
      <c r="J10" s="155" t="n"/>
      <c r="K10" s="155" t="n"/>
      <c r="L10" s="155" t="n"/>
      <c r="M10" s="155" t="n"/>
      <c r="N10" s="155" t="n"/>
    </row>
    <row r="11" ht="28" customHeight="1">
      <c r="B11" s="156" t="inlineStr">
        <is>
          <t>Товар SIAS</t>
        </is>
      </c>
      <c r="D11" s="156" t="inlineStr">
        <is>
          <t>Логистика, ПДВ, фін.</t>
        </is>
      </c>
      <c r="F11" s="156" t="inlineStr">
        <is>
          <t>ИТОГО: себестоимость (СС)</t>
        </is>
      </c>
      <c r="H11" s="156" t="inlineStr">
        <is>
          <t>Бонус сети</t>
        </is>
      </c>
      <c r="J11" s="156" t="inlineStr">
        <is>
          <t>Наша прибыль</t>
        </is>
      </c>
      <c r="L11" s="156" t="inlineStr">
        <is>
          <t>Наценка магазина</t>
        </is>
      </c>
      <c r="N11" s="156" t="inlineStr">
        <is>
          <t>ИТОГО: ПОЛКА</t>
        </is>
      </c>
    </row>
    <row r="12" ht="32" customHeight="1">
      <c r="B12" s="162">
        <f>L7*J26</f>
        <v>27.648000000000003</v>
      </c>
      <c r="C12" s="163" t="inlineStr">
        <is>
          <t>+</t>
        </is>
      </c>
      <c r="D12" s="162">
        <f>F12-B12</f>
        <v>10.879476363636364</v>
      </c>
      <c r="E12" s="163" t="inlineStr">
        <is>
          <t>=</t>
        </is>
      </c>
      <c r="F12" s="157">
        <f>(L7*J26+($F$28+$H$28+$J$28)/($B$30*$D$30)*J26+(L7+$F$28*$L$28/($B$30*$D$30))*$D$28*J26+(L7+$F$28*$L$28/($B$30*$D$30))*(1+$D$28)*$B$28*J26)*(1+L26)</f>
        <v>38.52747636363637</v>
      </c>
      <c r="G12" s="163" t="inlineStr">
        <is>
          <t>+</t>
        </is>
      </c>
      <c r="H12" s="162">
        <f>F12/(1-F26-D26)*F26</f>
        <v>21.404153535353537</v>
      </c>
      <c r="I12" s="163" t="inlineStr">
        <is>
          <t>+</t>
        </is>
      </c>
      <c r="J12" s="162">
        <f>F12/(1-F26-D26)-F12-H12</f>
        <v>25.684984242424242</v>
      </c>
      <c r="K12" s="163" t="inlineStr">
        <is>
          <t>+</t>
        </is>
      </c>
      <c r="L12" s="162">
        <f>F12/(1-F26-D26)*(H26-1)</f>
        <v>34.246645656565654</v>
      </c>
      <c r="M12" s="163" t="inlineStr">
        <is>
          <t>=</t>
        </is>
      </c>
      <c r="N12" s="157">
        <f>F12/(1-F26-D26)*H26</f>
        <v>119.8632597979798</v>
      </c>
    </row>
    <row r="13" ht="18" customHeight="1">
      <c r="B13" s="164">
        <f>B12/$N$12</f>
        <v>0.2306628406952936</v>
      </c>
      <c r="D13" s="165">
        <f>D12/$N$12</f>
        <v>0.09076573073327787</v>
      </c>
      <c r="F13" s="166">
        <f>F12/$N$12</f>
        <v>0.32142857142857145</v>
      </c>
      <c r="H13" s="167">
        <f>H12/$N$12</f>
        <v>0.17857142857142858</v>
      </c>
      <c r="J13" s="168">
        <f>J12/$N$12</f>
        <v>0.2142857142857143</v>
      </c>
      <c r="L13" s="169">
        <f>L12/$N$12</f>
        <v>0.2857142857142857</v>
      </c>
      <c r="N13" s="166">
        <f>N12/$N$12</f>
        <v>1</v>
      </c>
    </row>
    <row r="15" ht="20" customHeight="1">
      <c r="B15" s="154" t="inlineStr">
        <is>
          <t>ПО КАЖДОМУ SKU — цена закупки сейчас и в запросе</t>
        </is>
      </c>
      <c r="C15" s="155" t="n"/>
      <c r="D15" s="155" t="n"/>
      <c r="E15" s="155" t="n"/>
      <c r="F15" s="155" t="n"/>
      <c r="G15" s="155" t="n"/>
      <c r="H15" s="155" t="n"/>
      <c r="I15" s="155" t="n"/>
      <c r="J15" s="155" t="n"/>
      <c r="K15" s="155" t="n"/>
      <c r="L15" s="155" t="n"/>
      <c r="M15" s="155" t="n"/>
      <c r="N15" s="155" t="n"/>
    </row>
    <row r="16" ht="32" customHeight="1">
      <c r="B16" s="170" t="inlineStr">
        <is>
          <t>Продукт SIAS</t>
        </is>
      </c>
      <c r="D16" s="170" t="inlineStr">
        <is>
          <t>Цена сейчас, €/уп.</t>
        </is>
      </c>
      <c r="F16" s="170" t="inlineStr">
        <is>
          <t>Запрос, €/уп.</t>
        </is>
      </c>
      <c r="H16" s="170" t="inlineStr">
        <is>
          <t>Снижение</t>
        </is>
      </c>
      <c r="J16" s="170" t="inlineStr">
        <is>
          <t>Полка сейчас (маржа 30 %), ₴</t>
        </is>
      </c>
      <c r="L16" s="170" t="inlineStr">
        <is>
          <t>Отрыв от цели 120, ₴</t>
        </is>
      </c>
    </row>
    <row r="17" ht="22" customHeight="1">
      <c r="B17" s="171" t="str">
        <f>'Финмодель 33 паллет'!C11</f>
        <v>Gouda Cheese 123 г</v>
      </c>
      <c r="D17" s="172" t="n">
        <v>0.75</v>
      </c>
      <c r="F17" s="173">
        <f>$L$7</f>
        <v>0.54</v>
      </c>
      <c r="H17" s="174">
        <f>1-F17/D17</f>
        <v>0.2799999999999999</v>
      </c>
      <c r="J17" s="175">
        <f>'Финмодель 33 паллет'!T11</f>
        <v>162.17698030634565</v>
      </c>
      <c r="L17" s="176">
        <f>J17-$B$26</f>
        <v>42.176980306345655</v>
      </c>
    </row>
    <row r="18" ht="22" customHeight="1">
      <c r="B18" s="177" t="str">
        <f>'Финмодель 33 паллет'!C12</f>
        <v>Carbonara Spicy 131 г</v>
      </c>
      <c r="D18" s="172" t="n">
        <v>0.75</v>
      </c>
      <c r="F18" s="178">
        <f>$L$7</f>
        <v>0.54</v>
      </c>
      <c r="H18" s="179">
        <f>1-F18/D18</f>
        <v>0.2799999999999999</v>
      </c>
      <c r="J18" s="180">
        <f>'Финмодель 33 паллет'!T12</f>
        <v>162.17698030634565</v>
      </c>
      <c r="L18" s="181">
        <f>J18-$B$26</f>
        <v>42.176980306345655</v>
      </c>
    </row>
    <row r="19" ht="22" customHeight="1">
      <c r="B19" s="171" t="str">
        <f>'Финмодель 33 паллет'!C13</f>
        <v>Vegetable Flavor 113 г</v>
      </c>
      <c r="D19" s="172" t="n">
        <v>0.65</v>
      </c>
      <c r="F19" s="173">
        <f>$L$7</f>
        <v>0.54</v>
      </c>
      <c r="H19" s="174">
        <f>1-F19/D19</f>
        <v>0.16923076923076918</v>
      </c>
      <c r="J19" s="175">
        <f>'Финмодель 33 паллет'!T13</f>
        <v>140.55338293216636</v>
      </c>
      <c r="L19" s="176">
        <f>J19-$B$26</f>
        <v>20.553382932166357</v>
      </c>
    </row>
    <row r="20" ht="22" customHeight="1">
      <c r="B20" s="177" t="str">
        <f>'Финмодель 33 паллет'!C14</f>
        <v>Spicy Flavor 112.5 г</v>
      </c>
      <c r="D20" s="172" t="n">
        <v>0.65</v>
      </c>
      <c r="F20" s="178">
        <f>$L$7</f>
        <v>0.54</v>
      </c>
      <c r="H20" s="179">
        <f>1-F20/D20</f>
        <v>0.16923076923076918</v>
      </c>
      <c r="J20" s="180">
        <f>'Финмодель 33 паллет'!T14</f>
        <v>140.55338293216636</v>
      </c>
      <c r="L20" s="181">
        <f>J20-$B$26</f>
        <v>20.553382932166357</v>
      </c>
    </row>
    <row r="21" ht="22" customHeight="1">
      <c r="B21" s="171" t="str">
        <f>'Финмодель 33 паллет'!C15</f>
        <v>Beef Flavor 113 г</v>
      </c>
      <c r="D21" s="172" t="n">
        <v>0.65</v>
      </c>
      <c r="F21" s="173">
        <f>$L$7</f>
        <v>0.54</v>
      </c>
      <c r="H21" s="174">
        <f>1-F21/D21</f>
        <v>0.16923076923076918</v>
      </c>
      <c r="J21" s="175">
        <f>'Финмодель 33 паллет'!T15</f>
        <v>140.55338293216636</v>
      </c>
      <c r="L21" s="176">
        <f>J21-$B$26</f>
        <v>20.553382932166357</v>
      </c>
    </row>
    <row r="22" ht="22" customHeight="1">
      <c r="B22" s="177" t="str">
        <f>'Финмодель 33 паллет'!C16</f>
        <v>Chicken Flavor 113 г</v>
      </c>
      <c r="D22" s="172" t="n">
        <v>0.65</v>
      </c>
      <c r="F22" s="178">
        <f>$L$7</f>
        <v>0.54</v>
      </c>
      <c r="H22" s="179">
        <f>1-F22/D22</f>
        <v>0.16923076923076918</v>
      </c>
      <c r="J22" s="180">
        <f>'Финмодель 33 паллет'!T16</f>
        <v>140.55338293216636</v>
      </c>
      <c r="L22" s="181">
        <f>J22-$B$26</f>
        <v>20.553382932166357</v>
      </c>
    </row>
    <row r="24" ht="20" customHeight="1">
      <c r="B24" s="154" t="inlineStr">
        <is>
          <t>ИСХОДНЫЕ ДАННЫЕ — жёлтое можно менять, зелёное — из вкладки «Финмодель 33 паллет», остальное — формулы</t>
        </is>
      </c>
      <c r="C24" s="155" t="n"/>
      <c r="D24" s="155" t="n"/>
      <c r="E24" s="155" t="n"/>
      <c r="F24" s="155" t="n"/>
      <c r="G24" s="155" t="n"/>
      <c r="H24" s="155" t="n"/>
      <c r="I24" s="155" t="n"/>
      <c r="J24" s="155" t="n"/>
      <c r="K24" s="155" t="n"/>
      <c r="L24" s="155" t="n"/>
      <c r="M24" s="155" t="n"/>
      <c r="N24" s="155" t="n"/>
    </row>
    <row r="25" ht="18" customHeight="1">
      <c r="B25" s="182" t="inlineStr">
        <is>
          <t>Полка, ₴</t>
        </is>
      </c>
      <c r="D25" s="182" t="inlineStr">
        <is>
          <t>Наша маржа</t>
        </is>
      </c>
      <c r="F25" s="182" t="inlineStr">
        <is>
          <t>Бонус сети</t>
        </is>
      </c>
      <c r="H25" s="182" t="inlineStr">
        <is>
          <t>Множитель полки</t>
        </is>
      </c>
      <c r="J25" s="182" t="inlineStr">
        <is>
          <t>Курс, ₴/€</t>
        </is>
      </c>
      <c r="L25" s="182" t="inlineStr">
        <is>
          <t>Финансирование</t>
        </is>
      </c>
    </row>
    <row r="26" ht="22" customHeight="1">
      <c r="B26" s="183" t="n">
        <v>120</v>
      </c>
      <c r="D26" s="184" t="n">
        <v>0.3</v>
      </c>
      <c r="F26" s="185">
        <f>'Финмодель 33 паллет'!D4</f>
        <v>0.25</v>
      </c>
      <c r="H26" s="186">
        <f>'Финмодель 33 паллет'!D6</f>
        <v>1.4</v>
      </c>
      <c r="J26" s="187">
        <f>'Финмодель 33 паллет'!D3</f>
        <v>51.2</v>
      </c>
      <c r="L26" s="184" t="n">
        <v>0.025</v>
      </c>
    </row>
    <row r="27" ht="18" customHeight="1">
      <c r="B27" s="182" t="inlineStr">
        <is>
          <t>Импортный ПДВ</t>
        </is>
      </c>
      <c r="D27" s="182" t="inlineStr">
        <is>
          <t>Пошлина</t>
        </is>
      </c>
      <c r="F27" s="182" t="inlineStr">
        <is>
          <t>Перевозка партии, €</t>
        </is>
      </c>
      <c r="H27" s="182" t="inlineStr">
        <is>
          <t>Брокер, €</t>
        </is>
      </c>
      <c r="J27" s="182" t="inlineStr">
        <is>
          <t>Прочие расходы, €</t>
        </is>
      </c>
      <c r="L27" s="182" t="inlineStr">
        <is>
          <t>Доля фрахта в таможне</t>
        </is>
      </c>
    </row>
    <row r="28" ht="22" customHeight="1">
      <c r="B28" s="184" t="n">
        <v>0.2</v>
      </c>
      <c r="D28" s="184" t="n">
        <v>0</v>
      </c>
      <c r="F28" s="188" t="n">
        <v>3700</v>
      </c>
      <c r="H28" s="188" t="n">
        <v>288</v>
      </c>
      <c r="J28" s="188" t="n">
        <v>42</v>
      </c>
      <c r="L28" s="189" t="n">
        <v>0.7</v>
      </c>
    </row>
    <row r="29" ht="18" customHeight="1">
      <c r="B29" s="182" t="inlineStr">
        <is>
          <t>Паллет в партии</t>
        </is>
      </c>
      <c r="D29" s="182" t="inlineStr">
        <is>
          <t>Пачек на паллете</t>
        </is>
      </c>
    </row>
    <row r="30" ht="22" customHeight="1">
      <c r="B30" s="188" t="n">
        <v>33</v>
      </c>
      <c r="D30" s="188" t="n">
        <v>1600</v>
      </c>
      <c r="F30" s="190" t="inlineStr">
        <is>
          <t>Источник чисел: Self-Cost_Sias (перевозка, брокер, прочие, ПДВ, фінансування, пачек на паллете).</t>
        </is>
      </c>
    </row>
    <row r="32" ht="20" customHeight="1">
      <c r="B32" s="154" t="inlineStr">
        <is>
          <t>ЕСЛИ НАША МАРЖА ДРУГАЯ — запрос при той же полке</t>
        </is>
      </c>
      <c r="C32" s="155" t="n"/>
      <c r="D32" s="155" t="n"/>
      <c r="E32" s="155" t="n"/>
      <c r="F32" s="155" t="n"/>
      <c r="G32" s="155" t="n"/>
      <c r="H32" s="155" t="n"/>
      <c r="I32" s="155" t="n"/>
      <c r="J32" s="155" t="n"/>
      <c r="K32" s="155" t="n"/>
      <c r="L32" s="155" t="n"/>
      <c r="M32" s="155" t="n"/>
      <c r="N32" s="155" t="n"/>
    </row>
    <row r="33" ht="22" customHeight="1">
      <c r="B33" s="191" t="n">
        <v>0.35</v>
      </c>
      <c r="D33" s="191" t="n">
        <v>0.25</v>
      </c>
      <c r="F33" s="191" t="n">
        <v>0.2</v>
      </c>
      <c r="H33" s="191" t="n">
        <v>0.15</v>
      </c>
      <c r="J33" s="192" t="inlineStr">
        <is>
          <t>запрос, €/уп.: чем ниже наша маржа, тем выше допустимая закупка</t>
        </is>
      </c>
    </row>
    <row r="34" ht="28" customHeight="1">
      <c r="B34" s="193">
        <f>ROUNDDOWN((($B$26/$H$26*(1-$F$26-B33))/$J$26/(1+$L$26)-($F$28+$H$28+$J$28+$F$28*$L$28*($D$28+$B$28*(1+$D$28)))/($B$30*$D$30))/((1+$D$28)*(1+$B$28)),2)</f>
        <v>0.47</v>
      </c>
      <c r="D34" s="193">
        <f>ROUNDDOWN((($B$26/$H$26*(1-$F$26-D33))/$J$26/(1+$L$26)-($F$28+$H$28+$J$28+$F$28*$L$28*($D$28+$B$28*(1+$D$28)))/($B$30*$D$30))/((1+$D$28)*(1+$B$28)),2)</f>
        <v>0.6</v>
      </c>
      <c r="F34" s="193">
        <f>ROUNDDOWN((($B$26/$H$26*(1-$F$26-F33))/$J$26/(1+$L$26)-($F$28+$H$28+$J$28+$F$28*$L$28*($D$28+$B$28*(1+$D$28)))/($B$30*$D$30))/((1+$D$28)*(1+$B$28)),2)</f>
        <v>0.67</v>
      </c>
      <c r="H34" s="193">
        <f>ROUNDDOWN((($B$26/$H$26*(1-$F$26-H33))/$J$26/(1+$L$26)-($F$28+$H$28+$J$28+$F$28*$L$28*($D$28+$B$28*(1+$D$28)))/($B$30*$D$30))/((1+$D$28)*(1+$B$28)),2)</f>
        <v>0.74</v>
      </c>
    </row>
    <row r="36" ht="30" customHeight="1">
      <c r="B36" s="190" t="inlineStr">
        <is>
          <t>Допущения: бонус и множитель — по модели (не подтверждены сетями); импортный ПДВ входит в себестоимость, как в Self-Cost (если возмещается — допустимая закупка выше); без листинг-фи, промо и отсрочки; согласие SIAS не получено — цена для переговоров.</t>
        </is>
      </c>
    </row>
  </sheetData>
  <mergeCells count="10">
    <mergeCell ref="B5:N5"/>
    <mergeCell ref="B36:N36"/>
    <mergeCell ref="J33:N34"/>
    <mergeCell ref="B24:N24"/>
    <mergeCell ref="B32:N32"/>
    <mergeCell ref="B15:N15"/>
    <mergeCell ref="B3:N3"/>
    <mergeCell ref="B2:N2"/>
    <mergeCell ref="B10:N10"/>
    <mergeCell ref="F30:N30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2026-10-07T08:23:08Z</dcterms:created>
  <dcterms:modified xmlns:dcterms="http://purl.org/dc/terms/" xmlns:xsi="http://www.w3.org/2001/XMLSchema-instance" xsi:type="dcterms:W3CDTF">2026-10-07T08:23:08Z</dcterms:modified>
  <cp:lastModifiedBy>Чаплигін lлля</cp:lastModifiedBy>
</cp:coreProperties>
</file>