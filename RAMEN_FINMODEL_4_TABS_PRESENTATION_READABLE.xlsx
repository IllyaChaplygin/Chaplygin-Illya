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&quot;€&quot;0.00"/>
    <numFmt numFmtId="173" formatCode="0.0%"/>
    <numFmt numFmtId="174" formatCode="&quot;€&quot;#,##0.00"/>
    <numFmt numFmtId="175" formatCode="#,##0.0000"/>
    <numFmt numFmtId="176" formatCode="&quot;МАРЖА &quot;0%"/>
    <numFmt numFmtId="177" formatCode="0.00&quot; грн&quot;"/>
    <numFmt numFmtId="178" formatCode="&quot;€&quot;0.0000"/>
    <numFmt numFmtId="179" formatCode="&quot;Мин. &quot;0.00&quot; грн&quot;"/>
    <numFmt numFmtId="180" formatCode="&quot;Макс. &quot;0.00&quot; грн&quot;"/>
    <numFmt numFmtId="181" formatCode="_(* #,##0.00_);_(* \(#,##0.00\);_(* \-??_);_(@_)"/>
    <numFmt numFmtId="182" formatCode="_(* #,##0_);_(* \(#,##0\);_(* \-_);_(@_)"/>
    <numFmt numFmtId="183" formatCode="_(\$* #,##0.00_);_(\$* \(#,##0.00\);_(\$* \-??_);_(@_)"/>
    <numFmt numFmtId="184" formatCode="_(\$* #,##0_);_(\$* \(#,##0\);_(\$* \-_);_(@_)"/>
    <numFmt numFmtId="185" formatCode="&quot;€&quot;0.000"/>
    <numFmt numFmtId="186" formatCode="+&quot;€&quot;0.000;-&quot;€&quot;0.000"/>
    <numFmt numFmtId="187" formatCode="+#,##0.00;-#,##0.00"/>
  </numFmts>
  <fonts count="52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color rgb="FF454545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color rgb="FF172B46"/>
      <sz val="11"/>
    </font>
    <font>
      <name val="Arial"/>
      <color rgb="FF172B46"/>
      <sz val="18"/>
    </font>
    <font>
      <name val="Arial"/>
      <b val="1"/>
      <color rgb="FF172B46"/>
      <sz val="18"/>
    </font>
    <font>
      <name val="Arial"/>
      <color rgb="FF5E6D7E"/>
      <sz val="11"/>
    </font>
    <font>
      <name val="Arial"/>
      <b val="1"/>
      <color rgb="FF223A5E"/>
      <sz val="20"/>
    </font>
    <font>
      <name val="Arial"/>
      <b val="1"/>
      <color rgb="FFFFFFFF"/>
      <sz val="11"/>
    </font>
    <font>
      <name val="Arial"/>
      <b val="1"/>
      <color rgb="FF172B46"/>
      <sz val="11"/>
    </font>
    <font>
      <name val="Arial"/>
      <b val="1"/>
      <color rgb="FF172B46"/>
      <sz val="16"/>
    </font>
    <font>
      <name val="Arial"/>
      <color rgb="FF172B46"/>
      <sz val="13"/>
    </font>
    <font>
      <name val="Arial"/>
      <color rgb="FF172B46"/>
      <sz val="16"/>
    </font>
    <font>
      <name val="Arial"/>
      <color rgb="FF172B46"/>
      <sz val="15"/>
    </font>
    <font>
      <name val="Arial"/>
      <b val="1"/>
      <color rgb="FF172B46"/>
      <sz val="15"/>
    </font>
    <font>
      <name val="Arial"/>
      <color rgb="FF172B46"/>
      <sz val="10"/>
    </font>
    <font>
      <name val="Arial"/>
      <b val="1"/>
      <color rgb="00172B46"/>
      <sz val="16"/>
    </font>
    <font>
      <name val="Arial"/>
      <b val="1"/>
      <color rgb="00223A5E"/>
      <sz val="11"/>
    </font>
    <font>
      <name val="Arial"/>
      <b val="1"/>
      <color rgb="00172B46"/>
      <sz val="20"/>
    </font>
    <font>
      <name val="Arial"/>
      <color rgb="005E6D7E"/>
      <sz val="10"/>
    </font>
    <font>
      <name val="Arial"/>
      <b val="1"/>
      <color rgb="00B53A3A"/>
      <sz val="10"/>
    </font>
    <font>
      <name val="Arial"/>
      <b val="1"/>
      <color rgb="00FFFFFF"/>
      <sz val="9"/>
    </font>
    <font>
      <name val="Arial"/>
      <b val="1"/>
      <color rgb="00172B46"/>
      <sz val="10"/>
    </font>
    <font>
      <name val="Arial"/>
      <color rgb="00008000"/>
      <sz val="10"/>
    </font>
    <font>
      <name val="Arial"/>
      <b val="1"/>
      <color rgb="00172B46"/>
      <sz val="12"/>
    </font>
    <font>
      <name val="Arial"/>
      <color rgb="00172B46"/>
      <sz val="12"/>
    </font>
    <font>
      <name val="Arial"/>
      <b val="1"/>
      <color rgb="00172B46"/>
      <sz val="13"/>
    </font>
    <font>
      <name val="Arial"/>
      <b val="1"/>
      <color rgb="00223A5E"/>
      <sz val="10"/>
    </font>
    <font>
      <name val="Arial"/>
      <i val="1"/>
      <color rgb="005E6D7E"/>
      <sz val="9"/>
    </font>
    <font>
      <name val="Arial"/>
      <b val="1"/>
      <color rgb="00223A5E"/>
      <sz val="9"/>
    </font>
    <font>
      <name val="Arial"/>
      <b val="1"/>
      <color rgb="005E6D7E"/>
      <sz val="8"/>
    </font>
    <font>
      <name val="Arial"/>
      <b val="1"/>
      <color rgb="000000FF"/>
      <sz val="11"/>
    </font>
    <font>
      <name val="Arial"/>
      <b val="1"/>
      <color rgb="00008000"/>
      <sz val="11"/>
    </font>
    <font>
      <name val="Arial"/>
      <b val="1"/>
      <color rgb="005E6D7E"/>
      <sz val="9"/>
    </font>
    <font>
      <name val="Arial"/>
      <i val="1"/>
      <color rgb="005E6D7E"/>
      <sz val="8"/>
    </font>
    <font>
      <name val="Arial"/>
      <color rgb="005E6D7E"/>
      <sz val="9"/>
    </font>
    <font>
      <name val="Arial"/>
      <b val="1"/>
      <color rgb="00172B46"/>
      <sz val="11"/>
    </font>
    <font>
      <name val="Arial"/>
      <color rgb="00172B46"/>
      <sz val="11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DF2F8"/>
      </patternFill>
    </fill>
    <fill>
      <patternFill patternType="solid">
        <fgColor rgb="FFFFF4D2"/>
      </patternFill>
    </fill>
    <fill>
      <patternFill patternType="solid">
        <fgColor rgb="FF223A5E"/>
      </patternFill>
    </fill>
    <fill>
      <patternFill patternType="solid">
        <fgColor rgb="FFF2F5F9"/>
      </patternFill>
    </fill>
    <fill>
      <patternFill patternType="solid">
        <fgColor rgb="FFE7EDF5"/>
      </patternFill>
    </fill>
    <fill>
      <patternFill patternType="solid">
        <fgColor rgb="00E7EDF5"/>
      </patternFill>
    </fill>
    <fill>
      <patternFill patternType="solid">
        <fgColor rgb="00FCE3A6"/>
      </patternFill>
    </fill>
    <fill>
      <patternFill patternType="solid">
        <fgColor rgb="003E5A85"/>
      </patternFill>
    </fill>
    <fill>
      <patternFill patternType="solid">
        <fgColor rgb="005A74A0"/>
      </patternFill>
    </fill>
    <fill>
      <patternFill patternType="solid">
        <fgColor rgb="00F2F5F9"/>
      </patternFill>
    </fill>
    <fill>
      <patternFill patternType="solid">
        <fgColor rgb="00FFF4D2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  <border>
      <left/>
      <right/>
      <top style="thin">
        <color rgb="00D5DCE8"/>
      </top>
      <bottom style="thin">
        <color rgb="00D5DCE8"/>
      </bottom>
      <diagonal/>
    </border>
    <border>
      <bottom style="medium">
        <color rgb="00223A5E"/>
      </bottom>
    </border>
  </borders>
  <cellStyleXfs count="7">
    <xf numFmtId="0" fontId="12" fillId="19" borderId="11"/>
    <xf numFmtId="181" fontId="1" fillId="19" borderId="11"/>
    <xf numFmtId="182" fontId="1" fillId="19" borderId="11"/>
    <xf numFmtId="183" fontId="1" fillId="19" borderId="11"/>
    <xf numFmtId="184" fontId="1" fillId="19" borderId="11"/>
    <xf numFmtId="0" fontId="12" fillId="19" borderId="11"/>
    <xf numFmtId="9" fontId="1" fillId="19" borderId="11"/>
  </cellStyleXfs>
  <cellXfs count="203">
    <xf numFmtId="0" fontId="0" fillId="0" borderId="0" pivotButton="0" quotePrefix="0" xfId="0"/>
    <xf numFmtId="0" fontId="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7" borderId="1" applyAlignment="1" pivotButton="0" quotePrefix="0" xfId="5">
      <alignment horizontal="center" vertical="center" wrapText="1"/>
    </xf>
    <xf numFmtId="0" fontId="10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0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6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8" applyAlignment="1" pivotButton="0" quotePrefix="0" xfId="5">
      <alignment horizontal="center" vertical="center" wrapText="1"/>
    </xf>
    <xf numFmtId="9" fontId="6" fillId="3" borderId="0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5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168" fontId="15" fillId="0" borderId="9" applyAlignment="1" pivotButton="0" quotePrefix="0" xfId="0">
      <alignment vertical="center"/>
    </xf>
    <xf numFmtId="2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0" fontId="15" fillId="0" borderId="9" applyAlignment="1" pivotButton="0" quotePrefix="0" xfId="0">
      <alignment vertical="center"/>
    </xf>
    <xf numFmtId="0" fontId="6" fillId="13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0" fontId="6" fillId="14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0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9" fillId="15" borderId="10" applyAlignment="1" pivotButton="0" quotePrefix="0" xfId="0">
      <alignment horizontal="center" vertical="center" wrapText="1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0" fontId="15" fillId="0" borderId="10" applyAlignment="1" pivotButton="0" quotePrefix="0" xfId="0">
      <alignment vertical="center"/>
    </xf>
    <xf numFmtId="0" fontId="9" fillId="18" borderId="10" applyAlignment="1" pivotButton="0" quotePrefix="0" xfId="0">
      <alignment horizontal="center" vertical="center" wrapText="1"/>
    </xf>
    <xf numFmtId="0" fontId="17" fillId="19" borderId="11" applyAlignment="1" pivotButton="0" quotePrefix="0" xfId="7">
      <alignment vertical="center"/>
    </xf>
    <xf numFmtId="0" fontId="17" fillId="19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0" fontId="17" fillId="23" borderId="11" applyAlignment="1" pivotButton="0" quotePrefix="0" xfId="7">
      <alignment vertical="center" wrapText="1"/>
    </xf>
    <xf numFmtId="3" fontId="17" fillId="23" borderId="11" applyAlignment="1" pivotButton="0" quotePrefix="0" xfId="7">
      <alignment vertical="center"/>
    </xf>
    <xf numFmtId="3" fontId="17" fillId="19" borderId="11" applyAlignment="1" pivotButton="0" quotePrefix="0" xfId="7">
      <alignment vertical="center"/>
    </xf>
    <xf numFmtId="172" fontId="17" fillId="23" borderId="11" applyAlignment="1" pivotButton="0" quotePrefix="0" xfId="7">
      <alignment vertical="center"/>
    </xf>
    <xf numFmtId="172" fontId="17" fillId="19" borderId="11" applyAlignment="1" pivotButton="0" quotePrefix="0" xfId="7">
      <alignment vertical="center"/>
    </xf>
    <xf numFmtId="173" fontId="17" fillId="23" borderId="11" applyAlignment="1" pivotButton="0" quotePrefix="0" xfId="7">
      <alignment vertical="center"/>
    </xf>
    <xf numFmtId="173" fontId="17" fillId="19" borderId="11" applyAlignment="1" pivotButton="0" quotePrefix="0" xfId="7">
      <alignment vertical="center"/>
    </xf>
    <xf numFmtId="174" fontId="17" fillId="23" borderId="11" applyAlignment="1" pivotButton="0" quotePrefix="0" xfId="7">
      <alignment vertical="center"/>
    </xf>
    <xf numFmtId="174" fontId="17" fillId="19" borderId="11" applyAlignment="1" pivotButton="0" quotePrefix="0" xfId="7">
      <alignment vertical="center"/>
    </xf>
    <xf numFmtId="172" fontId="23" fillId="23" borderId="11" applyAlignment="1" pivotButton="0" quotePrefix="0" xfId="7">
      <alignment vertical="center"/>
    </xf>
    <xf numFmtId="172" fontId="23" fillId="19" borderId="11" applyAlignment="1" pivotButton="0" quotePrefix="0" xfId="7">
      <alignment vertical="center"/>
    </xf>
    <xf numFmtId="0" fontId="23" fillId="24" borderId="11" applyAlignment="1" pivotButton="0" quotePrefix="0" xfId="7">
      <alignment vertical="center"/>
    </xf>
    <xf numFmtId="3" fontId="23" fillId="24" borderId="11" applyAlignment="1" pivotButton="0" quotePrefix="0" xfId="7">
      <alignment vertical="center"/>
    </xf>
    <xf numFmtId="174" fontId="23" fillId="24" borderId="11" applyAlignment="1" pivotButton="0" quotePrefix="0" xfId="7">
      <alignment vertical="center"/>
    </xf>
    <xf numFmtId="2" fontId="17" fillId="21" borderId="11" applyAlignment="1" pivotButton="0" quotePrefix="0" xfId="7">
      <alignment vertical="center"/>
    </xf>
    <xf numFmtId="4" fontId="17" fillId="21" borderId="11" applyAlignment="1" pivotButton="0" quotePrefix="0" xfId="7">
      <alignment vertical="center"/>
    </xf>
    <xf numFmtId="173" fontId="17" fillId="21" borderId="11" applyAlignment="1" pivotButton="0" quotePrefix="0" xfId="7">
      <alignment vertical="center"/>
    </xf>
    <xf numFmtId="3" fontId="17" fillId="21" borderId="11" applyAlignment="1" pivotButton="0" quotePrefix="0" xfId="7">
      <alignment vertical="center"/>
    </xf>
    <xf numFmtId="175" fontId="17" fillId="19" borderId="11" applyAlignment="1" pivotButton="0" quotePrefix="0" xfId="7">
      <alignment vertical="center"/>
    </xf>
    <xf numFmtId="10" fontId="17" fillId="19" borderId="11" applyAlignment="1" pivotButton="0" quotePrefix="0" xfId="7">
      <alignment vertical="center"/>
    </xf>
    <xf numFmtId="0" fontId="1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4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14" fillId="0" borderId="1" applyAlignment="1" pivotButton="0" quotePrefix="0" xfId="5">
      <alignment horizontal="center"/>
    </xf>
    <xf numFmtId="0" fontId="2" fillId="0" borderId="1" applyAlignment="1" pivotButton="0" quotePrefix="0" xfId="5">
      <alignment horizontal="center"/>
    </xf>
    <xf numFmtId="0" fontId="13" fillId="0" borderId="4" applyAlignment="1" pivotButton="0" quotePrefix="0" xfId="5">
      <alignment horizontal="left" vertical="center"/>
    </xf>
    <xf numFmtId="0" fontId="13" fillId="0" borderId="5" applyAlignment="1" pivotButton="0" quotePrefix="0" xfId="5">
      <alignment horizontal="left" vertical="center"/>
    </xf>
    <xf numFmtId="0" fontId="13" fillId="0" borderId="6" applyAlignment="1" pivotButton="0" quotePrefix="0" xfId="5">
      <alignment horizontal="left" vertical="center"/>
    </xf>
    <xf numFmtId="0" fontId="7" fillId="0" borderId="2" applyAlignment="1" pivotButton="0" quotePrefix="0" xfId="5">
      <alignment vertical="center"/>
    </xf>
    <xf numFmtId="0" fontId="3" fillId="0" borderId="7" applyAlignment="1" pivotButton="0" quotePrefix="0" xfId="5">
      <alignment horizontal="left" vertical="center" wrapText="1"/>
    </xf>
    <xf numFmtId="0" fontId="13" fillId="0" borderId="7" applyAlignment="1" pivotButton="0" quotePrefix="0" xfId="5">
      <alignment horizontal="left" vertical="center" wrapText="1"/>
    </xf>
    <xf numFmtId="0" fontId="16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0" fontId="15" fillId="0" borderId="9" applyAlignment="1" pivotButton="0" quotePrefix="0" xfId="0">
      <alignment vertical="center" wrapText="1"/>
    </xf>
    <xf numFmtId="176" fontId="9" fillId="15" borderId="10" applyAlignment="1" pivotButton="0" quotePrefix="0" xfId="0">
      <alignment horizontal="center" vertical="center" wrapText="1"/>
    </xf>
    <xf numFmtId="0" fontId="9" fillId="15" borderId="10" applyAlignment="1" pivotButton="0" quotePrefix="0" xfId="0">
      <alignment horizontal="center" vertical="center" wrapText="1"/>
    </xf>
    <xf numFmtId="0" fontId="6" fillId="13" borderId="9" applyAlignment="1" pivotButton="0" quotePrefix="0" xfId="0">
      <alignment vertical="center"/>
    </xf>
    <xf numFmtId="0" fontId="6" fillId="13" borderId="9" applyAlignment="1" pivotButton="0" quotePrefix="0" xfId="0">
      <alignment vertical="center" wrapText="1"/>
    </xf>
    <xf numFmtId="0" fontId="6" fillId="14" borderId="9" applyAlignment="1" pivotButton="0" quotePrefix="0" xfId="0">
      <alignment vertical="center"/>
    </xf>
    <xf numFmtId="0" fontId="6" fillId="14" borderId="9" applyAlignment="1" pivotButton="0" quotePrefix="0" xfId="0">
      <alignment vertical="center" wrapText="1"/>
    </xf>
    <xf numFmtId="176" fontId="9" fillId="18" borderId="10" applyAlignment="1" pivotButton="0" quotePrefix="0" xfId="0">
      <alignment horizontal="center" vertical="center" wrapText="1"/>
    </xf>
    <xf numFmtId="0" fontId="9" fillId="18" borderId="10" applyAlignment="1" pivotButton="0" quotePrefix="0" xfId="0">
      <alignment horizontal="center" vertical="center" wrapText="1"/>
    </xf>
    <xf numFmtId="0" fontId="19" fillId="19" borderId="11" applyAlignment="1" pivotButton="0" quotePrefix="0" xfId="7">
      <alignment vertical="center" wrapText="1"/>
    </xf>
    <xf numFmtId="0" fontId="18" fillId="19" borderId="11" applyAlignment="1" pivotButton="0" quotePrefix="0" xfId="7">
      <alignment vertical="center" wrapText="1"/>
    </xf>
    <xf numFmtId="0" fontId="17" fillId="19" borderId="11" applyAlignment="1" pivotButton="0" quotePrefix="0" xfId="7">
      <alignment vertical="center" wrapText="1"/>
    </xf>
    <xf numFmtId="0" fontId="20" fillId="19" borderId="11" applyAlignment="1" pivotButton="0" quotePrefix="0" xfId="7">
      <alignment vertical="center" wrapText="1"/>
    </xf>
    <xf numFmtId="172" fontId="21" fillId="21" borderId="11" applyAlignment="1" pivotButton="0" quotePrefix="0" xfId="7">
      <alignment vertical="center"/>
    </xf>
    <xf numFmtId="3" fontId="21" fillId="20" borderId="11" applyAlignment="1" pivotButton="0" quotePrefix="0" xfId="7">
      <alignment vertical="center"/>
    </xf>
    <xf numFmtId="174" fontId="21" fillId="20" borderId="11" applyAlignment="1" pivotButton="0" quotePrefix="0" xfId="7">
      <alignment vertical="center"/>
    </xf>
    <xf numFmtId="177" fontId="19" fillId="20" borderId="11" applyAlignment="1" pivotButton="0" quotePrefix="0" xfId="7">
      <alignment vertical="center" wrapText="1"/>
    </xf>
    <xf numFmtId="9" fontId="19" fillId="20" borderId="11" applyAlignment="1" pivotButton="0" quotePrefix="0" xfId="7">
      <alignment vertical="center" wrapText="1"/>
    </xf>
    <xf numFmtId="178" fontId="19" fillId="20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177" fontId="17" fillId="19" borderId="11" applyAlignment="1" pivotButton="0" quotePrefix="0" xfId="7">
      <alignment vertical="center" wrapText="1"/>
    </xf>
    <xf numFmtId="0" fontId="23" fillId="24" borderId="11" applyAlignment="1" pivotButton="0" quotePrefix="0" xfId="7">
      <alignment vertical="center" wrapText="1"/>
    </xf>
    <xf numFmtId="177" fontId="23" fillId="24" borderId="11" applyAlignment="1" pivotButton="0" quotePrefix="0" xfId="7">
      <alignment vertical="center" wrapText="1"/>
    </xf>
    <xf numFmtId="0" fontId="24" fillId="24" borderId="11" applyAlignment="1" pivotButton="0" quotePrefix="0" xfId="7">
      <alignment vertical="center" wrapText="1"/>
    </xf>
    <xf numFmtId="177" fontId="24" fillId="24" borderId="11" applyAlignment="1" pivotButton="0" quotePrefix="0" xfId="7">
      <alignment vertical="center" wrapText="1"/>
    </xf>
    <xf numFmtId="179" fontId="25" fillId="19" borderId="11" applyAlignment="1" pivotButton="0" quotePrefix="0" xfId="7">
      <alignment vertical="center" wrapText="1"/>
    </xf>
    <xf numFmtId="180" fontId="25" fillId="19" borderId="11" applyAlignment="1" pivotButton="0" quotePrefix="0" xfId="7">
      <alignment vertical="center" wrapText="1"/>
    </xf>
    <xf numFmtId="177" fontId="24" fillId="19" borderId="11" applyAlignment="1" pivotButton="0" quotePrefix="0" xfId="7">
      <alignment vertical="center" wrapText="1"/>
    </xf>
    <xf numFmtId="177" fontId="26" fillId="19" borderId="11" applyAlignment="1" pivotButton="0" quotePrefix="0" xfId="7">
      <alignment vertical="center" wrapText="1"/>
    </xf>
    <xf numFmtId="10" fontId="24" fillId="19" borderId="11" applyAlignment="1" pivotButton="0" quotePrefix="0" xfId="7">
      <alignment vertical="center" wrapText="1"/>
    </xf>
    <xf numFmtId="10" fontId="26" fillId="19" borderId="11" applyAlignment="1" pivotButton="0" quotePrefix="0" xfId="7">
      <alignment vertical="center" wrapText="1"/>
    </xf>
    <xf numFmtId="0" fontId="28" fillId="19" borderId="11" applyAlignment="1" pivotButton="0" quotePrefix="0" xfId="7">
      <alignment vertical="center" wrapText="1"/>
    </xf>
    <xf numFmtId="0" fontId="27" fillId="19" borderId="11" applyAlignment="1" pivotButton="0" quotePrefix="0" xfId="7">
      <alignment vertical="center" wrapText="1"/>
    </xf>
    <xf numFmtId="0" fontId="29" fillId="19" borderId="11" applyAlignment="1" pivotButton="0" quotePrefix="0" xfId="7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3" pivotButton="0" quotePrefix="0" xfId="0"/>
    <xf numFmtId="0" fontId="10" fillId="19" borderId="1" applyAlignment="1" pivotButton="0" quotePrefix="0" xfId="5">
      <alignment horizontal="center" vertical="center" wrapText="1"/>
    </xf>
    <xf numFmtId="0" fontId="0" fillId="0" borderId="20" pivotButton="0" quotePrefix="0" xfId="0"/>
    <xf numFmtId="0" fontId="13" fillId="0" borderId="1" applyAlignment="1" pivotButton="0" quotePrefix="0" xfId="5">
      <alignment horizontal="left" vertical="center"/>
    </xf>
    <xf numFmtId="176" fontId="9" fillId="15" borderId="1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76" fontId="9" fillId="18" borderId="10" applyAlignment="1" pivotButton="0" quotePrefix="0" xfId="0">
      <alignment horizontal="center" vertical="center" wrapText="1"/>
    </xf>
    <xf numFmtId="166" fontId="11" fillId="3" borderId="1" applyAlignment="1" pivotButton="0" quotePrefix="0" xfId="5">
      <alignment horizontal="center" vertical="center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67" fontId="1" fillId="0" borderId="1" applyAlignment="1" pivotButton="0" quotePrefix="0" xfId="5">
      <alignment horizontal="center" vertical="center" wrapText="1"/>
    </xf>
    <xf numFmtId="0" fontId="16" fillId="0" borderId="11" applyAlignment="1" pivotButton="0" quotePrefix="0" xfId="0">
      <alignment vertical="center"/>
    </xf>
    <xf numFmtId="0" fontId="9" fillId="12" borderId="11" applyAlignment="1" pivotButton="0" quotePrefix="0" xfId="0">
      <alignment horizontal="center" vertical="center" wrapText="1"/>
    </xf>
    <xf numFmtId="0" fontId="0" fillId="0" borderId="18" pivotButton="0" quotePrefix="0" xfId="0"/>
    <xf numFmtId="168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30" fillId="0" borderId="0" applyAlignment="1" pivotButton="0" quotePrefix="0" xfId="0">
      <alignment horizontal="left" vertical="center" wrapText="1"/>
    </xf>
    <xf numFmtId="0" fontId="31" fillId="25" borderId="0" applyAlignment="1" pivotButton="0" quotePrefix="0" xfId="0">
      <alignment horizontal="left" vertical="center" wrapText="1"/>
    </xf>
    <xf numFmtId="0" fontId="0" fillId="25" borderId="0" pivotButton="0" quotePrefix="0" xfId="0"/>
    <xf numFmtId="0" fontId="31" fillId="25" borderId="24" applyAlignment="1" pivotButton="0" quotePrefix="0" xfId="0">
      <alignment horizontal="left" vertical="center" wrapText="1"/>
    </xf>
    <xf numFmtId="172" fontId="32" fillId="26" borderId="24" applyAlignment="1" pivotButton="0" quotePrefix="0" xfId="0">
      <alignment horizontal="center" vertical="center" wrapText="1"/>
    </xf>
    <xf numFmtId="0" fontId="0" fillId="26" borderId="24" pivotButton="0" quotePrefix="0" xfId="0"/>
    <xf numFmtId="0" fontId="33" fillId="25" borderId="24" applyAlignment="1" pivotButton="0" quotePrefix="0" xfId="0">
      <alignment horizontal="center" vertical="center" wrapText="1"/>
    </xf>
    <xf numFmtId="0" fontId="0" fillId="25" borderId="24" pivotButton="0" quotePrefix="0" xfId="0"/>
    <xf numFmtId="0" fontId="34" fillId="25" borderId="24" applyAlignment="1" pivotButton="0" quotePrefix="0" xfId="0">
      <alignment horizontal="center" vertical="center" wrapText="1"/>
    </xf>
    <xf numFmtId="0" fontId="35" fillId="27" borderId="0" applyAlignment="1" pivotButton="0" quotePrefix="0" xfId="0">
      <alignment horizontal="center" vertical="center" wrapText="1"/>
    </xf>
    <xf numFmtId="0" fontId="0" fillId="27" borderId="0" pivotButton="0" quotePrefix="0" xfId="0"/>
    <xf numFmtId="0" fontId="35" fillId="28" borderId="0" applyAlignment="1" pivotButton="0" quotePrefix="0" xfId="0">
      <alignment horizontal="center" vertical="center" wrapText="1"/>
    </xf>
    <xf numFmtId="0" fontId="36" fillId="29" borderId="24" applyAlignment="1" pivotButton="0" quotePrefix="0" xfId="0">
      <alignment horizontal="left" vertical="center" wrapText="1"/>
    </xf>
    <xf numFmtId="185" fontId="37" fillId="29" borderId="24" applyAlignment="1" pivotButton="0" quotePrefix="0" xfId="0">
      <alignment horizontal="center" vertical="center" wrapText="1"/>
    </xf>
    <xf numFmtId="4" fontId="38" fillId="29" borderId="24" applyAlignment="1" pivotButton="0" quotePrefix="0" xfId="0">
      <alignment horizontal="center" vertical="center" wrapText="1"/>
    </xf>
    <xf numFmtId="185" fontId="33" fillId="29" borderId="24" applyAlignment="1" pivotButton="0" quotePrefix="0" xfId="0">
      <alignment horizontal="center" vertical="center" wrapText="1"/>
    </xf>
    <xf numFmtId="4" fontId="39" fillId="29" borderId="24" applyAlignment="1" pivotButton="0" quotePrefix="0" xfId="0">
      <alignment horizontal="center" vertical="center" wrapText="1"/>
    </xf>
    <xf numFmtId="4" fontId="40" fillId="29" borderId="24" applyAlignment="1" pivotButton="0" quotePrefix="0" xfId="0">
      <alignment horizontal="center" vertical="center" wrapText="1"/>
    </xf>
    <xf numFmtId="0" fontId="36" fillId="0" borderId="24" applyAlignment="1" pivotButton="0" quotePrefix="0" xfId="0">
      <alignment horizontal="left" vertical="center" wrapText="1"/>
    </xf>
    <xf numFmtId="4" fontId="38" fillId="0" borderId="24" applyAlignment="1" pivotButton="0" quotePrefix="0" xfId="0">
      <alignment horizontal="center" vertical="center" wrapText="1"/>
    </xf>
    <xf numFmtId="185" fontId="33" fillId="0" borderId="24" applyAlignment="1" pivotButton="0" quotePrefix="0" xfId="0">
      <alignment horizontal="center" vertical="center" wrapText="1"/>
    </xf>
    <xf numFmtId="4" fontId="39" fillId="0" borderId="24" applyAlignment="1" pivotButton="0" quotePrefix="0" xfId="0">
      <alignment horizontal="center" vertical="center" wrapText="1"/>
    </xf>
    <xf numFmtId="4" fontId="40" fillId="25" borderId="24" applyAlignment="1" pivotButton="0" quotePrefix="0" xfId="0">
      <alignment horizontal="center" vertical="center" wrapText="1"/>
    </xf>
    <xf numFmtId="0" fontId="41" fillId="26" borderId="24" applyAlignment="1" pivotButton="0" quotePrefix="0" xfId="0">
      <alignment horizontal="left" vertical="center" wrapText="1"/>
    </xf>
    <xf numFmtId="185" fontId="33" fillId="26" borderId="24" applyAlignment="1" pivotButton="0" quotePrefix="0" xfId="0">
      <alignment horizontal="center" vertical="center" wrapText="1"/>
    </xf>
    <xf numFmtId="4" fontId="38" fillId="26" borderId="24" applyAlignment="1" pivotButton="0" quotePrefix="0" xfId="0">
      <alignment horizontal="center" vertical="center" wrapText="1"/>
    </xf>
    <xf numFmtId="4" fontId="39" fillId="26" borderId="24" applyAlignment="1" pivotButton="0" quotePrefix="0" xfId="0">
      <alignment horizontal="center" vertical="center" wrapText="1"/>
    </xf>
    <xf numFmtId="4" fontId="40" fillId="26" borderId="24" applyAlignment="1" pivotButton="0" quotePrefix="0" xfId="0">
      <alignment horizontal="center" vertical="center" wrapText="1"/>
    </xf>
    <xf numFmtId="0" fontId="41" fillId="25" borderId="24" applyAlignment="1" pivotButton="0" quotePrefix="0" xfId="0">
      <alignment horizontal="left" vertical="center" wrapText="1"/>
    </xf>
    <xf numFmtId="186" fontId="34" fillId="25" borderId="24" applyAlignment="1" pivotButton="0" quotePrefix="0" xfId="0">
      <alignment horizontal="center" vertical="center" wrapText="1"/>
    </xf>
    <xf numFmtId="187" fontId="34" fillId="25" borderId="24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29" applyAlignment="1" pivotButton="0" quotePrefix="0" xfId="0">
      <alignment horizontal="left" vertical="center" wrapText="1"/>
    </xf>
    <xf numFmtId="0" fontId="0" fillId="0" borderId="29" pivotButton="0" quotePrefix="0" xfId="0"/>
    <xf numFmtId="0" fontId="44" fillId="0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left" vertical="center" wrapText="1"/>
    </xf>
    <xf numFmtId="4" fontId="45" fillId="30" borderId="24" applyAlignment="1" pivotButton="0" quotePrefix="0" xfId="0">
      <alignment horizontal="center" vertical="center" wrapText="1"/>
    </xf>
    <xf numFmtId="0" fontId="0" fillId="30" borderId="24" pivotButton="0" quotePrefix="0" xfId="0"/>
    <xf numFmtId="173" fontId="45" fillId="30" borderId="24" applyAlignment="1" pivotButton="0" quotePrefix="0" xfId="0">
      <alignment horizontal="center" vertical="center" wrapText="1"/>
    </xf>
    <xf numFmtId="173" fontId="46" fillId="29" borderId="24" applyAlignment="1" pivotButton="0" quotePrefix="0" xfId="0">
      <alignment horizontal="center" vertical="center" wrapText="1"/>
    </xf>
    <xf numFmtId="0" fontId="0" fillId="29" borderId="24" pivotButton="0" quotePrefix="0" xfId="0"/>
    <xf numFmtId="170" fontId="46" fillId="29" borderId="24" applyAlignment="1" pivotButton="0" quotePrefix="0" xfId="0">
      <alignment horizontal="center" vertical="center" wrapText="1"/>
    </xf>
    <xf numFmtId="2" fontId="46" fillId="29" borderId="24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 vertical="center" wrapText="1"/>
    </xf>
    <xf numFmtId="3" fontId="45" fillId="30" borderId="24" applyAlignment="1" pivotButton="0" quotePrefix="0" xfId="0">
      <alignment horizontal="center" vertical="center" wrapText="1"/>
    </xf>
    <xf numFmtId="2" fontId="45" fillId="30" borderId="24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172" fontId="50" fillId="26" borderId="24" applyAlignment="1" pivotButton="0" quotePrefix="0" xfId="0">
      <alignment horizontal="center" vertical="center" wrapText="1"/>
    </xf>
    <xf numFmtId="178" fontId="51" fillId="0" borderId="24" applyAlignment="1" pivotButton="0" quotePrefix="0" xfId="0">
      <alignment horizontal="center" vertical="center" wrapText="1"/>
    </xf>
    <xf numFmtId="0" fontId="0" fillId="0" borderId="24" pivotButton="0" quotePrefix="0" xfId="0"/>
    <xf numFmtId="4" fontId="51" fillId="0" borderId="24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6"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L11" activePane="bottomRight" state="frozen"/>
      <selection activeCell="P4" sqref="P3:P4"/>
      <selection pane="topRight" activeCell="P4" sqref="P3:P4"/>
      <selection pane="bottomLeft" activeCell="P4" sqref="P3:P4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6 палет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6 палет</t>
        </is>
      </c>
      <c r="E2" s="82" t="inlineStr">
        <is>
          <t>Готова СС із Self-Cost_Sias: AJ6:AJ11. Склад СС збережено.</t>
        </is>
      </c>
      <c r="F2" s="123" t="n"/>
      <c r="G2" s="123" t="n"/>
      <c r="H2" s="123" t="n"/>
      <c r="I2" s="123" t="n"/>
      <c r="J2" s="123" t="n"/>
      <c r="K2" s="122" t="n"/>
      <c r="L2" s="124" t="n"/>
      <c r="N2" s="124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124" t="n"/>
      <c r="N3" s="124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124" t="n"/>
      <c r="N4" s="124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124" t="n"/>
      <c r="N5" s="124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124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124" t="n"/>
    </row>
    <row r="8" ht="30" customFormat="1" customHeight="1" s="21">
      <c r="B8" s="80" t="inlineStr">
        <is>
          <t>Частка ціни для собівартості</t>
        </is>
      </c>
      <c r="C8" s="125" t="n"/>
      <c r="D8" s="24">
        <f>IF(AND(COUNT(D3:D6)=4,D3&gt;0,D4&gt;=0,D5&gt;=0,D4+D5&lt;1,D6&gt;0),1-D4-D5,NA())</f>
        <v>0.4</v>
      </c>
      <c r="E8" s="126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7" t="n">
        <v>0.3</v>
      </c>
      <c r="Q9" s="128" t="n"/>
      <c r="R9" s="128" t="n"/>
      <c r="S9" s="128" t="n"/>
      <c r="T9" s="129" t="n"/>
      <c r="U9" s="130" t="n">
        <v>0.25</v>
      </c>
      <c r="V9" s="128" t="n"/>
      <c r="W9" s="128" t="n"/>
      <c r="X9" s="128" t="n"/>
      <c r="Y9" s="129" t="n"/>
      <c r="Z9" s="127" t="n">
        <v>0.2</v>
      </c>
      <c r="AA9" s="128" t="n"/>
      <c r="AB9" s="128" t="n"/>
      <c r="AC9" s="128" t="n"/>
      <c r="AD9" s="129" t="n"/>
      <c r="AE9" s="130" t="n">
        <v>0.15</v>
      </c>
      <c r="AF9" s="128" t="n"/>
      <c r="AG9" s="128" t="n"/>
      <c r="AH9" s="128" t="n"/>
      <c r="AI9" s="129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1" t="n">
        <v>1.308515625</v>
      </c>
      <c r="F11" s="132">
        <f>IF(AND(ISNUMBER(E11),ISNUMBER($D$8)),E11*$D$3,NA())</f>
        <v>66.99600000000001</v>
      </c>
      <c r="G11" s="133">
        <f>F11/$D$8</f>
        <v>167.49</v>
      </c>
      <c r="H11" s="134">
        <f>G11*$D$4</f>
        <v>41.8725</v>
      </c>
      <c r="I11" s="135">
        <f>G11-F11-H11</f>
        <v>58.6215</v>
      </c>
      <c r="J11" s="13">
        <f>I11/G11</f>
        <v>0.35</v>
      </c>
      <c r="K11" s="136">
        <f>G11*$D$6</f>
        <v>234.486</v>
      </c>
      <c r="L11" s="137">
        <f>F11/(1-$D$4)</f>
        <v>89.32800000000002</v>
      </c>
      <c r="M11" s="137">
        <f>L11*$D$6</f>
        <v>125.05920000000002</v>
      </c>
      <c r="N11" s="138">
        <f>G11-F11</f>
        <v>100.494</v>
      </c>
      <c r="O11" s="139">
        <f>N11-H11</f>
        <v>58.6215</v>
      </c>
      <c r="P11" s="140">
        <f>$F11/(1-$D$4-$P$9)</f>
        <v>148.88000000000002</v>
      </c>
      <c r="Q11" s="141">
        <f>P11*$D$4</f>
        <v>37.220000000000006</v>
      </c>
      <c r="R11" s="142">
        <f>P11-$F11-Q11</f>
        <v>44.66400000000001</v>
      </c>
      <c r="S11" s="44">
        <f>R11/P11</f>
        <v>0.3</v>
      </c>
      <c r="T11" s="140">
        <f>P11*$D$6</f>
        <v>208.43200000000002</v>
      </c>
      <c r="U11" s="140">
        <f>$F11/(1-$D$4-$U$9)</f>
        <v>133.99200000000002</v>
      </c>
      <c r="V11" s="141">
        <f>U11*$D$4</f>
        <v>33.498000000000005</v>
      </c>
      <c r="W11" s="142">
        <f>U11-$F11-V11</f>
        <v>33.498000000000005</v>
      </c>
      <c r="X11" s="44">
        <f>W11/U11</f>
        <v>0.25</v>
      </c>
      <c r="Y11" s="140">
        <f>U11*$D$6</f>
        <v>187.58880000000002</v>
      </c>
      <c r="Z11" s="140">
        <f>$F11/(1-$D$4-$Z$9)</f>
        <v>121.81090909090909</v>
      </c>
      <c r="AA11" s="141">
        <f>Z11*$D$4</f>
        <v>30.452727272727273</v>
      </c>
      <c r="AB11" s="142">
        <f>Z11-$F11-AA11</f>
        <v>24.36218181818181</v>
      </c>
      <c r="AC11" s="44">
        <f>AB11/Z11</f>
        <v>0.19999999999999993</v>
      </c>
      <c r="AD11" s="140">
        <f>Z11*$D$6</f>
        <v>170.5352727272727</v>
      </c>
      <c r="AE11" s="140">
        <f>$F11/(1-$D$4-$AE$9)</f>
        <v>111.66000000000003</v>
      </c>
      <c r="AF11" s="141">
        <f>AE11*$D$4</f>
        <v>27.915000000000006</v>
      </c>
      <c r="AG11" s="142">
        <f>AE11-$F11-AF11</f>
        <v>16.74900000000001</v>
      </c>
      <c r="AH11" s="44">
        <f>AG11/AE11</f>
        <v>0.15000000000000005</v>
      </c>
      <c r="AI11" s="140">
        <f>AE11*$D$6</f>
        <v>156.324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1" t="n">
        <v>1.308515625</v>
      </c>
      <c r="F12" s="132">
        <f>IF(AND(ISNUMBER(E12),ISNUMBER($D$8)),E12*$D$3,NA())</f>
        <v>66.99600000000001</v>
      </c>
      <c r="G12" s="133">
        <f>F12/$D$8</f>
        <v>167.49</v>
      </c>
      <c r="H12" s="134">
        <f>G12*$D$4</f>
        <v>41.8725</v>
      </c>
      <c r="I12" s="135">
        <f>G12-F12-H12</f>
        <v>58.6215</v>
      </c>
      <c r="J12" s="13">
        <f>I12/G12</f>
        <v>0.35</v>
      </c>
      <c r="K12" s="136">
        <f>G12*$D$6</f>
        <v>234.486</v>
      </c>
      <c r="L12" s="137">
        <f>F12/(1-$D$4)</f>
        <v>89.32800000000002</v>
      </c>
      <c r="M12" s="137">
        <f>L12*$D$6</f>
        <v>125.05920000000002</v>
      </c>
      <c r="N12" s="138">
        <f>G12-F12</f>
        <v>100.494</v>
      </c>
      <c r="O12" s="139">
        <f>N12-H12</f>
        <v>58.6215</v>
      </c>
      <c r="P12" s="140">
        <f>$F12/(1-$D$4-$P$9)</f>
        <v>148.88000000000002</v>
      </c>
      <c r="Q12" s="141">
        <f>P12*$D$4</f>
        <v>37.220000000000006</v>
      </c>
      <c r="R12" s="142">
        <f>P12-$F12-Q12</f>
        <v>44.66400000000001</v>
      </c>
      <c r="S12" s="44">
        <f>R12/P12</f>
        <v>0.3</v>
      </c>
      <c r="T12" s="140">
        <f>P12*$D$6</f>
        <v>208.43200000000002</v>
      </c>
      <c r="U12" s="140">
        <f>$F12/(1-$D$4-$U$9)</f>
        <v>133.99200000000002</v>
      </c>
      <c r="V12" s="141">
        <f>U12*$D$4</f>
        <v>33.498000000000005</v>
      </c>
      <c r="W12" s="142">
        <f>U12-$F12-V12</f>
        <v>33.498000000000005</v>
      </c>
      <c r="X12" s="44">
        <f>W12/U12</f>
        <v>0.25</v>
      </c>
      <c r="Y12" s="140">
        <f>U12*$D$6</f>
        <v>187.58880000000002</v>
      </c>
      <c r="Z12" s="140">
        <f>$F12/(1-$D$4-$Z$9)</f>
        <v>121.81090909090909</v>
      </c>
      <c r="AA12" s="141">
        <f>Z12*$D$4</f>
        <v>30.452727272727273</v>
      </c>
      <c r="AB12" s="142">
        <f>Z12-$F12-AA12</f>
        <v>24.36218181818181</v>
      </c>
      <c r="AC12" s="44">
        <f>AB12/Z12</f>
        <v>0.19999999999999993</v>
      </c>
      <c r="AD12" s="140">
        <f>Z12*$D$6</f>
        <v>170.5352727272727</v>
      </c>
      <c r="AE12" s="140">
        <f>$F12/(1-$D$4-$AE$9)</f>
        <v>111.66000000000003</v>
      </c>
      <c r="AF12" s="141">
        <f>AE12*$D$4</f>
        <v>27.915000000000006</v>
      </c>
      <c r="AG12" s="142">
        <f>AE12-$F12-AF12</f>
        <v>16.74900000000001</v>
      </c>
      <c r="AH12" s="44">
        <f>AG12/AE12</f>
        <v>0.15000000000000005</v>
      </c>
      <c r="AI12" s="140">
        <f>AE12*$D$6</f>
        <v>156.324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1" t="n">
        <v>1.134046875</v>
      </c>
      <c r="F13" s="132">
        <f>IF(AND(ISNUMBER(E13),ISNUMBER($D$8)),E13*$D$3,NA())</f>
        <v>58.063199999999995</v>
      </c>
      <c r="G13" s="133">
        <f>F13/$D$8</f>
        <v>145.158</v>
      </c>
      <c r="H13" s="134">
        <f>G13*$D$4</f>
        <v>36.2895</v>
      </c>
      <c r="I13" s="135">
        <f>G13-F13-H13</f>
        <v>50.805299999999995</v>
      </c>
      <c r="J13" s="13">
        <f>I13/G13</f>
        <v>0.35</v>
      </c>
      <c r="K13" s="136">
        <f>G13*$D$6</f>
        <v>203.22119999999998</v>
      </c>
      <c r="L13" s="137">
        <f>F13/(1-$D$4)</f>
        <v>77.4176</v>
      </c>
      <c r="M13" s="137">
        <f>L13*$D$6</f>
        <v>108.38463999999999</v>
      </c>
      <c r="N13" s="138">
        <f>G13-F13</f>
        <v>87.09479999999999</v>
      </c>
      <c r="O13" s="139">
        <f>N13-H13</f>
        <v>50.805299999999995</v>
      </c>
      <c r="P13" s="140">
        <f>$F13/(1-$D$4-$P$9)</f>
        <v>129.0293333333333</v>
      </c>
      <c r="Q13" s="141">
        <f>P13*$D$4</f>
        <v>32.25733333333333</v>
      </c>
      <c r="R13" s="142">
        <f>P13-$F13-Q13</f>
        <v>38.70879999999999</v>
      </c>
      <c r="S13" s="44">
        <f>R13/P13</f>
        <v>0.3</v>
      </c>
      <c r="T13" s="140">
        <f>P13*$D$6</f>
        <v>180.64106666666663</v>
      </c>
      <c r="U13" s="140">
        <f>$F13/(1-$D$4-$U$9)</f>
        <v>116.12639999999999</v>
      </c>
      <c r="V13" s="141">
        <f>U13*$D$4</f>
        <v>29.031599999999997</v>
      </c>
      <c r="W13" s="142">
        <f>U13-$F13-V13</f>
        <v>29.031599999999997</v>
      </c>
      <c r="X13" s="44">
        <f>W13/U13</f>
        <v>0.25</v>
      </c>
      <c r="Y13" s="140">
        <f>U13*$D$6</f>
        <v>162.57695999999999</v>
      </c>
      <c r="Z13" s="140">
        <f>$F13/(1-$D$4-$Z$9)</f>
        <v>105.56945454545453</v>
      </c>
      <c r="AA13" s="141">
        <f>Z13*$D$4</f>
        <v>26.392363636363633</v>
      </c>
      <c r="AB13" s="142">
        <f>Z13-$F13-AA13</f>
        <v>21.113890909090905</v>
      </c>
      <c r="AC13" s="44">
        <f>AB13/Z13</f>
        <v>0.19999999999999998</v>
      </c>
      <c r="AD13" s="140">
        <f>Z13*$D$6</f>
        <v>147.79723636363633</v>
      </c>
      <c r="AE13" s="140">
        <f>$F13/(1-$D$4-$AE$9)</f>
        <v>96.77199999999999</v>
      </c>
      <c r="AF13" s="141">
        <f>AE13*$D$4</f>
        <v>24.192999999999998</v>
      </c>
      <c r="AG13" s="142">
        <f>AE13-$F13-AF13</f>
        <v>14.515799999999999</v>
      </c>
      <c r="AH13" s="44">
        <f>AG13/AE13</f>
        <v>0.15</v>
      </c>
      <c r="AI13" s="140">
        <f>AE13*$D$6</f>
        <v>135.4808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3" t="n">
        <v>112.5</v>
      </c>
      <c r="E14" s="131" t="n">
        <v>1.134046875</v>
      </c>
      <c r="F14" s="132">
        <f>IF(AND(ISNUMBER(E14),ISNUMBER($D$8)),E14*$D$3,NA())</f>
        <v>58.063199999999995</v>
      </c>
      <c r="G14" s="133">
        <f>F14/$D$8</f>
        <v>145.158</v>
      </c>
      <c r="H14" s="134">
        <f>G14*$D$4</f>
        <v>36.2895</v>
      </c>
      <c r="I14" s="135">
        <f>G14-F14-H14</f>
        <v>50.805299999999995</v>
      </c>
      <c r="J14" s="13">
        <f>I14/G14</f>
        <v>0.35</v>
      </c>
      <c r="K14" s="136">
        <f>G14*$D$6</f>
        <v>203.22119999999998</v>
      </c>
      <c r="L14" s="137">
        <f>F14/(1-$D$4)</f>
        <v>77.4176</v>
      </c>
      <c r="M14" s="137">
        <f>L14*$D$6</f>
        <v>108.38463999999999</v>
      </c>
      <c r="N14" s="138">
        <f>G14-F14</f>
        <v>87.09479999999999</v>
      </c>
      <c r="O14" s="139">
        <f>N14-H14</f>
        <v>50.805299999999995</v>
      </c>
      <c r="P14" s="140">
        <f>$F14/(1-$D$4-$P$9)</f>
        <v>129.0293333333333</v>
      </c>
      <c r="Q14" s="141">
        <f>P14*$D$4</f>
        <v>32.25733333333333</v>
      </c>
      <c r="R14" s="142">
        <f>P14-$F14-Q14</f>
        <v>38.70879999999999</v>
      </c>
      <c r="S14" s="44">
        <f>R14/P14</f>
        <v>0.3</v>
      </c>
      <c r="T14" s="140">
        <f>P14*$D$6</f>
        <v>180.64106666666663</v>
      </c>
      <c r="U14" s="140">
        <f>$F14/(1-$D$4-$U$9)</f>
        <v>116.12639999999999</v>
      </c>
      <c r="V14" s="141">
        <f>U14*$D$4</f>
        <v>29.031599999999997</v>
      </c>
      <c r="W14" s="142">
        <f>U14-$F14-V14</f>
        <v>29.031599999999997</v>
      </c>
      <c r="X14" s="44">
        <f>W14/U14</f>
        <v>0.25</v>
      </c>
      <c r="Y14" s="140">
        <f>U14*$D$6</f>
        <v>162.57695999999999</v>
      </c>
      <c r="Z14" s="140">
        <f>$F14/(1-$D$4-$Z$9)</f>
        <v>105.56945454545453</v>
      </c>
      <c r="AA14" s="141">
        <f>Z14*$D$4</f>
        <v>26.392363636363633</v>
      </c>
      <c r="AB14" s="142">
        <f>Z14-$F14-AA14</f>
        <v>21.113890909090905</v>
      </c>
      <c r="AC14" s="44">
        <f>AB14/Z14</f>
        <v>0.19999999999999998</v>
      </c>
      <c r="AD14" s="140">
        <f>Z14*$D$6</f>
        <v>147.79723636363633</v>
      </c>
      <c r="AE14" s="140">
        <f>$F14/(1-$D$4-$AE$9)</f>
        <v>96.77199999999999</v>
      </c>
      <c r="AF14" s="141">
        <f>AE14*$D$4</f>
        <v>24.192999999999998</v>
      </c>
      <c r="AG14" s="142">
        <f>AE14-$F14-AF14</f>
        <v>14.515799999999999</v>
      </c>
      <c r="AH14" s="44">
        <f>AG14/AE14</f>
        <v>0.15</v>
      </c>
      <c r="AI14" s="140">
        <f>AE14*$D$6</f>
        <v>135.4808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1" t="n">
        <v>1.134046875</v>
      </c>
      <c r="F15" s="132">
        <f>IF(AND(ISNUMBER(E15),ISNUMBER($D$8)),E15*$D$3,NA())</f>
        <v>58.063199999999995</v>
      </c>
      <c r="G15" s="133">
        <f>F15/$D$8</f>
        <v>145.158</v>
      </c>
      <c r="H15" s="134">
        <f>G15*$D$4</f>
        <v>36.2895</v>
      </c>
      <c r="I15" s="135">
        <f>G15-F15-H15</f>
        <v>50.805299999999995</v>
      </c>
      <c r="J15" s="13">
        <f>I15/G15</f>
        <v>0.35</v>
      </c>
      <c r="K15" s="136">
        <f>G15*$D$6</f>
        <v>203.22119999999998</v>
      </c>
      <c r="L15" s="137">
        <f>F15/(1-$D$4)</f>
        <v>77.4176</v>
      </c>
      <c r="M15" s="137">
        <f>L15*$D$6</f>
        <v>108.38463999999999</v>
      </c>
      <c r="N15" s="138">
        <f>G15-F15</f>
        <v>87.09479999999999</v>
      </c>
      <c r="O15" s="139">
        <f>N15-H15</f>
        <v>50.805299999999995</v>
      </c>
      <c r="P15" s="140">
        <f>$F15/(1-$D$4-$P$9)</f>
        <v>129.0293333333333</v>
      </c>
      <c r="Q15" s="141">
        <f>P15*$D$4</f>
        <v>32.25733333333333</v>
      </c>
      <c r="R15" s="142">
        <f>P15-$F15-Q15</f>
        <v>38.70879999999999</v>
      </c>
      <c r="S15" s="44">
        <f>R15/P15</f>
        <v>0.3</v>
      </c>
      <c r="T15" s="140">
        <f>P15*$D$6</f>
        <v>180.64106666666663</v>
      </c>
      <c r="U15" s="140">
        <f>$F15/(1-$D$4-$U$9)</f>
        <v>116.12639999999999</v>
      </c>
      <c r="V15" s="141">
        <f>U15*$D$4</f>
        <v>29.031599999999997</v>
      </c>
      <c r="W15" s="142">
        <f>U15-$F15-V15</f>
        <v>29.031599999999997</v>
      </c>
      <c r="X15" s="44">
        <f>W15/U15</f>
        <v>0.25</v>
      </c>
      <c r="Y15" s="140">
        <f>U15*$D$6</f>
        <v>162.57695999999999</v>
      </c>
      <c r="Z15" s="140">
        <f>$F15/(1-$D$4-$Z$9)</f>
        <v>105.56945454545453</v>
      </c>
      <c r="AA15" s="141">
        <f>Z15*$D$4</f>
        <v>26.392363636363633</v>
      </c>
      <c r="AB15" s="142">
        <f>Z15-$F15-AA15</f>
        <v>21.113890909090905</v>
      </c>
      <c r="AC15" s="44">
        <f>AB15/Z15</f>
        <v>0.19999999999999998</v>
      </c>
      <c r="AD15" s="140">
        <f>Z15*$D$6</f>
        <v>147.79723636363633</v>
      </c>
      <c r="AE15" s="140">
        <f>$F15/(1-$D$4-$AE$9)</f>
        <v>96.77199999999999</v>
      </c>
      <c r="AF15" s="141">
        <f>AE15*$D$4</f>
        <v>24.192999999999998</v>
      </c>
      <c r="AG15" s="142">
        <f>AE15-$F15-AF15</f>
        <v>14.515799999999999</v>
      </c>
      <c r="AH15" s="44">
        <f>AG15/AE15</f>
        <v>0.15</v>
      </c>
      <c r="AI15" s="140">
        <f>AE15*$D$6</f>
        <v>135.4808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1" t="n">
        <v>1.134046875</v>
      </c>
      <c r="F16" s="132">
        <f>IF(AND(ISNUMBER(E16),ISNUMBER($D$8)),E16*$D$3,NA())</f>
        <v>58.063199999999995</v>
      </c>
      <c r="G16" s="133">
        <f>F16/$D$8</f>
        <v>145.158</v>
      </c>
      <c r="H16" s="134">
        <f>G16*$D$4</f>
        <v>36.2895</v>
      </c>
      <c r="I16" s="135">
        <f>G16-F16-H16</f>
        <v>50.805299999999995</v>
      </c>
      <c r="J16" s="13">
        <f>I16/G16</f>
        <v>0.35</v>
      </c>
      <c r="K16" s="136">
        <f>G16*$D$6</f>
        <v>203.22119999999998</v>
      </c>
      <c r="L16" s="137">
        <f>F16/(1-$D$4)</f>
        <v>77.4176</v>
      </c>
      <c r="M16" s="137">
        <f>L16*$D$6</f>
        <v>108.38463999999999</v>
      </c>
      <c r="N16" s="138">
        <f>G16-F16</f>
        <v>87.09479999999999</v>
      </c>
      <c r="O16" s="139">
        <f>N16-H16</f>
        <v>50.805299999999995</v>
      </c>
      <c r="P16" s="140">
        <f>$F16/(1-$D$4-$P$9)</f>
        <v>129.0293333333333</v>
      </c>
      <c r="Q16" s="141">
        <f>P16*$D$4</f>
        <v>32.25733333333333</v>
      </c>
      <c r="R16" s="142">
        <f>P16-$F16-Q16</f>
        <v>38.70879999999999</v>
      </c>
      <c r="S16" s="44">
        <f>R16/P16</f>
        <v>0.3</v>
      </c>
      <c r="T16" s="140">
        <f>P16*$D$6</f>
        <v>180.64106666666663</v>
      </c>
      <c r="U16" s="140">
        <f>$F16/(1-$D$4-$U$9)</f>
        <v>116.12639999999999</v>
      </c>
      <c r="V16" s="141">
        <f>U16*$D$4</f>
        <v>29.031599999999997</v>
      </c>
      <c r="W16" s="142">
        <f>U16-$F16-V16</f>
        <v>29.031599999999997</v>
      </c>
      <c r="X16" s="44">
        <f>W16/U16</f>
        <v>0.25</v>
      </c>
      <c r="Y16" s="140">
        <f>U16*$D$6</f>
        <v>162.57695999999999</v>
      </c>
      <c r="Z16" s="140">
        <f>$F16/(1-$D$4-$Z$9)</f>
        <v>105.56945454545453</v>
      </c>
      <c r="AA16" s="141">
        <f>Z16*$D$4</f>
        <v>26.392363636363633</v>
      </c>
      <c r="AB16" s="142">
        <f>Z16-$F16-AA16</f>
        <v>21.113890909090905</v>
      </c>
      <c r="AC16" s="44">
        <f>AB16/Z16</f>
        <v>0.19999999999999998</v>
      </c>
      <c r="AD16" s="140">
        <f>Z16*$D$6</f>
        <v>147.79723636363633</v>
      </c>
      <c r="AE16" s="140">
        <f>$F16/(1-$D$4-$AE$9)</f>
        <v>96.77199999999999</v>
      </c>
      <c r="AF16" s="141">
        <f>AE16*$D$4</f>
        <v>24.192999999999998</v>
      </c>
      <c r="AG16" s="142">
        <f>AE16-$F16-AF16</f>
        <v>14.515799999999999</v>
      </c>
      <c r="AH16" s="44">
        <f>AG16/AE16</f>
        <v>0.15</v>
      </c>
      <c r="AI16" s="140">
        <f>AE16*$D$6</f>
        <v>135.4808</v>
      </c>
    </row>
    <row r="19" ht="28.05" customHeight="1">
      <c r="A19" s="27" t="n"/>
      <c r="B19" s="144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5" t="inlineStr">
        <is>
          <t>Що рахуємо</t>
        </is>
      </c>
      <c r="D21" s="145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6" t="n"/>
      <c r="D22" s="86" t="inlineStr">
        <is>
          <t>Із Self-Cost</t>
        </is>
      </c>
      <c r="E22" s="146" t="n"/>
      <c r="F22" s="147">
        <f>E11</f>
        <v>1.308515625</v>
      </c>
      <c r="G22" s="147">
        <f>E12</f>
        <v>1.308515625</v>
      </c>
      <c r="H22" s="147">
        <f>E13</f>
        <v>1.134046875</v>
      </c>
      <c r="I22" s="147">
        <f>E14</f>
        <v>1.134046875</v>
      </c>
      <c r="J22" s="147">
        <f>E15</f>
        <v>1.134046875</v>
      </c>
      <c r="K22" s="147">
        <f>E16</f>
        <v>1.134046875</v>
      </c>
    </row>
    <row r="23" ht="31.05" customHeight="1">
      <c r="A23" s="85" t="n">
        <v>2</v>
      </c>
      <c r="B23" s="85" t="inlineStr">
        <is>
          <t>Курс, грн/EUR</t>
        </is>
      </c>
      <c r="C23" s="146" t="n"/>
      <c r="D23" s="86" t="inlineStr">
        <is>
          <t>Умова в D3</t>
        </is>
      </c>
      <c r="E23" s="146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6" t="n"/>
      <c r="D24" s="86" t="inlineStr">
        <is>
          <t>Крок 1 × крок 2</t>
        </is>
      </c>
      <c r="E24" s="146" t="n"/>
      <c r="F24" s="148">
        <f>F11</f>
        <v>66.99600000000001</v>
      </c>
      <c r="G24" s="148">
        <f>F12</f>
        <v>66.99600000000001</v>
      </c>
      <c r="H24" s="148">
        <f>F13</f>
        <v>58.063199999999995</v>
      </c>
      <c r="I24" s="148">
        <f>F14</f>
        <v>58.063199999999995</v>
      </c>
      <c r="J24" s="148">
        <f>F15</f>
        <v>58.063199999999995</v>
      </c>
      <c r="K24" s="148">
        <f>F16</f>
        <v>58.063199999999995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6" t="n"/>
      <c r="D25" s="86" t="inlineStr">
        <is>
          <t>База для всіх відсотків</t>
        </is>
      </c>
      <c r="E25" s="146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6" t="n"/>
      <c r="D26" s="86" t="inlineStr">
        <is>
          <t>Умова в D4</t>
        </is>
      </c>
      <c r="E26" s="146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6" t="n"/>
      <c r="D27" s="86" t="inlineStr">
        <is>
          <t>Крок 4 − крок 5</t>
        </is>
      </c>
      <c r="E27" s="146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6" t="n"/>
      <c r="D28" s="86" t="inlineStr">
        <is>
          <t>Умова в D5</t>
        </is>
      </c>
      <c r="E28" s="146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6" t="n"/>
      <c r="D29" s="86" t="inlineStr">
        <is>
          <t>Крок 6 − крок 7</t>
        </is>
      </c>
      <c r="E29" s="146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6" t="n"/>
      <c r="D30" s="90" t="inlineStr">
        <is>
          <t>Крок 3 ÷ крок 8</t>
        </is>
      </c>
      <c r="E30" s="146" t="n"/>
      <c r="F30" s="149">
        <f>G11</f>
        <v>167.49</v>
      </c>
      <c r="G30" s="149">
        <f>G12</f>
        <v>167.49</v>
      </c>
      <c r="H30" s="149">
        <f>G13</f>
        <v>145.158</v>
      </c>
      <c r="I30" s="149">
        <f>G14</f>
        <v>145.158</v>
      </c>
      <c r="J30" s="149">
        <f>G15</f>
        <v>145.158</v>
      </c>
      <c r="K30" s="149">
        <f>G16</f>
        <v>145.158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6" t="n"/>
      <c r="D31" s="86" t="inlineStr">
        <is>
          <t>Крок 9 − крок 3</t>
        </is>
      </c>
      <c r="E31" s="146" t="n"/>
      <c r="F31" s="148">
        <f>N11</f>
        <v>100.494</v>
      </c>
      <c r="G31" s="148">
        <f>N12</f>
        <v>100.494</v>
      </c>
      <c r="H31" s="148">
        <f>N13</f>
        <v>87.09479999999999</v>
      </c>
      <c r="I31" s="148">
        <f>N14</f>
        <v>87.09479999999999</v>
      </c>
      <c r="J31" s="148">
        <f>N15</f>
        <v>87.09479999999999</v>
      </c>
      <c r="K31" s="148">
        <f>N16</f>
        <v>87.09479999999999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6" t="n"/>
      <c r="D32" s="86" t="inlineStr">
        <is>
          <t>Крок 9 × крок 5</t>
        </is>
      </c>
      <c r="E32" s="146" t="n"/>
      <c r="F32" s="148">
        <f>H11</f>
        <v>41.8725</v>
      </c>
      <c r="G32" s="148">
        <f>H12</f>
        <v>41.8725</v>
      </c>
      <c r="H32" s="148">
        <f>H13</f>
        <v>36.2895</v>
      </c>
      <c r="I32" s="148">
        <f>H14</f>
        <v>36.2895</v>
      </c>
      <c r="J32" s="148">
        <f>H15</f>
        <v>36.2895</v>
      </c>
      <c r="K32" s="148">
        <f>H16</f>
        <v>36.2895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6" t="n"/>
      <c r="D33" s="92" t="inlineStr">
        <is>
          <t>Крок 10 − крок 11</t>
        </is>
      </c>
      <c r="E33" s="146" t="n"/>
      <c r="F33" s="150">
        <f>I11</f>
        <v>58.6215</v>
      </c>
      <c r="G33" s="150">
        <f>I12</f>
        <v>58.6215</v>
      </c>
      <c r="H33" s="150">
        <f>I13</f>
        <v>50.805299999999995</v>
      </c>
      <c r="I33" s="150">
        <f>I14</f>
        <v>50.805299999999995</v>
      </c>
      <c r="J33" s="150">
        <f>I15</f>
        <v>50.805299999999995</v>
      </c>
      <c r="K33" s="150">
        <f>I16</f>
        <v>50.805299999999995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6" t="n"/>
      <c r="D34" s="92" t="inlineStr">
        <is>
          <t>Крок 12 ÷ крок 9</t>
        </is>
      </c>
      <c r="E34" s="146" t="n"/>
      <c r="F34" s="38">
        <f>J11</f>
        <v>0.35</v>
      </c>
      <c r="G34" s="38">
        <f>J12</f>
        <v>0.35</v>
      </c>
      <c r="H34" s="38">
        <f>J13</f>
        <v>0.35</v>
      </c>
      <c r="I34" s="38">
        <f>J14</f>
        <v>0.35</v>
      </c>
      <c r="J34" s="38">
        <f>J15</f>
        <v>0.35</v>
      </c>
      <c r="K34" s="38">
        <f>J16</f>
        <v>0.35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6" t="n"/>
      <c r="D35" s="86" t="inlineStr">
        <is>
          <t>Множник D6 − 1</t>
        </is>
      </c>
      <c r="E35" s="146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6" t="n"/>
      <c r="D36" s="86" t="inlineStr">
        <is>
          <t>1 + крок 14</t>
        </is>
      </c>
      <c r="E36" s="146" t="n"/>
      <c r="F36" s="151">
        <f>$D$6</f>
        <v>1.4</v>
      </c>
      <c r="G36" s="151">
        <f>$D$6</f>
        <v>1.4</v>
      </c>
      <c r="H36" s="151">
        <f>$D$6</f>
        <v>1.4</v>
      </c>
      <c r="I36" s="151">
        <f>$D$6</f>
        <v>1.4</v>
      </c>
      <c r="J36" s="151">
        <f>$D$6</f>
        <v>1.4</v>
      </c>
      <c r="K36" s="151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6" t="n"/>
      <c r="D37" s="90" t="inlineStr">
        <is>
          <t>Крок 9 × крок 15</t>
        </is>
      </c>
      <c r="E37" s="146" t="n"/>
      <c r="F37" s="149">
        <f>K11</f>
        <v>234.486</v>
      </c>
      <c r="G37" s="149">
        <f>K12</f>
        <v>234.486</v>
      </c>
      <c r="H37" s="149">
        <f>K13</f>
        <v>203.22119999999998</v>
      </c>
      <c r="I37" s="149">
        <f>K14</f>
        <v>203.22119999999998</v>
      </c>
      <c r="J37" s="149">
        <f>K15</f>
        <v>203.22119999999998</v>
      </c>
      <c r="K37" s="149">
        <f>K16</f>
        <v>203.22119999999998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6" t="n"/>
      <c r="D38" s="86" t="inlineStr">
        <is>
          <t>Крок 3 ÷ крок 6</t>
        </is>
      </c>
      <c r="E38" s="146" t="n"/>
      <c r="F38" s="148">
        <f>L11</f>
        <v>89.32800000000002</v>
      </c>
      <c r="G38" s="148">
        <f>L12</f>
        <v>89.32800000000002</v>
      </c>
      <c r="H38" s="148">
        <f>L13</f>
        <v>77.4176</v>
      </c>
      <c r="I38" s="148">
        <f>L14</f>
        <v>77.4176</v>
      </c>
      <c r="J38" s="148">
        <f>L15</f>
        <v>77.4176</v>
      </c>
      <c r="K38" s="148">
        <f>L16</f>
        <v>77.4176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6" t="n"/>
      <c r="D39" s="86" t="inlineStr">
        <is>
          <t>Крок 17 × крок 15</t>
        </is>
      </c>
      <c r="E39" s="146" t="n"/>
      <c r="F39" s="148">
        <f>M11</f>
        <v>125.05920000000002</v>
      </c>
      <c r="G39" s="148">
        <f>M12</f>
        <v>125.05920000000002</v>
      </c>
      <c r="H39" s="148">
        <f>M13</f>
        <v>108.38463999999999</v>
      </c>
      <c r="I39" s="148">
        <f>M14</f>
        <v>108.38463999999999</v>
      </c>
      <c r="J39" s="148">
        <f>M15</f>
        <v>108.38463999999999</v>
      </c>
      <c r="K39" s="148">
        <f>M16</f>
        <v>108.38463999999999</v>
      </c>
    </row>
  </sheetData>
  <mergeCells count="63">
    <mergeCell ref="U9:Y9"/>
    <mergeCell ref="Z9:AD9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B21:C21"/>
    <mergeCell ref="B2:C2"/>
    <mergeCell ref="A9:D9"/>
    <mergeCell ref="G9:J9"/>
    <mergeCell ref="D35:E35"/>
    <mergeCell ref="E3:K3"/>
    <mergeCell ref="D27:E27"/>
    <mergeCell ref="B23:C23"/>
    <mergeCell ref="D32:E32"/>
    <mergeCell ref="D26:E26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J11" activePane="bottomRight" state="frozen"/>
      <selection activeCell="T11" sqref="T11"/>
      <selection pane="topRight" activeCell="T11" sqref="T11"/>
      <selection pane="bottomLeft" activeCell="T11" sqref="T11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33 палет / Full Truck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33 палети</t>
        </is>
      </c>
      <c r="E2" s="82" t="inlineStr">
        <is>
          <t>Готова СС із Self-Cost_Sias: AJ30:AJ35. Склад СС збережено.</t>
        </is>
      </c>
      <c r="F2" s="123" t="n"/>
      <c r="G2" s="123" t="n"/>
      <c r="H2" s="123" t="n"/>
      <c r="I2" s="123" t="n"/>
      <c r="J2" s="123" t="n"/>
      <c r="K2" s="122" t="n"/>
      <c r="L2" s="124" t="n"/>
      <c r="N2" s="124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124" t="n"/>
      <c r="N3" s="124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124" t="n"/>
      <c r="N4" s="124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124" t="n"/>
      <c r="N5" s="124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124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124" t="n"/>
    </row>
    <row r="8" ht="30" customFormat="1" customHeight="1" s="21">
      <c r="B8" s="80" t="inlineStr">
        <is>
          <t>Частка ціни для собівартості</t>
        </is>
      </c>
      <c r="C8" s="125" t="n"/>
      <c r="D8" s="24">
        <f>IF(AND(COUNT(D3:D6)=4,D3&gt;0,D4&gt;=0,D5&gt;=0,D4+D5&lt;1,D6&gt;0),1-D4-D5,NA())</f>
        <v>0.4</v>
      </c>
      <c r="E8" s="126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7" t="n">
        <v>0.3</v>
      </c>
      <c r="Q9" s="128" t="n"/>
      <c r="R9" s="128" t="n"/>
      <c r="S9" s="128" t="n"/>
      <c r="T9" s="129" t="n"/>
      <c r="U9" s="130" t="n">
        <v>0.25</v>
      </c>
      <c r="V9" s="128" t="n"/>
      <c r="W9" s="128" t="n"/>
      <c r="X9" s="128" t="n"/>
      <c r="Y9" s="129" t="n"/>
      <c r="Z9" s="127" t="n">
        <v>0.2</v>
      </c>
      <c r="AA9" s="128" t="n"/>
      <c r="AB9" s="128" t="n"/>
      <c r="AC9" s="128" t="n"/>
      <c r="AD9" s="129" t="n"/>
      <c r="AE9" s="130" t="n">
        <v>0.15</v>
      </c>
      <c r="AF9" s="128" t="n"/>
      <c r="AG9" s="128" t="n"/>
      <c r="AH9" s="128" t="n"/>
      <c r="AI9" s="129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1" t="n">
        <v>1.018131154266958</v>
      </c>
      <c r="F11" s="132">
        <f>IF(AND(ISNUMBER(E11),ISNUMBER($D$8)),E11*$D$3,NA())</f>
        <v>52.12831509846825</v>
      </c>
      <c r="G11" s="133">
        <f>F11/$D$8</f>
        <v>130.32078774617062</v>
      </c>
      <c r="H11" s="134">
        <f>G11*$D$4</f>
        <v>32.580196936542656</v>
      </c>
      <c r="I11" s="135">
        <f>G11-F11-H11</f>
        <v>45.61227571115972</v>
      </c>
      <c r="J11" s="13">
        <f>I11/G11</f>
        <v>0.35</v>
      </c>
      <c r="K11" s="136">
        <f>G11*$D$6</f>
        <v>182.44910284463887</v>
      </c>
      <c r="L11" s="137">
        <f>F11/(1-$D$4)</f>
        <v>69.504420131291</v>
      </c>
      <c r="M11" s="137">
        <f>L11*$D$6</f>
        <v>97.3061881838074</v>
      </c>
      <c r="N11" s="138">
        <f>G11-F11</f>
        <v>78.19247264770237</v>
      </c>
      <c r="O11" s="139">
        <f>N11-H11</f>
        <v>45.61227571115972</v>
      </c>
      <c r="P11" s="140">
        <f>$F11/(1-$D$4-$P$9)</f>
        <v>115.84070021881833</v>
      </c>
      <c r="Q11" s="141">
        <f>P11*$D$4</f>
        <v>28.96017505470458</v>
      </c>
      <c r="R11" s="142">
        <f>P11-$F11-Q11</f>
        <v>34.7522100656455</v>
      </c>
      <c r="S11" s="44">
        <f>R11/P11</f>
        <v>0.3</v>
      </c>
      <c r="T11" s="140">
        <f>P11*$D$6</f>
        <v>162.17698030634565</v>
      </c>
      <c r="U11" s="140">
        <f>$F11/(1-$D$4-$U$9)</f>
        <v>104.2566301969365</v>
      </c>
      <c r="V11" s="141">
        <f>U11*$D$4</f>
        <v>26.064157549234125</v>
      </c>
      <c r="W11" s="142">
        <f>U11-$F11-V11</f>
        <v>26.064157549234125</v>
      </c>
      <c r="X11" s="44">
        <f>W11/U11</f>
        <v>0.25</v>
      </c>
      <c r="Y11" s="140">
        <f>U11*$D$6</f>
        <v>145.95928227571108</v>
      </c>
      <c r="Z11" s="140">
        <f>$F11/(1-$D$4-$Z$9)</f>
        <v>94.77875472448771</v>
      </c>
      <c r="AA11" s="141">
        <f>Z11*$D$4</f>
        <v>23.694688681121928</v>
      </c>
      <c r="AB11" s="142">
        <f>Z11-$F11-AA11</f>
        <v>18.955750944897535</v>
      </c>
      <c r="AC11" s="44">
        <f>AB11/Z11</f>
        <v>0.19999999999999993</v>
      </c>
      <c r="AD11" s="140">
        <f>Z11*$D$6</f>
        <v>132.6902566142828</v>
      </c>
      <c r="AE11" s="140">
        <f>$F11/(1-$D$4-$AE$9)</f>
        <v>86.88052516411375</v>
      </c>
      <c r="AF11" s="141">
        <f>AE11*$D$4</f>
        <v>21.720131291028437</v>
      </c>
      <c r="AG11" s="142">
        <f>AE11-$F11-AF11</f>
        <v>13.032078774617062</v>
      </c>
      <c r="AH11" s="44">
        <f>AG11/AE11</f>
        <v>0.15</v>
      </c>
      <c r="AI11" s="140">
        <f>AE11*$D$6</f>
        <v>121.63273522975923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1" t="n">
        <v>1.018131154266958</v>
      </c>
      <c r="F12" s="132">
        <f>IF(AND(ISNUMBER(E12),ISNUMBER($D$8)),E12*$D$3,NA())</f>
        <v>52.12831509846825</v>
      </c>
      <c r="G12" s="133">
        <f>F12/$D$8</f>
        <v>130.32078774617062</v>
      </c>
      <c r="H12" s="134">
        <f>G12*$D$4</f>
        <v>32.580196936542656</v>
      </c>
      <c r="I12" s="135">
        <f>G12-F12-H12</f>
        <v>45.61227571115972</v>
      </c>
      <c r="J12" s="13">
        <f>I12/G12</f>
        <v>0.35</v>
      </c>
      <c r="K12" s="136">
        <f>G12*$D$6</f>
        <v>182.44910284463887</v>
      </c>
      <c r="L12" s="137">
        <f>F12/(1-$D$4)</f>
        <v>69.504420131291</v>
      </c>
      <c r="M12" s="137">
        <f>L12*$D$6</f>
        <v>97.3061881838074</v>
      </c>
      <c r="N12" s="138">
        <f>G12-F12</f>
        <v>78.19247264770237</v>
      </c>
      <c r="O12" s="139">
        <f>N12-H12</f>
        <v>45.61227571115972</v>
      </c>
      <c r="P12" s="140">
        <f>$F12/(1-$D$4-$P$9)</f>
        <v>115.84070021881833</v>
      </c>
      <c r="Q12" s="141">
        <f>P12*$D$4</f>
        <v>28.96017505470458</v>
      </c>
      <c r="R12" s="142">
        <f>P12-$F12-Q12</f>
        <v>34.7522100656455</v>
      </c>
      <c r="S12" s="44">
        <f>R12/P12</f>
        <v>0.3</v>
      </c>
      <c r="T12" s="140">
        <f>P12*$D$6</f>
        <v>162.17698030634565</v>
      </c>
      <c r="U12" s="140">
        <f>$F12/(1-$D$4-$U$9)</f>
        <v>104.2566301969365</v>
      </c>
      <c r="V12" s="141">
        <f>U12*$D$4</f>
        <v>26.064157549234125</v>
      </c>
      <c r="W12" s="142">
        <f>U12-$F12-V12</f>
        <v>26.064157549234125</v>
      </c>
      <c r="X12" s="44">
        <f>W12/U12</f>
        <v>0.25</v>
      </c>
      <c r="Y12" s="140">
        <f>U12*$D$6</f>
        <v>145.95928227571108</v>
      </c>
      <c r="Z12" s="140">
        <f>$F12/(1-$D$4-$Z$9)</f>
        <v>94.77875472448771</v>
      </c>
      <c r="AA12" s="141">
        <f>Z12*$D$4</f>
        <v>23.694688681121928</v>
      </c>
      <c r="AB12" s="142">
        <f>Z12-$F12-AA12</f>
        <v>18.955750944897535</v>
      </c>
      <c r="AC12" s="44">
        <f>AB12/Z12</f>
        <v>0.19999999999999993</v>
      </c>
      <c r="AD12" s="140">
        <f>Z12*$D$6</f>
        <v>132.6902566142828</v>
      </c>
      <c r="AE12" s="140">
        <f>$F12/(1-$D$4-$AE$9)</f>
        <v>86.88052516411375</v>
      </c>
      <c r="AF12" s="141">
        <f>AE12*$D$4</f>
        <v>21.720131291028437</v>
      </c>
      <c r="AG12" s="142">
        <f>AE12-$F12-AF12</f>
        <v>13.032078774617062</v>
      </c>
      <c r="AH12" s="44">
        <f>AG12/AE12</f>
        <v>0.15</v>
      </c>
      <c r="AI12" s="140">
        <f>AE12*$D$6</f>
        <v>121.63273522975923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1" t="n">
        <v>0.8823803336980306</v>
      </c>
      <c r="F13" s="132">
        <f>IF(AND(ISNUMBER(E13),ISNUMBER($D$8)),E13*$D$3,NA())</f>
        <v>45.17787308533919</v>
      </c>
      <c r="G13" s="133">
        <f>F13/$D$8</f>
        <v>112.94468271334797</v>
      </c>
      <c r="H13" s="134">
        <f>G13*$D$4</f>
        <v>28.236170678336993</v>
      </c>
      <c r="I13" s="135">
        <f>G13-F13-H13</f>
        <v>39.5306389496718</v>
      </c>
      <c r="J13" s="13">
        <f>I13/G13</f>
        <v>0.35000000000000003</v>
      </c>
      <c r="K13" s="136">
        <f>G13*$D$6</f>
        <v>158.12255579868716</v>
      </c>
      <c r="L13" s="137">
        <f>F13/(1-$D$4)</f>
        <v>60.23716411378559</v>
      </c>
      <c r="M13" s="137">
        <f>L13*$D$6</f>
        <v>84.33202975929981</v>
      </c>
      <c r="N13" s="138">
        <f>G13-F13</f>
        <v>67.76680962800879</v>
      </c>
      <c r="O13" s="139">
        <f>N13-H13</f>
        <v>39.5306389496718</v>
      </c>
      <c r="P13" s="140">
        <f>$F13/(1-$D$4-$P$9)</f>
        <v>100.39527352297598</v>
      </c>
      <c r="Q13" s="141">
        <f>P13*$D$4</f>
        <v>25.098818380743996</v>
      </c>
      <c r="R13" s="142">
        <f>P13-$F13-Q13</f>
        <v>30.118582056892794</v>
      </c>
      <c r="S13" s="44">
        <f>R13/P13</f>
        <v>0.3</v>
      </c>
      <c r="T13" s="140">
        <f>P13*$D$6</f>
        <v>140.55338293216636</v>
      </c>
      <c r="U13" s="140">
        <f>$F13/(1-$D$4-$U$9)</f>
        <v>90.35574617067839</v>
      </c>
      <c r="V13" s="141">
        <f>U13*$D$4</f>
        <v>22.588936542669597</v>
      </c>
      <c r="W13" s="142">
        <f>U13-$F13-V13</f>
        <v>22.588936542669597</v>
      </c>
      <c r="X13" s="44">
        <f>W13/U13</f>
        <v>0.25</v>
      </c>
      <c r="Y13" s="140">
        <f>U13*$D$6</f>
        <v>126.49804463894974</v>
      </c>
      <c r="Z13" s="140">
        <f>$F13/(1-$D$4-$Z$9)</f>
        <v>82.14158742788943</v>
      </c>
      <c r="AA13" s="141">
        <f>Z13*$D$4</f>
        <v>20.53539685697236</v>
      </c>
      <c r="AB13" s="142">
        <f>Z13-$F13-AA13</f>
        <v>16.42831748557788</v>
      </c>
      <c r="AC13" s="44">
        <f>AB13/Z13</f>
        <v>0.19999999999999993</v>
      </c>
      <c r="AD13" s="140">
        <f>Z13*$D$6</f>
        <v>114.9982223990452</v>
      </c>
      <c r="AE13" s="140">
        <f>$F13/(1-$D$4-$AE$9)</f>
        <v>75.29645514223199</v>
      </c>
      <c r="AF13" s="141">
        <f>AE13*$D$4</f>
        <v>18.824113785557998</v>
      </c>
      <c r="AG13" s="142">
        <f>AE13-$F13-AF13</f>
        <v>11.2944682713348</v>
      </c>
      <c r="AH13" s="44">
        <f>AG13/AE13</f>
        <v>0.15000000000000002</v>
      </c>
      <c r="AI13" s="140">
        <f>AE13*$D$6</f>
        <v>105.41503719912478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3" t="n">
        <v>112.5</v>
      </c>
      <c r="E14" s="131" t="n">
        <v>0.8823803336980306</v>
      </c>
      <c r="F14" s="132">
        <f>IF(AND(ISNUMBER(E14),ISNUMBER($D$8)),E14*$D$3,NA())</f>
        <v>45.17787308533919</v>
      </c>
      <c r="G14" s="133">
        <f>F14/$D$8</f>
        <v>112.94468271334797</v>
      </c>
      <c r="H14" s="134">
        <f>G14*$D$4</f>
        <v>28.236170678336993</v>
      </c>
      <c r="I14" s="135">
        <f>G14-F14-H14</f>
        <v>39.5306389496718</v>
      </c>
      <c r="J14" s="13">
        <f>I14/G14</f>
        <v>0.35000000000000003</v>
      </c>
      <c r="K14" s="136">
        <f>G14*$D$6</f>
        <v>158.12255579868716</v>
      </c>
      <c r="L14" s="137">
        <f>F14/(1-$D$4)</f>
        <v>60.23716411378559</v>
      </c>
      <c r="M14" s="137">
        <f>L14*$D$6</f>
        <v>84.33202975929981</v>
      </c>
      <c r="N14" s="138">
        <f>G14-F14</f>
        <v>67.76680962800879</v>
      </c>
      <c r="O14" s="139">
        <f>N14-H14</f>
        <v>39.5306389496718</v>
      </c>
      <c r="P14" s="140">
        <f>$F14/(1-$D$4-$P$9)</f>
        <v>100.39527352297598</v>
      </c>
      <c r="Q14" s="141">
        <f>P14*$D$4</f>
        <v>25.098818380743996</v>
      </c>
      <c r="R14" s="142">
        <f>P14-$F14-Q14</f>
        <v>30.118582056892794</v>
      </c>
      <c r="S14" s="44">
        <f>R14/P14</f>
        <v>0.3</v>
      </c>
      <c r="T14" s="140">
        <f>P14*$D$6</f>
        <v>140.55338293216636</v>
      </c>
      <c r="U14" s="140">
        <f>$F14/(1-$D$4-$U$9)</f>
        <v>90.35574617067839</v>
      </c>
      <c r="V14" s="141">
        <f>U14*$D$4</f>
        <v>22.588936542669597</v>
      </c>
      <c r="W14" s="142">
        <f>U14-$F14-V14</f>
        <v>22.588936542669597</v>
      </c>
      <c r="X14" s="44">
        <f>W14/U14</f>
        <v>0.25</v>
      </c>
      <c r="Y14" s="140">
        <f>U14*$D$6</f>
        <v>126.49804463894974</v>
      </c>
      <c r="Z14" s="140">
        <f>$F14/(1-$D$4-$Z$9)</f>
        <v>82.14158742788943</v>
      </c>
      <c r="AA14" s="141">
        <f>Z14*$D$4</f>
        <v>20.53539685697236</v>
      </c>
      <c r="AB14" s="142">
        <f>Z14-$F14-AA14</f>
        <v>16.42831748557788</v>
      </c>
      <c r="AC14" s="44">
        <f>AB14/Z14</f>
        <v>0.19999999999999993</v>
      </c>
      <c r="AD14" s="140">
        <f>Z14*$D$6</f>
        <v>114.9982223990452</v>
      </c>
      <c r="AE14" s="140">
        <f>$F14/(1-$D$4-$AE$9)</f>
        <v>75.29645514223199</v>
      </c>
      <c r="AF14" s="141">
        <f>AE14*$D$4</f>
        <v>18.824113785557998</v>
      </c>
      <c r="AG14" s="142">
        <f>AE14-$F14-AF14</f>
        <v>11.2944682713348</v>
      </c>
      <c r="AH14" s="44">
        <f>AG14/AE14</f>
        <v>0.15000000000000002</v>
      </c>
      <c r="AI14" s="140">
        <f>AE14*$D$6</f>
        <v>105.41503719912478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1" t="n">
        <v>0.8823803336980306</v>
      </c>
      <c r="F15" s="132">
        <f>IF(AND(ISNUMBER(E15),ISNUMBER($D$8)),E15*$D$3,NA())</f>
        <v>45.17787308533919</v>
      </c>
      <c r="G15" s="133">
        <f>F15/$D$8</f>
        <v>112.94468271334797</v>
      </c>
      <c r="H15" s="134">
        <f>G15*$D$4</f>
        <v>28.236170678336993</v>
      </c>
      <c r="I15" s="135">
        <f>G15-F15-H15</f>
        <v>39.5306389496718</v>
      </c>
      <c r="J15" s="13">
        <f>I15/G15</f>
        <v>0.35000000000000003</v>
      </c>
      <c r="K15" s="136">
        <f>G15*$D$6</f>
        <v>158.12255579868716</v>
      </c>
      <c r="L15" s="137">
        <f>F15/(1-$D$4)</f>
        <v>60.23716411378559</v>
      </c>
      <c r="M15" s="137">
        <f>L15*$D$6</f>
        <v>84.33202975929981</v>
      </c>
      <c r="N15" s="138">
        <f>G15-F15</f>
        <v>67.76680962800879</v>
      </c>
      <c r="O15" s="139">
        <f>N15-H15</f>
        <v>39.5306389496718</v>
      </c>
      <c r="P15" s="140">
        <f>$F15/(1-$D$4-$P$9)</f>
        <v>100.39527352297598</v>
      </c>
      <c r="Q15" s="141">
        <f>P15*$D$4</f>
        <v>25.098818380743996</v>
      </c>
      <c r="R15" s="142">
        <f>P15-$F15-Q15</f>
        <v>30.118582056892794</v>
      </c>
      <c r="S15" s="44">
        <f>R15/P15</f>
        <v>0.3</v>
      </c>
      <c r="T15" s="140">
        <f>P15*$D$6</f>
        <v>140.55338293216636</v>
      </c>
      <c r="U15" s="140">
        <f>$F15/(1-$D$4-$U$9)</f>
        <v>90.35574617067839</v>
      </c>
      <c r="V15" s="141">
        <f>U15*$D$4</f>
        <v>22.588936542669597</v>
      </c>
      <c r="W15" s="142">
        <f>U15-$F15-V15</f>
        <v>22.588936542669597</v>
      </c>
      <c r="X15" s="44">
        <f>W15/U15</f>
        <v>0.25</v>
      </c>
      <c r="Y15" s="140">
        <f>U15*$D$6</f>
        <v>126.49804463894974</v>
      </c>
      <c r="Z15" s="140">
        <f>$F15/(1-$D$4-$Z$9)</f>
        <v>82.14158742788943</v>
      </c>
      <c r="AA15" s="141">
        <f>Z15*$D$4</f>
        <v>20.53539685697236</v>
      </c>
      <c r="AB15" s="142">
        <f>Z15-$F15-AA15</f>
        <v>16.42831748557788</v>
      </c>
      <c r="AC15" s="44">
        <f>AB15/Z15</f>
        <v>0.19999999999999993</v>
      </c>
      <c r="AD15" s="140">
        <f>Z15*$D$6</f>
        <v>114.9982223990452</v>
      </c>
      <c r="AE15" s="140">
        <f>$F15/(1-$D$4-$AE$9)</f>
        <v>75.29645514223199</v>
      </c>
      <c r="AF15" s="141">
        <f>AE15*$D$4</f>
        <v>18.824113785557998</v>
      </c>
      <c r="AG15" s="142">
        <f>AE15-$F15-AF15</f>
        <v>11.2944682713348</v>
      </c>
      <c r="AH15" s="44">
        <f>AG15/AE15</f>
        <v>0.15000000000000002</v>
      </c>
      <c r="AI15" s="140">
        <f>AE15*$D$6</f>
        <v>105.41503719912478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1" t="n">
        <v>0.8823803336980306</v>
      </c>
      <c r="F16" s="132">
        <f>IF(AND(ISNUMBER(E16),ISNUMBER($D$8)),E16*$D$3,NA())</f>
        <v>45.17787308533919</v>
      </c>
      <c r="G16" s="133">
        <f>F16/$D$8</f>
        <v>112.94468271334797</v>
      </c>
      <c r="H16" s="134">
        <f>G16*$D$4</f>
        <v>28.236170678336993</v>
      </c>
      <c r="I16" s="135">
        <f>G16-F16-H16</f>
        <v>39.5306389496718</v>
      </c>
      <c r="J16" s="13">
        <f>I16/G16</f>
        <v>0.35000000000000003</v>
      </c>
      <c r="K16" s="136">
        <f>G16*$D$6</f>
        <v>158.12255579868716</v>
      </c>
      <c r="L16" s="137">
        <f>F16/(1-$D$4)</f>
        <v>60.23716411378559</v>
      </c>
      <c r="M16" s="137">
        <f>L16*$D$6</f>
        <v>84.33202975929981</v>
      </c>
      <c r="N16" s="138">
        <f>G16-F16</f>
        <v>67.76680962800879</v>
      </c>
      <c r="O16" s="139">
        <f>N16-H16</f>
        <v>39.5306389496718</v>
      </c>
      <c r="P16" s="140">
        <f>$F16/(1-$D$4-$P$9)</f>
        <v>100.39527352297598</v>
      </c>
      <c r="Q16" s="141">
        <f>P16*$D$4</f>
        <v>25.098818380743996</v>
      </c>
      <c r="R16" s="142">
        <f>P16-$F16-Q16</f>
        <v>30.118582056892794</v>
      </c>
      <c r="S16" s="44">
        <f>R16/P16</f>
        <v>0.3</v>
      </c>
      <c r="T16" s="140">
        <f>P16*$D$6</f>
        <v>140.55338293216636</v>
      </c>
      <c r="U16" s="140">
        <f>$F16/(1-$D$4-$U$9)</f>
        <v>90.35574617067839</v>
      </c>
      <c r="V16" s="141">
        <f>U16*$D$4</f>
        <v>22.588936542669597</v>
      </c>
      <c r="W16" s="142">
        <f>U16-$F16-V16</f>
        <v>22.588936542669597</v>
      </c>
      <c r="X16" s="44">
        <f>W16/U16</f>
        <v>0.25</v>
      </c>
      <c r="Y16" s="140">
        <f>U16*$D$6</f>
        <v>126.49804463894974</v>
      </c>
      <c r="Z16" s="140">
        <f>$F16/(1-$D$4-$Z$9)</f>
        <v>82.14158742788943</v>
      </c>
      <c r="AA16" s="141">
        <f>Z16*$D$4</f>
        <v>20.53539685697236</v>
      </c>
      <c r="AB16" s="142">
        <f>Z16-$F16-AA16</f>
        <v>16.42831748557788</v>
      </c>
      <c r="AC16" s="44">
        <f>AB16/Z16</f>
        <v>0.19999999999999993</v>
      </c>
      <c r="AD16" s="140">
        <f>Z16*$D$6</f>
        <v>114.9982223990452</v>
      </c>
      <c r="AE16" s="140">
        <f>$F16/(1-$D$4-$AE$9)</f>
        <v>75.29645514223199</v>
      </c>
      <c r="AF16" s="141">
        <f>AE16*$D$4</f>
        <v>18.824113785557998</v>
      </c>
      <c r="AG16" s="142">
        <f>AE16-$F16-AF16</f>
        <v>11.2944682713348</v>
      </c>
      <c r="AH16" s="44">
        <f>AG16/AE16</f>
        <v>0.15000000000000002</v>
      </c>
      <c r="AI16" s="140">
        <f>AE16*$D$6</f>
        <v>105.41503719912478</v>
      </c>
    </row>
    <row r="19" ht="28.05" customHeight="1">
      <c r="A19" s="27" t="n"/>
      <c r="B19" s="144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5" t="inlineStr">
        <is>
          <t>Що рахуємо</t>
        </is>
      </c>
      <c r="D21" s="145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6" t="n"/>
      <c r="D22" s="86" t="inlineStr">
        <is>
          <t>Із Self-Cost</t>
        </is>
      </c>
      <c r="E22" s="146" t="n"/>
      <c r="F22" s="147">
        <f>E11</f>
        <v>1.018131154266958</v>
      </c>
      <c r="G22" s="147">
        <f>E12</f>
        <v>1.018131154266958</v>
      </c>
      <c r="H22" s="147">
        <f>E13</f>
        <v>0.882380333698031</v>
      </c>
      <c r="I22" s="147">
        <f>E14</f>
        <v>0.882380333698031</v>
      </c>
      <c r="J22" s="147">
        <f>E15</f>
        <v>0.882380333698031</v>
      </c>
      <c r="K22" s="147">
        <f>E16</f>
        <v>0.882380333698031</v>
      </c>
    </row>
    <row r="23" ht="31.05" customHeight="1">
      <c r="A23" s="85" t="n">
        <v>2</v>
      </c>
      <c r="B23" s="85" t="inlineStr">
        <is>
          <t>Курс, грн/EUR</t>
        </is>
      </c>
      <c r="C23" s="146" t="n"/>
      <c r="D23" s="86" t="inlineStr">
        <is>
          <t>Умова в D3</t>
        </is>
      </c>
      <c r="E23" s="146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6" t="n"/>
      <c r="D24" s="86" t="inlineStr">
        <is>
          <t>Крок 1 × крок 2</t>
        </is>
      </c>
      <c r="E24" s="146" t="n"/>
      <c r="F24" s="148">
        <f>F11</f>
        <v>52.12831509846825</v>
      </c>
      <c r="G24" s="148">
        <f>F12</f>
        <v>52.12831509846825</v>
      </c>
      <c r="H24" s="148">
        <f>F13</f>
        <v>45.17787308533919</v>
      </c>
      <c r="I24" s="148">
        <f>F14</f>
        <v>45.17787308533919</v>
      </c>
      <c r="J24" s="148">
        <f>F15</f>
        <v>45.17787308533919</v>
      </c>
      <c r="K24" s="148">
        <f>F16</f>
        <v>45.17787308533919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6" t="n"/>
      <c r="D25" s="86" t="inlineStr">
        <is>
          <t>База для всіх відсотків</t>
        </is>
      </c>
      <c r="E25" s="146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6" t="n"/>
      <c r="D26" s="86" t="inlineStr">
        <is>
          <t>Умова в D4</t>
        </is>
      </c>
      <c r="E26" s="146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6" t="n"/>
      <c r="D27" s="86" t="inlineStr">
        <is>
          <t>Крок 4 − крок 5</t>
        </is>
      </c>
      <c r="E27" s="146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6" t="n"/>
      <c r="D28" s="86" t="inlineStr">
        <is>
          <t>Умова в D5</t>
        </is>
      </c>
      <c r="E28" s="146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6" t="n"/>
      <c r="D29" s="86" t="inlineStr">
        <is>
          <t>Крок 6 − крок 7</t>
        </is>
      </c>
      <c r="E29" s="146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6" t="n"/>
      <c r="D30" s="90" t="inlineStr">
        <is>
          <t>Крок 3 ÷ крок 8</t>
        </is>
      </c>
      <c r="E30" s="146" t="n"/>
      <c r="F30" s="149">
        <f>G11</f>
        <v>130.32078774617062</v>
      </c>
      <c r="G30" s="149">
        <f>G12</f>
        <v>130.32078774617062</v>
      </c>
      <c r="H30" s="149">
        <f>G13</f>
        <v>112.94468271334797</v>
      </c>
      <c r="I30" s="149">
        <f>G14</f>
        <v>112.94468271334797</v>
      </c>
      <c r="J30" s="149">
        <f>G15</f>
        <v>112.94468271334797</v>
      </c>
      <c r="K30" s="149">
        <f>G16</f>
        <v>112.94468271334797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6" t="n"/>
      <c r="D31" s="86" t="inlineStr">
        <is>
          <t>Крок 9 − крок 3</t>
        </is>
      </c>
      <c r="E31" s="146" t="n"/>
      <c r="F31" s="148">
        <f>N11</f>
        <v>78.19247264770237</v>
      </c>
      <c r="G31" s="148">
        <f>N12</f>
        <v>78.19247264770237</v>
      </c>
      <c r="H31" s="148">
        <f>N13</f>
        <v>67.76680962800879</v>
      </c>
      <c r="I31" s="148">
        <f>N14</f>
        <v>67.76680962800879</v>
      </c>
      <c r="J31" s="148">
        <f>N15</f>
        <v>67.76680962800879</v>
      </c>
      <c r="K31" s="148">
        <f>N16</f>
        <v>67.76680962800879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6" t="n"/>
      <c r="D32" s="86" t="inlineStr">
        <is>
          <t>Крок 9 × крок 5</t>
        </is>
      </c>
      <c r="E32" s="146" t="n"/>
      <c r="F32" s="148">
        <f>H11</f>
        <v>32.580196936542656</v>
      </c>
      <c r="G32" s="148">
        <f>H12</f>
        <v>32.580196936542656</v>
      </c>
      <c r="H32" s="148">
        <f>H13</f>
        <v>28.236170678336993</v>
      </c>
      <c r="I32" s="148">
        <f>H14</f>
        <v>28.236170678336993</v>
      </c>
      <c r="J32" s="148">
        <f>H15</f>
        <v>28.236170678336993</v>
      </c>
      <c r="K32" s="148">
        <f>H16</f>
        <v>28.236170678336993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6" t="n"/>
      <c r="D33" s="92" t="inlineStr">
        <is>
          <t>Крок 10 − крок 11</t>
        </is>
      </c>
      <c r="E33" s="146" t="n"/>
      <c r="F33" s="150">
        <f>I11</f>
        <v>45.61227571115972</v>
      </c>
      <c r="G33" s="150">
        <f>I12</f>
        <v>45.61227571115972</v>
      </c>
      <c r="H33" s="150">
        <f>I13</f>
        <v>39.5306389496718</v>
      </c>
      <c r="I33" s="150">
        <f>I14</f>
        <v>39.5306389496718</v>
      </c>
      <c r="J33" s="150">
        <f>I15</f>
        <v>39.5306389496718</v>
      </c>
      <c r="K33" s="150">
        <f>I16</f>
        <v>39.5306389496718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6" t="n"/>
      <c r="D34" s="92" t="inlineStr">
        <is>
          <t>Крок 12 ÷ крок 9</t>
        </is>
      </c>
      <c r="E34" s="146" t="n"/>
      <c r="F34" s="38">
        <f>J11</f>
        <v>0.35</v>
      </c>
      <c r="G34" s="38">
        <f>J12</f>
        <v>0.35</v>
      </c>
      <c r="H34" s="38">
        <f>J13</f>
        <v>0.35000000000000003</v>
      </c>
      <c r="I34" s="38">
        <f>J14</f>
        <v>0.35000000000000003</v>
      </c>
      <c r="J34" s="38">
        <f>J15</f>
        <v>0.35000000000000003</v>
      </c>
      <c r="K34" s="38">
        <f>J16</f>
        <v>0.35000000000000003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6" t="n"/>
      <c r="D35" s="86" t="inlineStr">
        <is>
          <t>Множник D6 − 1</t>
        </is>
      </c>
      <c r="E35" s="146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6" t="n"/>
      <c r="D36" s="86" t="inlineStr">
        <is>
          <t>1 + крок 14</t>
        </is>
      </c>
      <c r="E36" s="146" t="n"/>
      <c r="F36" s="151">
        <f>$D$6</f>
        <v>1.4</v>
      </c>
      <c r="G36" s="151">
        <f>$D$6</f>
        <v>1.4</v>
      </c>
      <c r="H36" s="151">
        <f>$D$6</f>
        <v>1.4</v>
      </c>
      <c r="I36" s="151">
        <f>$D$6</f>
        <v>1.4</v>
      </c>
      <c r="J36" s="151">
        <f>$D$6</f>
        <v>1.4</v>
      </c>
      <c r="K36" s="151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6" t="n"/>
      <c r="D37" s="90" t="inlineStr">
        <is>
          <t>Крок 9 × крок 15</t>
        </is>
      </c>
      <c r="E37" s="146" t="n"/>
      <c r="F37" s="149">
        <f>K11</f>
        <v>182.44910284463887</v>
      </c>
      <c r="G37" s="149">
        <f>K12</f>
        <v>182.44910284463887</v>
      </c>
      <c r="H37" s="149">
        <f>K13</f>
        <v>158.12255579868716</v>
      </c>
      <c r="I37" s="149">
        <f>K14</f>
        <v>158.12255579868716</v>
      </c>
      <c r="J37" s="149">
        <f>K15</f>
        <v>158.12255579868716</v>
      </c>
      <c r="K37" s="149">
        <f>K16</f>
        <v>158.12255579868716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6" t="n"/>
      <c r="D38" s="86" t="inlineStr">
        <is>
          <t>Крок 3 ÷ крок 6</t>
        </is>
      </c>
      <c r="E38" s="146" t="n"/>
      <c r="F38" s="148">
        <f>L11</f>
        <v>69.504420131291</v>
      </c>
      <c r="G38" s="148">
        <f>L12</f>
        <v>69.504420131291</v>
      </c>
      <c r="H38" s="148">
        <f>L13</f>
        <v>60.23716411378559</v>
      </c>
      <c r="I38" s="148">
        <f>L14</f>
        <v>60.23716411378559</v>
      </c>
      <c r="J38" s="148">
        <f>L15</f>
        <v>60.23716411378559</v>
      </c>
      <c r="K38" s="148">
        <f>L16</f>
        <v>60.23716411378559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6" t="n"/>
      <c r="D39" s="86" t="inlineStr">
        <is>
          <t>Крок 17 × крок 15</t>
        </is>
      </c>
      <c r="E39" s="146" t="n"/>
      <c r="F39" s="148">
        <f>M11</f>
        <v>97.3061881838074</v>
      </c>
      <c r="G39" s="148">
        <f>M12</f>
        <v>97.3061881838074</v>
      </c>
      <c r="H39" s="148">
        <f>M13</f>
        <v>84.33202975929981</v>
      </c>
      <c r="I39" s="148">
        <f>M14</f>
        <v>84.33202975929981</v>
      </c>
      <c r="J39" s="148">
        <f>M15</f>
        <v>84.33202975929981</v>
      </c>
      <c r="K39" s="148">
        <f>M16</f>
        <v>84.33202975929981</v>
      </c>
    </row>
  </sheetData>
  <mergeCells count="63">
    <mergeCell ref="U9:Y9"/>
    <mergeCell ref="Z9:AD9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B21:C21"/>
    <mergeCell ref="B2:C2"/>
    <mergeCell ref="A9:D9"/>
    <mergeCell ref="G9:J9"/>
    <mergeCell ref="D35:E35"/>
    <mergeCell ref="E3:K3"/>
    <mergeCell ref="D27:E27"/>
    <mergeCell ref="B23:C23"/>
    <mergeCell ref="D32:E32"/>
    <mergeCell ref="D26:E26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" customWidth="1" min="15" max="15"/>
  </cols>
  <sheetData>
    <row r="1" ht="8" customHeight="1"/>
    <row r="2" ht="28" customHeight="1">
      <c r="B2" s="152" t="inlineStr">
        <is>
          <t>SIAS · было → стало · от себестоимости в Украине до полки · 6 паллет</t>
        </is>
      </c>
    </row>
    <row r="3" ht="30" customHeight="1">
      <c r="B3" s="153" t="str">
        <f>"Полка "&amp;ROUND(C14,0)&amp;" ₴ достижима при себестоимости "&amp;ROUND(D9,2)&amp;" ₴ (сейчас "&amp;ROUND(D7,2)&amp;"–"&amp;ROUND(D8,2)&amp;" ₴). Для этого закупка SIAS должна быть €"&amp;ROUND(C21,2)&amp;" вместо €"&amp;MIN(C20,E20)&amp;"–€"&amp;MAX(C20,E20)&amp;" (−"&amp;ROUND((1-C21/MIN(C20,E20))*100,0)&amp;"…"&amp;ROUND((1-C21/MAX(C20,E20))*100,0)&amp;"%)."</f>
        <v>Полка 120 ₴ достижима при себестоимости 38.16 ₴ (сейчас 58.06–67 ₴). Для этого закупка SIAS должна быть €0.32 вместо €0.65–€0.75 (−51…57%).</v>
      </c>
      <c r="C3" s="154" t="n"/>
      <c r="D3" s="154" t="n"/>
      <c r="E3" s="154" t="n"/>
      <c r="F3" s="154" t="n"/>
      <c r="G3" s="154" t="n"/>
      <c r="H3" s="154" t="n"/>
      <c r="I3" s="154" t="n"/>
      <c r="J3" s="154" t="n"/>
      <c r="K3" s="154" t="n"/>
      <c r="L3" s="154" t="n"/>
      <c r="M3" s="154" t="n"/>
      <c r="N3" s="154" t="n"/>
    </row>
    <row r="4" ht="38" customHeight="1">
      <c r="B4" s="155" t="inlineStr">
        <is>
          <t>ЗАПРОС ДЛЯ SIAS, €/пачку</t>
        </is>
      </c>
      <c r="C4" s="156">
        <f>C21</f>
        <v>0.32</v>
      </c>
      <c r="D4" s="157" t="n"/>
      <c r="E4" s="158" t="str">
        <f>"сейчас €"&amp;C20&amp;" (4 SKU) / €"&amp;E20&amp;" (2 SKU)"</f>
        <v>сейчас €0.65 (4 SKU) / €0.75 (2 SKU)</v>
      </c>
      <c r="F4" s="159" t="n"/>
      <c r="G4" s="159" t="n"/>
      <c r="H4" s="159" t="n"/>
      <c r="I4" s="160" t="str">
        <f>"снижение −"&amp;ROUND((1-C21/C20)*100,0)&amp;" % / −"&amp;ROUND((1-C21/E20)*100,0)&amp;" %"</f>
        <v>снижение −51 % / −57 %</v>
      </c>
      <c r="J4" s="159" t="n"/>
      <c r="K4" s="159" t="n"/>
      <c r="L4" s="158" t="inlineStr">
        <is>
          <t>одна цена для всех 6 SKU</t>
        </is>
      </c>
      <c r="M4" s="159" t="n"/>
      <c r="N4" s="159" t="n"/>
    </row>
    <row r="5" ht="32" customHeight="1">
      <c r="B5" s="161" t="inlineStr"/>
      <c r="C5" s="161" t="inlineStr">
        <is>
          <t>Себестоимость в Украине (СС)</t>
        </is>
      </c>
      <c r="D5" s="162" t="n"/>
      <c r="E5" s="161" t="inlineStr">
        <is>
          <t>Цена партнёру (магазину)</t>
        </is>
      </c>
      <c r="F5" s="162" t="n"/>
      <c r="G5" s="161" t="inlineStr">
        <is>
          <t>Бонус сети</t>
        </is>
      </c>
      <c r="H5" s="162" t="n"/>
      <c r="I5" s="161" t="inlineStr">
        <is>
          <t>Наша прибыль</t>
        </is>
      </c>
      <c r="J5" s="162" t="n"/>
      <c r="K5" s="161" t="inlineStr">
        <is>
          <t>Наценка магазина</t>
        </is>
      </c>
      <c r="L5" s="162" t="n"/>
      <c r="M5" s="161" t="inlineStr">
        <is>
          <t>ПОЛКА с НДС</t>
        </is>
      </c>
      <c r="N5" s="162" t="n"/>
    </row>
    <row r="6" ht="18" customHeight="1">
      <c r="B6" s="161" t="inlineStr">
        <is>
          <t>Вариант</t>
        </is>
      </c>
      <c r="C6" s="163" t="inlineStr">
        <is>
          <t>€</t>
        </is>
      </c>
      <c r="D6" s="163" t="inlineStr">
        <is>
          <t>₴</t>
        </is>
      </c>
      <c r="E6" s="163" t="inlineStr">
        <is>
          <t>€</t>
        </is>
      </c>
      <c r="F6" s="163" t="inlineStr">
        <is>
          <t>₴</t>
        </is>
      </c>
      <c r="G6" s="163" t="inlineStr">
        <is>
          <t>€</t>
        </is>
      </c>
      <c r="H6" s="163" t="inlineStr">
        <is>
          <t>₴</t>
        </is>
      </c>
      <c r="I6" s="163" t="inlineStr">
        <is>
          <t>€</t>
        </is>
      </c>
      <c r="J6" s="163" t="inlineStr">
        <is>
          <t>₴</t>
        </is>
      </c>
      <c r="K6" s="163" t="inlineStr">
        <is>
          <t>€</t>
        </is>
      </c>
      <c r="L6" s="163" t="inlineStr">
        <is>
          <t>₴</t>
        </is>
      </c>
      <c r="M6" s="163" t="inlineStr">
        <is>
          <t>€</t>
        </is>
      </c>
      <c r="N6" s="163" t="inlineStr">
        <is>
          <t>₴</t>
        </is>
      </c>
    </row>
    <row r="7" ht="32" customHeight="1">
      <c r="B7" s="164" t="str">
        <f>"ДО · Vegetable, Spicy, Beef, Chicken · закупка SIAS €"&amp;C20</f>
        <v>ДО · Vegetable, Spicy, Beef, Chicken · закупка SIAS €0.65</v>
      </c>
      <c r="C7" s="165">
        <f>'Финмодель 6 паллет'!E13</f>
        <v>1.134046875</v>
      </c>
      <c r="D7" s="166">
        <f>C7*K14</f>
        <v>58.063199999999995</v>
      </c>
      <c r="E7" s="167">
        <f>F7/K14</f>
        <v>2.520104166666666</v>
      </c>
      <c r="F7" s="166">
        <f>D7/(1-G14-E14)</f>
        <v>129.0293333333333</v>
      </c>
      <c r="G7" s="167">
        <f>H7/K14</f>
        <v>0.6300260416666665</v>
      </c>
      <c r="H7" s="168">
        <f>F7*G14</f>
        <v>32.25733333333333</v>
      </c>
      <c r="I7" s="167">
        <f>J7/K14</f>
        <v>0.7560312499999997</v>
      </c>
      <c r="J7" s="168">
        <f>F7-D7-H7</f>
        <v>38.70879999999999</v>
      </c>
      <c r="K7" s="167">
        <f>L7/K14</f>
        <v>1.0080416666666663</v>
      </c>
      <c r="L7" s="168">
        <f>F7*(I14-1)</f>
        <v>51.61173333333331</v>
      </c>
      <c r="M7" s="167">
        <f>N7/K14</f>
        <v>3.5281458333333324</v>
      </c>
      <c r="N7" s="169">
        <f>F7*I14</f>
        <v>180.64106666666663</v>
      </c>
    </row>
    <row r="8" ht="32" customHeight="1">
      <c r="B8" s="170" t="str">
        <f>"ДО · Gouda Cheese, Carbonara Spicy · закупка SIAS €"&amp;E20</f>
        <v>ДО · Gouda Cheese, Carbonara Spicy · закупка SIAS €0.75</v>
      </c>
      <c r="C8" s="165">
        <f>'Финмодель 6 паллет'!E11</f>
        <v>1.308515625</v>
      </c>
      <c r="D8" s="171">
        <f>C8*K14</f>
        <v>66.99600000000001</v>
      </c>
      <c r="E8" s="172">
        <f>F8/K14</f>
        <v>2.9078125000000004</v>
      </c>
      <c r="F8" s="171">
        <f>D8/(1-G14-E14)</f>
        <v>148.88000000000002</v>
      </c>
      <c r="G8" s="172">
        <f>H8/K14</f>
        <v>0.7269531250000001</v>
      </c>
      <c r="H8" s="173">
        <f>F8*G14</f>
        <v>37.220000000000006</v>
      </c>
      <c r="I8" s="172">
        <f>J8/K14</f>
        <v>0.8723437500000001</v>
      </c>
      <c r="J8" s="173">
        <f>F8-D8-H8</f>
        <v>44.66400000000001</v>
      </c>
      <c r="K8" s="172">
        <f>L8/K14</f>
        <v>1.163125</v>
      </c>
      <c r="L8" s="173">
        <f>F8*(I14-1)</f>
        <v>59.552</v>
      </c>
      <c r="M8" s="172">
        <f>N8/K14</f>
        <v>4.0709375</v>
      </c>
      <c r="N8" s="174">
        <f>F8*I14</f>
        <v>208.43200000000002</v>
      </c>
    </row>
    <row r="9" ht="32" customHeight="1">
      <c r="B9" s="175" t="str">
        <f>"ПОСЛЕ · запрос SIAS €"&amp;ROUND(C21,2)&amp;" (все 6 SKU)"</f>
        <v>ПОСЛЕ · запрос SIAS €0.32 (все 6 SKU)</v>
      </c>
      <c r="C9" s="176">
        <f>D9/K14</f>
        <v>0.7453031249999998</v>
      </c>
      <c r="D9" s="177">
        <f>C23</f>
        <v>38.15951999999999</v>
      </c>
      <c r="E9" s="176">
        <f>F9/K14</f>
        <v>1.6562291666666664</v>
      </c>
      <c r="F9" s="177">
        <f>D9/(1-G14-E14)</f>
        <v>84.79893333333332</v>
      </c>
      <c r="G9" s="176">
        <f>H9/K14</f>
        <v>0.4140572916666666</v>
      </c>
      <c r="H9" s="178">
        <f>F9*G14</f>
        <v>21.19973333333333</v>
      </c>
      <c r="I9" s="176">
        <f>J9/K14</f>
        <v>0.49686874999999997</v>
      </c>
      <c r="J9" s="178">
        <f>F9-D9-H9</f>
        <v>25.43968</v>
      </c>
      <c r="K9" s="176">
        <f>L9/K14</f>
        <v>0.6624916666666665</v>
      </c>
      <c r="L9" s="178">
        <f>F9*(I14-1)</f>
        <v>33.919573333333325</v>
      </c>
      <c r="M9" s="176">
        <f>N9/K14</f>
        <v>2.318720833333333</v>
      </c>
      <c r="N9" s="179">
        <f>F9*I14</f>
        <v>118.71850666666664</v>
      </c>
    </row>
    <row r="10" ht="24" customHeight="1">
      <c r="B10" s="180" t="inlineStr">
        <is>
          <t>ИЗМЕНЕНИЕ: ПОСЛЕ − ДО (4 SKU)</t>
        </is>
      </c>
      <c r="C10" s="181">
        <f>C9-C7</f>
        <v>-0.38874375000000005</v>
      </c>
      <c r="D10" s="182">
        <f>D9-D7</f>
        <v>-19.90368</v>
      </c>
      <c r="E10" s="181">
        <f>E9-E7</f>
        <v>-0.8638749999999997</v>
      </c>
      <c r="F10" s="182">
        <f>F9-F7</f>
        <v>-44.23039999999999</v>
      </c>
      <c r="G10" s="181">
        <f>G9-G7</f>
        <v>-0.21596874999999993</v>
      </c>
      <c r="H10" s="182">
        <f>H9-H7</f>
        <v>-11.057599999999997</v>
      </c>
      <c r="I10" s="181">
        <f>I9-I7</f>
        <v>-0.25916249999999974</v>
      </c>
      <c r="J10" s="182">
        <f>J9-J7</f>
        <v>-13.26911999999999</v>
      </c>
      <c r="K10" s="181">
        <f>K9-K7</f>
        <v>-0.3455499999999998</v>
      </c>
      <c r="L10" s="182">
        <f>L9-L7</f>
        <v>-17.692159999999987</v>
      </c>
      <c r="M10" s="181">
        <f>M9-M7</f>
        <v>-1.2094249999999995</v>
      </c>
      <c r="N10" s="182">
        <f>N9-N7</f>
        <v>-61.92255999999999</v>
      </c>
    </row>
    <row r="11" ht="26" customHeight="1">
      <c r="B11" s="183" t="inlineStr">
        <is>
          <t>Читайте по строке слева направо: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2">
      <c r="B12" s="184" t="inlineStr">
        <is>
          <t>ИСХОДНЫЕ ДАННЫЕ — жёлтое можно менять, зелёное из вкладки «Финмодель 6 паллет»</t>
        </is>
      </c>
      <c r="C12" s="185" t="n"/>
      <c r="D12" s="185" t="n"/>
      <c r="E12" s="185" t="n"/>
      <c r="F12" s="185" t="n"/>
      <c r="G12" s="185" t="n"/>
      <c r="H12" s="185" t="n"/>
      <c r="I12" s="185" t="n"/>
      <c r="J12" s="185" t="n"/>
      <c r="K12" s="185" t="n"/>
      <c r="L12" s="185" t="n"/>
      <c r="M12" s="185" t="n"/>
      <c r="N12" s="185" t="n"/>
    </row>
    <row r="13" ht="20" customHeight="1">
      <c r="C13" s="186" t="inlineStr">
        <is>
          <t>Полка, ₴</t>
        </is>
      </c>
      <c r="E13" s="186" t="inlineStr">
        <is>
          <t>Наша маржа</t>
        </is>
      </c>
      <c r="G13" s="186" t="inlineStr">
        <is>
          <t>Бонус сети</t>
        </is>
      </c>
      <c r="I13" s="186" t="inlineStr">
        <is>
          <t>Множитель полки</t>
        </is>
      </c>
      <c r="K13" s="186" t="inlineStr">
        <is>
          <t>Курс ₴/€</t>
        </is>
      </c>
    </row>
    <row r="14" ht="22" customHeight="1">
      <c r="B14" s="187" t="inlineStr">
        <is>
          <t>Цель расчёта и условия модели</t>
        </is>
      </c>
      <c r="C14" s="188" t="n">
        <v>120</v>
      </c>
      <c r="D14" s="189" t="n"/>
      <c r="E14" s="190" t="n">
        <v>0.3</v>
      </c>
      <c r="F14" s="189" t="n"/>
      <c r="G14" s="191">
        <f>'Финмодель 6 паллет'!D4</f>
        <v>0.25</v>
      </c>
      <c r="H14" s="192" t="n"/>
      <c r="I14" s="193">
        <f>'Финмодель 6 паллет'!D6</f>
        <v>1.4</v>
      </c>
      <c r="J14" s="192" t="n"/>
      <c r="K14" s="194">
        <f>'Финмодель 6 паллет'!D3</f>
        <v>51.2</v>
      </c>
      <c r="L14" s="192" t="n"/>
    </row>
    <row r="15" ht="26" customHeight="1">
      <c r="B15" s="195" t="inlineStr">
        <is>
          <t>Допущения: бонус и множитель — по модели (не подтверждены сетями); без листинг-фи, промо и отсрочки; согласие SIAS на цену не получено — это цена для переговоров.</t>
        </is>
      </c>
    </row>
    <row r="16" hidden="1">
      <c r="C16" s="186" t="inlineStr">
        <is>
          <t>Импортный ПДВ</t>
        </is>
      </c>
      <c r="E16" s="186" t="inlineStr">
        <is>
          <t>Финансирование</t>
        </is>
      </c>
      <c r="G16" s="186" t="inlineStr">
        <is>
          <t>Пошлина</t>
        </is>
      </c>
      <c r="I16" s="186" t="inlineStr">
        <is>
          <t>Перевозка партии, €</t>
        </is>
      </c>
      <c r="K16" s="186" t="inlineStr">
        <is>
          <t>Брокер, €</t>
        </is>
      </c>
      <c r="M16" s="186" t="inlineStr">
        <is>
          <t>Прочие, €</t>
        </is>
      </c>
    </row>
    <row r="17" hidden="1">
      <c r="C17" s="190" t="n">
        <v>0.2</v>
      </c>
      <c r="D17" s="189" t="n"/>
      <c r="E17" s="190" t="n">
        <v>0.025</v>
      </c>
      <c r="F17" s="189" t="n"/>
      <c r="G17" s="190" t="n">
        <v>0</v>
      </c>
      <c r="H17" s="189" t="n"/>
      <c r="I17" s="196" t="n">
        <v>2600</v>
      </c>
      <c r="J17" s="189" t="n"/>
      <c r="K17" s="196" t="n">
        <v>288</v>
      </c>
      <c r="L17" s="189" t="n"/>
      <c r="M17" s="196" t="n">
        <v>42</v>
      </c>
      <c r="N17" s="189" t="n"/>
    </row>
    <row r="18" hidden="1">
      <c r="C18" s="186" t="inlineStr">
        <is>
          <t>Доля фрахта в таможне</t>
        </is>
      </c>
      <c r="E18" s="186" t="inlineStr">
        <is>
          <t>Паллет в партии</t>
        </is>
      </c>
      <c r="G18" s="186" t="inlineStr">
        <is>
          <t>Пачек на паллете</t>
        </is>
      </c>
    </row>
    <row r="19" hidden="1">
      <c r="C19" s="197" t="n">
        <v>0.7</v>
      </c>
      <c r="D19" s="189" t="n"/>
      <c r="E19" s="196" t="n">
        <v>6</v>
      </c>
      <c r="F19" s="189" t="n"/>
      <c r="G19" s="196" t="n">
        <v>1600</v>
      </c>
      <c r="H19" s="189" t="n"/>
    </row>
    <row r="20" hidden="1">
      <c r="B20" s="198" t="inlineStr">
        <is>
          <t>Закупка SIAS сейчас, €: 4 SKU / 2 SKU</t>
        </is>
      </c>
      <c r="C20" s="197" t="n">
        <v>0.65</v>
      </c>
      <c r="E20" s="197" t="n">
        <v>0.75</v>
      </c>
    </row>
    <row r="21" hidden="1">
      <c r="B21" s="198" t="inlineStr">
        <is>
          <t>Запрос SIAS, €/уп. (вниз до евроцента)</t>
        </is>
      </c>
      <c r="C21" s="199">
        <f>ROUNDDOWN(((C14/I14*(1-G14-E14))/K14/(1+E17)-(I17+K17+M17+I17*C19*(G17+C17*(1+G17)))/(E19*G19))/((1+G17)*(1+C17)),2)</f>
        <v>0.32</v>
      </c>
      <c r="D21" s="157" t="n"/>
    </row>
    <row r="22" hidden="1">
      <c r="B22" s="198" t="inlineStr">
        <is>
          <t>Предельная закупка до округления, €/уп.</t>
        </is>
      </c>
      <c r="C22" s="200">
        <f>((C14/I14*(1-G14-E14))/K14/(1+E17)-(I17+K17+M17+I17*C19*(G17+C17*(1+G17)))/(E19*G19))/((1+G17)*(1+C17))</f>
        <v>0.3265407229965157</v>
      </c>
      <c r="D22" s="201" t="n"/>
    </row>
    <row r="23" hidden="1">
      <c r="B23" s="198" t="inlineStr">
        <is>
          <t>Себестоимость в Украине при запросе, ₴/уп.</t>
        </is>
      </c>
      <c r="C23" s="202">
        <f>(C21*K14+(I17+K17+M17)/(E19*G19)*K14+(C21+I17*C19/(E19*G19))*G17*K14+(C21+I17*C19/(E19*G19))*(1+G17)*C17*K14)*(1+E17)</f>
        <v>38.15951999999999</v>
      </c>
      <c r="D23" s="201" t="n"/>
    </row>
  </sheetData>
  <mergeCells count="46">
    <mergeCell ref="K16:L16"/>
    <mergeCell ref="C5:D5"/>
    <mergeCell ref="E5:F5"/>
    <mergeCell ref="K5:L5"/>
    <mergeCell ref="C14:D14"/>
    <mergeCell ref="M5:N5"/>
    <mergeCell ref="E14:F14"/>
    <mergeCell ref="B15:N15"/>
    <mergeCell ref="L4:N4"/>
    <mergeCell ref="E17:F17"/>
    <mergeCell ref="G17:H17"/>
    <mergeCell ref="C4:D4"/>
    <mergeCell ref="C16:D16"/>
    <mergeCell ref="I16:J16"/>
    <mergeCell ref="E19:F19"/>
    <mergeCell ref="G19:H19"/>
    <mergeCell ref="E13:F13"/>
    <mergeCell ref="C22:D22"/>
    <mergeCell ref="I4:K4"/>
    <mergeCell ref="G13:H13"/>
    <mergeCell ref="G18:H18"/>
    <mergeCell ref="B3:N3"/>
    <mergeCell ref="M16:N16"/>
    <mergeCell ref="C21:D21"/>
    <mergeCell ref="E4:H4"/>
    <mergeCell ref="B12:N12"/>
    <mergeCell ref="G5:H5"/>
    <mergeCell ref="I5:J5"/>
    <mergeCell ref="G14:H14"/>
    <mergeCell ref="I14:J14"/>
    <mergeCell ref="B11:N11"/>
    <mergeCell ref="K14:L14"/>
    <mergeCell ref="B2:N2"/>
    <mergeCell ref="C17:D17"/>
    <mergeCell ref="I17:J17"/>
    <mergeCell ref="K17:L17"/>
    <mergeCell ref="C23:D23"/>
    <mergeCell ref="M17:N17"/>
    <mergeCell ref="E16:F16"/>
    <mergeCell ref="G16:H16"/>
    <mergeCell ref="C19:D19"/>
    <mergeCell ref="C13:D13"/>
    <mergeCell ref="I13:J13"/>
    <mergeCell ref="C18:D18"/>
    <mergeCell ref="K13:L13"/>
    <mergeCell ref="E18:F18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" customWidth="1" min="15" max="15"/>
  </cols>
  <sheetData>
    <row r="1" ht="8" customHeight="1"/>
    <row r="2" ht="28" customHeight="1">
      <c r="B2" s="152" t="inlineStr">
        <is>
          <t>SIAS · было → стало · от себестоимости в Украине до полки · 33 паллеты (Full Truck)</t>
        </is>
      </c>
    </row>
    <row r="3" ht="30" customHeight="1">
      <c r="B3" s="153" t="str">
        <f>"Полка "&amp;ROUND(C14,0)&amp;" ₴ достижима при себестоимости "&amp;ROUND(D9,2)&amp;" ₴ (сейчас "&amp;ROUND(D7,2)&amp;"–"&amp;ROUND(D8,2)&amp;" ₴). Для этого закупка SIAS должна быть €"&amp;ROUND(C21,2)&amp;" вместо €"&amp;MIN(C20,E20)&amp;"–€"&amp;MAX(C20,E20)&amp;" (−"&amp;ROUND((1-C21/MIN(C20,E20))*100,0)&amp;"…"&amp;ROUND((1-C21/MAX(C20,E20))*100,0)&amp;"%)."</f>
        <v>Полка 120 ₴ достижима при себестоимости 38.53 ₴ (сейчас 45.18–52.13 ₴). Для этого закупка SIAS должна быть €0.54 вместо €0.65–€0.75 (−17…28%).</v>
      </c>
      <c r="C3" s="154" t="n"/>
      <c r="D3" s="154" t="n"/>
      <c r="E3" s="154" t="n"/>
      <c r="F3" s="154" t="n"/>
      <c r="G3" s="154" t="n"/>
      <c r="H3" s="154" t="n"/>
      <c r="I3" s="154" t="n"/>
      <c r="J3" s="154" t="n"/>
      <c r="K3" s="154" t="n"/>
      <c r="L3" s="154" t="n"/>
      <c r="M3" s="154" t="n"/>
      <c r="N3" s="154" t="n"/>
    </row>
    <row r="4" ht="38" customHeight="1">
      <c r="B4" s="155" t="inlineStr">
        <is>
          <t>ЗАПРОС ДЛЯ SIAS, €/пачку</t>
        </is>
      </c>
      <c r="C4" s="156">
        <f>C21</f>
        <v>0.54</v>
      </c>
      <c r="D4" s="157" t="n"/>
      <c r="E4" s="158" t="str">
        <f>"сейчас €"&amp;C20&amp;" (4 SKU) / €"&amp;E20&amp;" (2 SKU)"</f>
        <v>сейчас €0.65 (4 SKU) / €0.75 (2 SKU)</v>
      </c>
      <c r="F4" s="159" t="n"/>
      <c r="G4" s="159" t="n"/>
      <c r="H4" s="159" t="n"/>
      <c r="I4" s="160" t="str">
        <f>"снижение −"&amp;ROUND((1-C21/C20)*100,0)&amp;" % / −"&amp;ROUND((1-C21/E20)*100,0)&amp;" %"</f>
        <v>снижение −17 % / −28 %</v>
      </c>
      <c r="J4" s="159" t="n"/>
      <c r="K4" s="159" t="n"/>
      <c r="L4" s="158" t="inlineStr">
        <is>
          <t>одна цена для всех 6 SKU</t>
        </is>
      </c>
      <c r="M4" s="159" t="n"/>
      <c r="N4" s="159" t="n"/>
    </row>
    <row r="5" ht="32" customHeight="1">
      <c r="B5" s="161" t="inlineStr"/>
      <c r="C5" s="161" t="inlineStr">
        <is>
          <t>Себестоимость в Украине (СС)</t>
        </is>
      </c>
      <c r="D5" s="162" t="n"/>
      <c r="E5" s="161" t="inlineStr">
        <is>
          <t>Цена партнёру (магазину)</t>
        </is>
      </c>
      <c r="F5" s="162" t="n"/>
      <c r="G5" s="161" t="inlineStr">
        <is>
          <t>Бонус сети</t>
        </is>
      </c>
      <c r="H5" s="162" t="n"/>
      <c r="I5" s="161" t="inlineStr">
        <is>
          <t>Наша прибыль</t>
        </is>
      </c>
      <c r="J5" s="162" t="n"/>
      <c r="K5" s="161" t="inlineStr">
        <is>
          <t>Наценка магазина</t>
        </is>
      </c>
      <c r="L5" s="162" t="n"/>
      <c r="M5" s="161" t="inlineStr">
        <is>
          <t>ПОЛКА с НДС</t>
        </is>
      </c>
      <c r="N5" s="162" t="n"/>
    </row>
    <row r="6" ht="18" customHeight="1">
      <c r="B6" s="161" t="inlineStr">
        <is>
          <t>Вариант</t>
        </is>
      </c>
      <c r="C6" s="163" t="inlineStr">
        <is>
          <t>€</t>
        </is>
      </c>
      <c r="D6" s="163" t="inlineStr">
        <is>
          <t>₴</t>
        </is>
      </c>
      <c r="E6" s="163" t="inlineStr">
        <is>
          <t>€</t>
        </is>
      </c>
      <c r="F6" s="163" t="inlineStr">
        <is>
          <t>₴</t>
        </is>
      </c>
      <c r="G6" s="163" t="inlineStr">
        <is>
          <t>€</t>
        </is>
      </c>
      <c r="H6" s="163" t="inlineStr">
        <is>
          <t>₴</t>
        </is>
      </c>
      <c r="I6" s="163" t="inlineStr">
        <is>
          <t>€</t>
        </is>
      </c>
      <c r="J6" s="163" t="inlineStr">
        <is>
          <t>₴</t>
        </is>
      </c>
      <c r="K6" s="163" t="inlineStr">
        <is>
          <t>€</t>
        </is>
      </c>
      <c r="L6" s="163" t="inlineStr">
        <is>
          <t>₴</t>
        </is>
      </c>
      <c r="M6" s="163" t="inlineStr">
        <is>
          <t>€</t>
        </is>
      </c>
      <c r="N6" s="163" t="inlineStr">
        <is>
          <t>₴</t>
        </is>
      </c>
    </row>
    <row r="7" ht="32" customHeight="1">
      <c r="B7" s="164" t="str">
        <f>"ДО · Vegetable, Spicy, Beef, Chicken · закупка SIAS €"&amp;C20</f>
        <v>ДО · Vegetable, Spicy, Beef, Chicken · закупка SIAS €0.65</v>
      </c>
      <c r="C7" s="165">
        <f>'Финмодель 33 паллет'!E13</f>
        <v>0.882380333698031</v>
      </c>
      <c r="D7" s="166">
        <f>C7*K14</f>
        <v>45.17787308533919</v>
      </c>
      <c r="E7" s="167">
        <f>F7/K14</f>
        <v>1.9608451859956246</v>
      </c>
      <c r="F7" s="166">
        <f>D7/(1-G14-E14)</f>
        <v>100.39527352297598</v>
      </c>
      <c r="G7" s="167">
        <f>H7/K14</f>
        <v>0.49021129649890616</v>
      </c>
      <c r="H7" s="168">
        <f>F7*G14</f>
        <v>25.098818380743996</v>
      </c>
      <c r="I7" s="167">
        <f>J7/K14</f>
        <v>0.5882535557986873</v>
      </c>
      <c r="J7" s="168">
        <f>F7-D7-H7</f>
        <v>30.118582056892794</v>
      </c>
      <c r="K7" s="167">
        <f>L7/K14</f>
        <v>0.7843380743982498</v>
      </c>
      <c r="L7" s="168">
        <f>F7*(I14-1)</f>
        <v>40.15810940919039</v>
      </c>
      <c r="M7" s="167">
        <f>N7/K14</f>
        <v>2.745183260393874</v>
      </c>
      <c r="N7" s="169">
        <f>F7*I14</f>
        <v>140.55338293216636</v>
      </c>
    </row>
    <row r="8" ht="32" customHeight="1">
      <c r="B8" s="170" t="str">
        <f>"ДО · Gouda Cheese, Carbonara Spicy · закупка SIAS €"&amp;E20</f>
        <v>ДО · Gouda Cheese, Carbonara Spicy · закупка SIAS €0.75</v>
      </c>
      <c r="C8" s="165">
        <f>'Финмодель 33 паллет'!E11</f>
        <v>1.018131154266958</v>
      </c>
      <c r="D8" s="171">
        <f>C8*K14</f>
        <v>52.12831509846825</v>
      </c>
      <c r="E8" s="172">
        <f>F8/K14</f>
        <v>2.2625136761487954</v>
      </c>
      <c r="F8" s="171">
        <f>D8/(1-G14-E14)</f>
        <v>115.84070021881833</v>
      </c>
      <c r="G8" s="172">
        <f>H8/K14</f>
        <v>0.5656284190371988</v>
      </c>
      <c r="H8" s="173">
        <f>F8*G14</f>
        <v>28.96017505470458</v>
      </c>
      <c r="I8" s="172">
        <f>J8/K14</f>
        <v>0.6787541028446387</v>
      </c>
      <c r="J8" s="173">
        <f>F8-D8-H8</f>
        <v>34.7522100656455</v>
      </c>
      <c r="K8" s="172">
        <f>L8/K14</f>
        <v>0.905005470459518</v>
      </c>
      <c r="L8" s="173">
        <f>F8*(I14-1)</f>
        <v>46.33628008752732</v>
      </c>
      <c r="M8" s="172">
        <f>N8/K14</f>
        <v>3.1675191466083135</v>
      </c>
      <c r="N8" s="174">
        <f>F8*I14</f>
        <v>162.17698030634565</v>
      </c>
    </row>
    <row r="9" ht="32" customHeight="1">
      <c r="B9" s="175" t="str">
        <f>"ПОСЛЕ · запрос SIAS €"&amp;ROUND(C21,2)&amp;" (все 6 SKU)"</f>
        <v>ПОСЛЕ · запрос SIAS €0.54 (все 6 SKU)</v>
      </c>
      <c r="C9" s="176">
        <f>D9/K14</f>
        <v>0.7524897727272728</v>
      </c>
      <c r="D9" s="177">
        <f>C23</f>
        <v>38.52747636363637</v>
      </c>
      <c r="E9" s="176">
        <f>F9/K14</f>
        <v>1.672199494949495</v>
      </c>
      <c r="F9" s="177">
        <f>D9/(1-G14-E14)</f>
        <v>85.61661414141415</v>
      </c>
      <c r="G9" s="176">
        <f>H9/K14</f>
        <v>0.41804987373737373</v>
      </c>
      <c r="H9" s="178">
        <f>F9*G14</f>
        <v>21.404153535353537</v>
      </c>
      <c r="I9" s="176">
        <f>J9/K14</f>
        <v>0.5016598484848485</v>
      </c>
      <c r="J9" s="178">
        <f>F9-D9-H9</f>
        <v>25.684984242424242</v>
      </c>
      <c r="K9" s="176">
        <f>L9/K14</f>
        <v>0.6688797979797979</v>
      </c>
      <c r="L9" s="178">
        <f>F9*(I14-1)</f>
        <v>34.246645656565654</v>
      </c>
      <c r="M9" s="176">
        <f>N9/K14</f>
        <v>2.3410792929292925</v>
      </c>
      <c r="N9" s="179">
        <f>F9*I14</f>
        <v>119.8632597979798</v>
      </c>
    </row>
    <row r="10" ht="24" customHeight="1">
      <c r="B10" s="180" t="inlineStr">
        <is>
          <t>ИЗМЕНЕНИЕ: ПОСЛЕ − ДО (4 SKU)</t>
        </is>
      </c>
      <c r="C10" s="181">
        <f>C9-C7</f>
        <v>-0.12989056097075824</v>
      </c>
      <c r="D10" s="182">
        <f>D9-D7</f>
        <v>-6.650396721702826</v>
      </c>
      <c r="E10" s="181">
        <f>E9-E7</f>
        <v>-0.2886456910461297</v>
      </c>
      <c r="F10" s="182">
        <f>F9-F7</f>
        <v>-14.778659381561837</v>
      </c>
      <c r="G10" s="181">
        <f>G9-G7</f>
        <v>-0.07216142276153242</v>
      </c>
      <c r="H10" s="182">
        <f>H9-H7</f>
        <v>-3.6946648453904594</v>
      </c>
      <c r="I10" s="181">
        <f>I9-I7</f>
        <v>-0.08659370731383886</v>
      </c>
      <c r="J10" s="182">
        <f>J9-J7</f>
        <v>-4.433597814468552</v>
      </c>
      <c r="K10" s="181">
        <f>K9-K7</f>
        <v>-0.11545827641845186</v>
      </c>
      <c r="L10" s="182">
        <f>L9-L7</f>
        <v>-5.911463752624734</v>
      </c>
      <c r="M10" s="181">
        <f>M9-M7</f>
        <v>-0.40410396746458144</v>
      </c>
      <c r="N10" s="182">
        <f>N9-N7</f>
        <v>-20.690123134186564</v>
      </c>
    </row>
    <row r="11" ht="26" customHeight="1">
      <c r="B11" s="183" t="inlineStr">
        <is>
          <t>Читайте по строке слева направо: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2">
      <c r="B12" s="184" t="inlineStr">
        <is>
          <t>ИСХОДНЫЕ ДАННЫЕ — жёлтое можно менять, зелёное из вкладки «Финмодель 33 паллет»</t>
        </is>
      </c>
      <c r="C12" s="185" t="n"/>
      <c r="D12" s="185" t="n"/>
      <c r="E12" s="185" t="n"/>
      <c r="F12" s="185" t="n"/>
      <c r="G12" s="185" t="n"/>
      <c r="H12" s="185" t="n"/>
      <c r="I12" s="185" t="n"/>
      <c r="J12" s="185" t="n"/>
      <c r="K12" s="185" t="n"/>
      <c r="L12" s="185" t="n"/>
      <c r="M12" s="185" t="n"/>
      <c r="N12" s="185" t="n"/>
    </row>
    <row r="13" ht="20" customHeight="1">
      <c r="C13" s="186" t="inlineStr">
        <is>
          <t>Полка, ₴</t>
        </is>
      </c>
      <c r="E13" s="186" t="inlineStr">
        <is>
          <t>Наша маржа</t>
        </is>
      </c>
      <c r="G13" s="186" t="inlineStr">
        <is>
          <t>Бонус сети</t>
        </is>
      </c>
      <c r="I13" s="186" t="inlineStr">
        <is>
          <t>Множитель полки</t>
        </is>
      </c>
      <c r="K13" s="186" t="inlineStr">
        <is>
          <t>Курс ₴/€</t>
        </is>
      </c>
    </row>
    <row r="14" ht="22" customHeight="1">
      <c r="B14" s="187" t="inlineStr">
        <is>
          <t>Цель расчёта и условия модели</t>
        </is>
      </c>
      <c r="C14" s="188" t="n">
        <v>120</v>
      </c>
      <c r="D14" s="189" t="n"/>
      <c r="E14" s="190" t="n">
        <v>0.3</v>
      </c>
      <c r="F14" s="189" t="n"/>
      <c r="G14" s="191">
        <f>'Финмодель 33 паллет'!D4</f>
        <v>0.25</v>
      </c>
      <c r="H14" s="192" t="n"/>
      <c r="I14" s="193">
        <f>'Финмодель 33 паллет'!D6</f>
        <v>1.4</v>
      </c>
      <c r="J14" s="192" t="n"/>
      <c r="K14" s="194">
        <f>'Финмодель 33 паллет'!D3</f>
        <v>51.2</v>
      </c>
      <c r="L14" s="192" t="n"/>
    </row>
    <row r="15" ht="26" customHeight="1">
      <c r="B15" s="195" t="inlineStr">
        <is>
          <t>Допущения: бонус и множитель — по модели (не подтверждены сетями); без листинг-фи, промо и отсрочки; согласие SIAS на цену не получено — это цена для переговоров.</t>
        </is>
      </c>
    </row>
    <row r="16" hidden="1">
      <c r="C16" s="186" t="inlineStr">
        <is>
          <t>Импортный ПДВ</t>
        </is>
      </c>
      <c r="E16" s="186" t="inlineStr">
        <is>
          <t>Финансирование</t>
        </is>
      </c>
      <c r="G16" s="186" t="inlineStr">
        <is>
          <t>Пошлина</t>
        </is>
      </c>
      <c r="I16" s="186" t="inlineStr">
        <is>
          <t>Перевозка партии, €</t>
        </is>
      </c>
      <c r="K16" s="186" t="inlineStr">
        <is>
          <t>Брокер, €</t>
        </is>
      </c>
      <c r="M16" s="186" t="inlineStr">
        <is>
          <t>Прочие, €</t>
        </is>
      </c>
    </row>
    <row r="17" hidden="1">
      <c r="C17" s="190" t="n">
        <v>0.2</v>
      </c>
      <c r="D17" s="189" t="n"/>
      <c r="E17" s="190" t="n">
        <v>0.025</v>
      </c>
      <c r="F17" s="189" t="n"/>
      <c r="G17" s="190" t="n">
        <v>0</v>
      </c>
      <c r="H17" s="189" t="n"/>
      <c r="I17" s="196" t="n">
        <v>3700</v>
      </c>
      <c r="J17" s="189" t="n"/>
      <c r="K17" s="196" t="n">
        <v>288</v>
      </c>
      <c r="L17" s="189" t="n"/>
      <c r="M17" s="196" t="n">
        <v>42</v>
      </c>
      <c r="N17" s="189" t="n"/>
    </row>
    <row r="18" hidden="1">
      <c r="C18" s="186" t="inlineStr">
        <is>
          <t>Доля фрахта в таможне</t>
        </is>
      </c>
      <c r="E18" s="186" t="inlineStr">
        <is>
          <t>Паллет в партии</t>
        </is>
      </c>
      <c r="G18" s="186" t="inlineStr">
        <is>
          <t>Пачек на паллете</t>
        </is>
      </c>
    </row>
    <row r="19" hidden="1">
      <c r="C19" s="197" t="n">
        <v>0.7</v>
      </c>
      <c r="D19" s="189" t="n"/>
      <c r="E19" s="196" t="n">
        <v>33</v>
      </c>
      <c r="F19" s="189" t="n"/>
      <c r="G19" s="196" t="n">
        <v>1600</v>
      </c>
      <c r="H19" s="189" t="n"/>
    </row>
    <row r="20" hidden="1">
      <c r="B20" s="198" t="inlineStr">
        <is>
          <t>Закупка SIAS сейчас, €: 4 SKU / 2 SKU</t>
        </is>
      </c>
      <c r="C20" s="197" t="n">
        <v>0.65</v>
      </c>
      <c r="E20" s="197" t="n">
        <v>0.75</v>
      </c>
    </row>
    <row r="21" hidden="1">
      <c r="B21" s="198" t="inlineStr">
        <is>
          <t>Запрос SIAS, €/уп. (вниз до евроцента)</t>
        </is>
      </c>
      <c r="C21" s="199">
        <f>ROUNDDOWN(((C14/I14*(1-G14-E14))/K14/(1+E17)-(I17+K17+M17+I17*C19*(G17+C17*(1+G17)))/(E19*G19))/((1+G17)*(1+C17)),2)</f>
        <v>0.54</v>
      </c>
      <c r="D21" s="157" t="n"/>
    </row>
    <row r="22" hidden="1">
      <c r="B22" s="198" t="inlineStr">
        <is>
          <t>Предельная закупка до округления, €/уп.</t>
        </is>
      </c>
      <c r="C22" s="200">
        <f>((C14/I14*(1-G14-E14))/K14/(1+E17)-(I17+K17+M17+I17*C19*(G17+C17*(1+G17)))/(E19*G19))/((1+G17)*(1+C17))</f>
        <v>0.5406979199662126</v>
      </c>
      <c r="D22" s="201" t="n"/>
    </row>
    <row r="23" hidden="1">
      <c r="B23" s="198" t="inlineStr">
        <is>
          <t>Себестоимость в Украине при запросе, ₴/уп.</t>
        </is>
      </c>
      <c r="C23" s="202">
        <f>(C21*K14+(I17+K17+M17)/(E19*G19)*K14+(C21+I17*C19/(E19*G19))*G17*K14+(C21+I17*C19/(E19*G19))*(1+G17)*C17*K14)*(1+E17)</f>
        <v>38.52747636363637</v>
      </c>
      <c r="D23" s="201" t="n"/>
    </row>
  </sheetData>
  <mergeCells count="46">
    <mergeCell ref="K16:L16"/>
    <mergeCell ref="C5:D5"/>
    <mergeCell ref="E5:F5"/>
    <mergeCell ref="K5:L5"/>
    <mergeCell ref="C14:D14"/>
    <mergeCell ref="M5:N5"/>
    <mergeCell ref="E14:F14"/>
    <mergeCell ref="B15:N15"/>
    <mergeCell ref="L4:N4"/>
    <mergeCell ref="E17:F17"/>
    <mergeCell ref="G17:H17"/>
    <mergeCell ref="C4:D4"/>
    <mergeCell ref="C16:D16"/>
    <mergeCell ref="I16:J16"/>
    <mergeCell ref="E19:F19"/>
    <mergeCell ref="G19:H19"/>
    <mergeCell ref="E13:F13"/>
    <mergeCell ref="C22:D22"/>
    <mergeCell ref="I4:K4"/>
    <mergeCell ref="G13:H13"/>
    <mergeCell ref="G18:H18"/>
    <mergeCell ref="B3:N3"/>
    <mergeCell ref="M16:N16"/>
    <mergeCell ref="C21:D21"/>
    <mergeCell ref="E4:H4"/>
    <mergeCell ref="B12:N12"/>
    <mergeCell ref="G5:H5"/>
    <mergeCell ref="I5:J5"/>
    <mergeCell ref="G14:H14"/>
    <mergeCell ref="I14:J14"/>
    <mergeCell ref="B11:N11"/>
    <mergeCell ref="K14:L14"/>
    <mergeCell ref="B2:N2"/>
    <mergeCell ref="C17:D17"/>
    <mergeCell ref="I17:J17"/>
    <mergeCell ref="K17:L17"/>
    <mergeCell ref="C23:D23"/>
    <mergeCell ref="M17:N17"/>
    <mergeCell ref="E16:F16"/>
    <mergeCell ref="G16:H16"/>
    <mergeCell ref="C19:D19"/>
    <mergeCell ref="C13:D13"/>
    <mergeCell ref="I13:J13"/>
    <mergeCell ref="C18:D18"/>
    <mergeCell ref="K13:L13"/>
    <mergeCell ref="E18:F18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2026-10-07T10:15:05Z</dcterms:created>
  <dcterms:modified xmlns:dcterms="http://purl.org/dc/terms/" xmlns:xsi="http://www.w3.org/2001/XMLSchema-instance" xsi:type="dcterms:W3CDTF">2026-10-07T10:15:06Z</dcterms:modified>
  <cp:lastModifiedBy>Чаплигін lлля</cp:lastModifiedBy>
</cp:coreProperties>
</file>